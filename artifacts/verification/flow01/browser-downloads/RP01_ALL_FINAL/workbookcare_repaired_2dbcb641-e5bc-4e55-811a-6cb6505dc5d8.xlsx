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aca890347a4c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정산" sheetId="1" r:id="R8a0ff312d59b4371"/>
    <x:sheet xmlns:r="http://schemas.openxmlformats.org/officeDocument/2006/relationships" name="보존정보" sheetId="2" r:id="Rf9a3a11ed6524eed"/>
  </x:sheets>
  <x:calcPr calcMode="auto" fullCalcOnLoad="1" forceFullCalc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"/>
    <x:numFmt numFmtId="202" formatCode="@"/>
  </x:numFmts>
  <x:fonts count="5">
    <x:font>
      <x:sz val="11"/>
      <x:name val="Carlito"/>
    </x:font>
    <x:font>
      <x:sz val="11"/>
      <x:color rgb="FF243447"/>
      <x:name val="Arial"/>
    </x:font>
    <x:font>
      <x:b/>
      <x:sz val="11"/>
      <x:color rgb="FFFFFFFF"/>
      <x:name val="Arial"/>
    </x:font>
    <x:font>
      <x:b/>
      <x:sz val="11"/>
      <x:color rgb="FF243447"/>
      <x:name val="Arial"/>
    </x:font>
    <x:font>
      <x:b/>
      <x:sz val="15"/>
      <x:color rgb="FF173654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4"/>
      </x:patternFill>
    </x:fill>
    <x:fill>
      <x:patternFill patternType="solid">
        <x:fgColor rgb="FFFFF2CC"/>
      </x:patternFill>
    </x:fill>
    <x:fill>
      <x:patternFill patternType="solid">
        <x:fgColor rgb="FFE9EFF7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202" fontId="3" fillId="4" borderId="0" xfId="0" applyNumberFormat="1" applyFont="1" applyFill="1" applyBorder="1" applyAlignment="1">
      <x:alignment vertical="center"/>
    </x:xf>
    <x:xf numFmtId="200" fontId="3" fillId="4" borderId="0" xfId="0" applyNumberFormat="1" applyFont="1" applyFill="1" applyBorder="1" applyAlignment="1">
      <x:alignment vertical="center"/>
    </x:xf>
    <x:xf numFmtId="201" fontId="3" fillId="4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e5a50ab5854796" /><Relationship Type="http://schemas.openxmlformats.org/officeDocument/2006/relationships/theme" Target="/xl/theme/theme1.xml" Id="R58aa743d4092448e" /><Relationship Type="http://schemas.openxmlformats.org/officeDocument/2006/relationships/sharedStrings" Target="/xl/sharedStrings.xml" Id="R7904418b5ae441ac" /><Relationship Type="http://schemas.openxmlformats.org/officeDocument/2006/relationships/worksheet" Target="/xl/worksheets/sheet1.xml" Id="R8a0ff312d59b4371" /><Relationship Type="http://schemas.openxmlformats.org/officeDocument/2006/relationships/worksheet" Target="/xl/worksheets/sheet2.xml" Id="Rf9a3a11ed6524ee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2" customHeight="1">
      <x:c r="A2" s="2" t="str">
        <x:v>정산 합성 자료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2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 t="str">
        <x:v>세율(소수)</x:v>
      </x:c>
      <x:c r="M4" s="7" t="n">
        <x:v>0.1</x:v>
      </x:c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7"/>
    </x:row>
    <x:row r="6" ht="22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</x:row>
    <x:row r="7" ht="30" customHeight="1">
      <x:c r="A7" s="4" t="str">
        <x:v>거래번호</x:v>
      </x:c>
      <x:c r="B7" s="4" t="str">
        <x:v>추가금액</x:v>
      </x:c>
      <x:c r="C7" s="4" t="str">
        <x:v>수량</x:v>
      </x:c>
      <x:c r="D7" s="4" t="str">
        <x:v>단가</x:v>
      </x:c>
      <x:c r="E7" s="4" t="str">
        <x:v>할인율(소수)</x:v>
      </x:c>
      <x:c r="F7" s="4" t="str">
        <x:v>기본금액</x:v>
      </x:c>
      <x:c r="G7" s="4" t="str">
        <x:v>추가금액합</x:v>
      </x:c>
      <x:c r="H7" s="4" t="str">
        <x:v>합산액</x:v>
      </x:c>
      <x:c r="I7" s="4" t="str">
        <x:v>세액</x:v>
      </x:c>
      <x:c r="J7" s="4" t="str">
        <x:v>최종금액</x:v>
      </x:c>
      <x:c r="K7" s="2"/>
      <x:c r="L7" s="2"/>
      <x:c r="M7" s="2"/>
    </x:row>
    <x:row r="8" ht="22" customHeight="1">
      <x:c r="A8" s="8" t="str">
        <x:v>000001</x:v>
      </x:c>
      <x:c r="B8" s="8" t="n">
        <x:v>-400</x:v>
      </x:c>
      <x:c r="C8" s="5" t="n">
        <x:v>2</x:v>
      </x:c>
      <x:c r="D8" s="5" t="n">
        <x:v>917</x:v>
      </x:c>
      <x:c r="E8" s="6" t="n">
        <x:v>0.05</x:v>
      </x:c>
      <x:c r="F8" s="5">
        <x:f>ROUND(C8*D8*(1-E8),0)</x:f>
        <x:v>1742.0</x:v>
      </x:c>
      <x:c r="G8" s="5">
        <x:f>SUM(B8:B8)</x:f>
        <x:v>-400.0</x:v>
      </x:c>
      <x:c r="H8" s="5">
        <x:f>F8+G8</x:f>
        <x:v>1342.0</x:v>
      </x:c>
      <x:c r="I8" s="5">
        <x:f>ROUND(H8*$M$4,0)</x:f>
        <x:v>134.0</x:v>
      </x:c>
      <x:c r="J8" s="5">
        <x:f>H8+I8</x:f>
        <x:v>1476.0</x:v>
      </x:c>
      <x:c r="K8" s="2"/>
      <x:c r="L8" s="2"/>
      <x:c r="M8" s="2"/>
    </x:row>
    <x:row r="9" ht="22" customHeight="1">
      <x:c r="A9" s="8" t="str">
        <x:v>000002</x:v>
      </x:c>
      <x:c r="B9" s="8" t="n">
        <x:v>-300</x:v>
      </x:c>
      <x:c r="C9" s="5" t="n">
        <x:v>3</x:v>
      </x:c>
      <x:c r="D9" s="5" t="n">
        <x:v>934</x:v>
      </x:c>
      <x:c r="E9" s="6" t="n">
        <x:v>0.1</x:v>
      </x:c>
      <x:c r="F9" s="5">
        <x:f>ROUND(C9*D9*(1-E9),0)</x:f>
        <x:v>2522.0</x:v>
      </x:c>
      <x:c r="G9" s="5">
        <x:f>SUM(B9:B9)</x:f>
        <x:v>-300.0</x:v>
      </x:c>
      <x:c r="H9" s="5">
        <x:f>F9+G9</x:f>
        <x:v>2222.0</x:v>
      </x:c>
      <x:c r="I9" s="5">
        <x:f>ROUND(H9*$M$4,0)</x:f>
        <x:v>222.0</x:v>
      </x:c>
      <x:c r="J9" s="5">
        <x:f>H9+I9</x:f>
        <x:v>2444.0</x:v>
      </x:c>
      <x:c r="K9" s="2"/>
      <x:c r="L9" s="2"/>
      <x:c r="M9" s="2"/>
    </x:row>
    <x:row r="10" ht="22" customHeight="1">
      <x:c r="A10" s="8" t="str">
        <x:v>000003</x:v>
      </x:c>
      <x:c r="B10" s="8" t="n">
        <x:v>-200</x:v>
      </x:c>
      <x:c r="C10" s="5" t="n">
        <x:v>4</x:v>
      </x:c>
      <x:c r="D10" s="5" t="n">
        <x:v>951</x:v>
      </x:c>
      <x:c r="E10" s="6" t="n">
        <x:v>0.15</x:v>
      </x:c>
      <x:c r="F10" s="5">
        <x:f>ROUND(C10*D10*(1-E10),0)</x:f>
        <x:v>3233.0</x:v>
      </x:c>
      <x:c r="G10" s="5">
        <x:f>SUM(B10:B10)</x:f>
        <x:v>-200.0</x:v>
      </x:c>
      <x:c r="H10" s="5">
        <x:f>F10+G10</x:f>
        <x:v>3033.0</x:v>
      </x:c>
      <x:c r="I10" s="5">
        <x:f>ROUND(H10*$M$4,0)</x:f>
        <x:v>303.0</x:v>
      </x:c>
      <x:c r="J10" s="5">
        <x:f>H10+I10</x:f>
        <x:v>3336.0</x:v>
      </x:c>
      <x:c r="K10" s="2"/>
      <x:c r="L10" s="2"/>
      <x:c r="M10" s="2"/>
    </x:row>
    <x:row r="11" ht="22" customHeight="1">
      <x:c r="A11" s="8" t="str">
        <x:v>000004</x:v>
      </x:c>
      <x:c r="B11" s="8" t="n">
        <x:v>-100</x:v>
      </x:c>
      <x:c r="C11" s="5" t="n">
        <x:v>5</x:v>
      </x:c>
      <x:c r="D11" s="5" t="n">
        <x:v>968</x:v>
      </x:c>
      <x:c r="E11" s="6" t="n">
        <x:v>0</x:v>
      </x:c>
      <x:c r="F11" s="5">
        <x:f>ROUND(C11*D11*(1-E11),0)</x:f>
        <x:v>4840.0</x:v>
      </x:c>
      <x:c r="G11" s="5">
        <x:f>SUM(B11:B11)</x:f>
        <x:v>-100.0</x:v>
      </x:c>
      <x:c r="H11" s="5">
        <x:f>F11+G11</x:f>
        <x:v>4740.0</x:v>
      </x:c>
      <x:c r="I11" s="5">
        <x:f>ROUND(H11*$M$4,0)</x:f>
        <x:v>474.0</x:v>
      </x:c>
      <x:c r="J11" s="5">
        <x:f>H11+I11</x:f>
        <x:v>5214.0</x:v>
      </x:c>
      <x:c r="K11" s="2"/>
      <x:c r="L11" s="2"/>
      <x:c r="M11" s="2"/>
    </x:row>
    <x:row r="12" ht="22" customHeight="1">
      <x:c r="A12" s="8" t="str">
        <x:v>000005</x:v>
      </x:c>
      <x:c r="B12" s="8">
        <x:v>-1250</x:v>
      </x:c>
      <x:c r="C12" s="5" t="n">
        <x:v>6</x:v>
      </x:c>
      <x:c r="D12" s="5" t="n">
        <x:v>985</x:v>
      </x:c>
      <x:c r="E12" s="6" t="n">
        <x:v>0.05</x:v>
      </x:c>
      <x:c r="F12" s="5">
        <x:f>ROUND(C12*D12*(1-E12),0)</x:f>
        <x:v>5615.0</x:v>
      </x:c>
      <x:c r="G12" s="5">
        <x:f>SUM(B12:B12)</x:f>
        <x:v>-1250.0</x:v>
      </x:c>
      <x:c r="H12" s="5">
        <x:f>F12+G12</x:f>
        <x:v>4365.0</x:v>
      </x:c>
      <x:c r="I12" s="5">
        <x:f>ROUND(H12*$M$4,0)</x:f>
        <x:v>437.0</x:v>
      </x:c>
      <x:c r="J12" s="5">
        <x:f>H12+I12</x:f>
        <x:v>4802.0</x:v>
      </x:c>
      <x:c r="K12" s="2"/>
      <x:c r="L12" s="2"/>
      <x:c r="M12" s="2"/>
    </x:row>
    <x:row r="13" ht="22" customHeight="1">
      <x:c r="A13" s="8" t="str">
        <x:v>000006</x:v>
      </x:c>
      <x:c r="B13" s="8" t="n">
        <x:v>100</x:v>
      </x:c>
      <x:c r="C13" s="5" t="n">
        <x:v>7</x:v>
      </x:c>
      <x:c r="D13" s="5" t="n">
        <x:v>1002</x:v>
      </x:c>
      <x:c r="E13" s="6" t="n">
        <x:v>0.1</x:v>
      </x:c>
      <x:c r="F13" s="5">
        <x:f>ROUND(C13*D13*(1-E13),0)</x:f>
        <x:v>6313.0</x:v>
      </x:c>
      <x:c r="G13" s="5">
        <x:f>SUM(B13:B13)</x:f>
        <x:v>100.0</x:v>
      </x:c>
      <x:c r="H13" s="5">
        <x:f>F13+G13</x:f>
        <x:v>6413.0</x:v>
      </x:c>
      <x:c r="I13" s="5">
        <x:f>ROUND(H13*$M$4,0)</x:f>
        <x:v>641.0</x:v>
      </x:c>
      <x:c r="J13" s="5">
        <x:f>H13+I13</x:f>
        <x:v>7054.0</x:v>
      </x:c>
      <x:c r="K13" s="2"/>
      <x:c r="L13" s="2"/>
      <x:c r="M13" s="2"/>
    </x:row>
    <x:row r="14" ht="22" customHeight="1">
      <x:c r="A14" s="8" t="str">
        <x:v>000007</x:v>
      </x:c>
      <x:c r="B14" s="8" t="n">
        <x:v>200</x:v>
      </x:c>
      <x:c r="C14" s="5" t="n">
        <x:v>1</x:v>
      </x:c>
      <x:c r="D14" s="5" t="n">
        <x:v>1019</x:v>
      </x:c>
      <x:c r="E14" s="6" t="n">
        <x:v>0.15</x:v>
      </x:c>
      <x:c r="F14" s="5">
        <x:f>ROUND(C14*D14*(1-E14),0)</x:f>
        <x:v>866.0</x:v>
      </x:c>
      <x:c r="G14" s="5">
        <x:f>SUM(B14:B14)</x:f>
        <x:v>200.0</x:v>
      </x:c>
      <x:c r="H14" s="5">
        <x:f>F14+G14</x:f>
        <x:v>1066.0</x:v>
      </x:c>
      <x:c r="I14" s="5">
        <x:f>ROUND(H14*$M$4,0)</x:f>
        <x:v>107.0</x:v>
      </x:c>
      <x:c r="J14" s="5">
        <x:f>H14+I14</x:f>
        <x:v>1173.0</x:v>
      </x:c>
      <x:c r="K14" s="2"/>
      <x:c r="L14" s="2"/>
      <x:c r="M14" s="2"/>
    </x:row>
    <x:row r="15" ht="22" customHeight="1">
      <x:c r="A15" s="8" t="str">
        <x:v>000008</x:v>
      </x:c>
      <x:c r="B15" s="8" t="n">
        <x:v>300</x:v>
      </x:c>
      <x:c r="C15" s="5" t="n">
        <x:v>2</x:v>
      </x:c>
      <x:c r="D15" s="5" t="n">
        <x:v>1036</x:v>
      </x:c>
      <x:c r="E15" s="6" t="n">
        <x:v>0</x:v>
      </x:c>
      <x:c r="F15" s="5">
        <x:f>ROUND(C15*D15*(1-E15),0)</x:f>
        <x:v>2072.0</x:v>
      </x:c>
      <x:c r="G15" s="5">
        <x:f>SUM(B15:B15)</x:f>
        <x:v>300.0</x:v>
      </x:c>
      <x:c r="H15" s="5">
        <x:f>F15+G15</x:f>
        <x:v>2372.0</x:v>
      </x:c>
      <x:c r="I15" s="5">
        <x:f>ROUND(H15*$M$4,0)</x:f>
        <x:v>237.0</x:v>
      </x:c>
      <x:c r="J15" s="5">
        <x:f>H15+I15</x:f>
        <x:v>2609.0</x:v>
      </x:c>
      <x:c r="K15" s="2"/>
      <x:c r="L15" s="2"/>
      <x:c r="M15" s="2"/>
    </x:row>
    <x:row r="16" ht="22" customHeight="1">
      <x:c r="A16" s="8" t="str">
        <x:v>000009</x:v>
      </x:c>
      <x:c r="B16" s="8" t="n">
        <x:v>400</x:v>
      </x:c>
      <x:c r="C16" s="5" t="n">
        <x:v>3</x:v>
      </x:c>
      <x:c r="D16" s="5" t="n">
        <x:v>1053</x:v>
      </x:c>
      <x:c r="E16" s="6" t="n">
        <x:v>0.05</x:v>
      </x:c>
      <x:c r="F16" s="5">
        <x:f>ROUND(C16*D16*(1-E16),0)</x:f>
        <x:v>3001.0</x:v>
      </x:c>
      <x:c r="G16" s="5">
        <x:f>SUM(B16:B16)</x:f>
        <x:v>400.0</x:v>
      </x:c>
      <x:c r="H16" s="5">
        <x:f>F16+G16</x:f>
        <x:v>3401.0</x:v>
      </x:c>
      <x:c r="I16" s="5">
        <x:f>ROUND(H16*$M$4,0)</x:f>
        <x:v>340.0</x:v>
      </x:c>
      <x:c r="J16" s="5">
        <x:f>H16+I16</x:f>
        <x:v>3741.0</x:v>
      </x:c>
      <x:c r="K16" s="2"/>
      <x:c r="L16" s="2"/>
      <x:c r="M16" s="2"/>
    </x:row>
    <x:row r="17" ht="22" customHeight="1">
      <x:c r="A17" s="8" t="str">
        <x:v>000010</x:v>
      </x:c>
      <x:c r="B17" s="8" t="n">
        <x:v>500</x:v>
      </x:c>
      <x:c r="C17" s="5" t="n">
        <x:v>4</x:v>
      </x:c>
      <x:c r="D17" s="5" t="n">
        <x:v>1070</x:v>
      </x:c>
      <x:c r="E17" s="6" t="n">
        <x:v>0.1</x:v>
      </x:c>
      <x:c r="F17" s="5">
        <x:f>ROUND(C17*D17*(1-E17),0)</x:f>
        <x:v>3852.0</x:v>
      </x:c>
      <x:c r="G17" s="5">
        <x:f>SUM(B17:B17)</x:f>
        <x:v>500.0</x:v>
      </x:c>
      <x:c r="H17" s="5">
        <x:f>F17+G17</x:f>
        <x:v>4352.0</x:v>
      </x:c>
      <x:c r="I17" s="5">
        <x:f>ROUND(H17*$M$4,0)</x:f>
        <x:v>435.0</x:v>
      </x:c>
      <x:c r="J17" s="5">
        <x:f>H17+I17</x:f>
        <x:v>4787.0</x:v>
      </x:c>
      <x:c r="K17" s="2"/>
      <x:c r="L17" s="2"/>
      <x:c r="M17" s="2"/>
    </x:row>
    <x:row r="18" ht="22" customHeight="1">
      <x:c r="A18" s="8" t="str">
        <x:v>000011</x:v>
      </x:c>
      <x:c r="B18" s="8" t="n">
        <x:v>-500</x:v>
      </x:c>
      <x:c r="C18" s="5" t="n">
        <x:v>5</x:v>
      </x:c>
      <x:c r="D18" s="5" t="n">
        <x:v>1087</x:v>
      </x:c>
      <x:c r="E18" s="6" t="n">
        <x:v>0.15</x:v>
      </x:c>
      <x:c r="F18" s="5">
        <x:f>ROUND(C18*D18*(1-E18),0)</x:f>
        <x:v>4620.0</x:v>
      </x:c>
      <x:c r="G18" s="5">
        <x:f>SUM(B18:B18)</x:f>
        <x:v>-500.0</x:v>
      </x:c>
      <x:c r="H18" s="5">
        <x:f>F18+G18</x:f>
        <x:v>4120.0</x:v>
      </x:c>
      <x:c r="I18" s="5">
        <x:f>ROUND(H18*$M$4,0)</x:f>
        <x:v>412.0</x:v>
      </x:c>
      <x:c r="J18" s="5">
        <x:f>H18+I18</x:f>
        <x:v>4532.0</x:v>
      </x:c>
      <x:c r="K18" s="2"/>
      <x:c r="L18" s="2"/>
      <x:c r="M18" s="2"/>
    </x:row>
    <x:row r="19" ht="22" customHeight="1">
      <x:c r="A19" s="8" t="str">
        <x:v>000012</x:v>
      </x:c>
      <x:c r="B19" s="8" t="n">
        <x:v>-400</x:v>
      </x:c>
      <x:c r="C19" s="5" t="n">
        <x:v>6</x:v>
      </x:c>
      <x:c r="D19" s="5" t="n">
        <x:v>1104</x:v>
      </x:c>
      <x:c r="E19" s="6" t="n">
        <x:v>0</x:v>
      </x:c>
      <x:c r="F19" s="5">
        <x:f>ROUND(C19*D19*(1-E19),0)</x:f>
        <x:v>6624.0</x:v>
      </x:c>
      <x:c r="G19" s="5">
        <x:f>SUM(B19:B19)</x:f>
        <x:v>-400.0</x:v>
      </x:c>
      <x:c r="H19" s="5">
        <x:f>F19+G19</x:f>
        <x:v>6224.0</x:v>
      </x:c>
      <x:c r="I19" s="5">
        <x:f>ROUND(H19*$M$4,0)</x:f>
        <x:v>622.0</x:v>
      </x:c>
      <x:c r="J19" s="5">
        <x:f>H19+I19</x:f>
        <x:v>6846.0</x:v>
      </x:c>
      <x:c r="K19" s="2"/>
      <x:c r="L19" s="2"/>
      <x:c r="M19" s="2"/>
    </x:row>
    <x:row r="20" ht="22" customHeight="1">
      <x:c r="A20" s="8" t="str">
        <x:v>000013</x:v>
      </x:c>
      <x:c r="B20" s="8" t="n">
        <x:v>-300</x:v>
      </x:c>
      <x:c r="C20" s="5" t="n">
        <x:v>7</x:v>
      </x:c>
      <x:c r="D20" s="5" t="n">
        <x:v>1121</x:v>
      </x:c>
      <x:c r="E20" s="6" t="n">
        <x:v>0.05</x:v>
      </x:c>
      <x:c r="F20" s="5">
        <x:f>ROUND(C20*D20*(1-E20),0)</x:f>
        <x:v>7455.0</x:v>
      </x:c>
      <x:c r="G20" s="5">
        <x:f>SUM(B20:B20)</x:f>
        <x:v>-300.0</x:v>
      </x:c>
      <x:c r="H20" s="5">
        <x:f>F20+G20</x:f>
        <x:v>7155.0</x:v>
      </x:c>
      <x:c r="I20" s="5">
        <x:f>ROUND(H20*$M$4,0)</x:f>
        <x:v>716.0</x:v>
      </x:c>
      <x:c r="J20" s="5">
        <x:f>H20+I20</x:f>
        <x:v>7871.0</x:v>
      </x:c>
      <x:c r="K20" s="2"/>
      <x:c r="L20" s="2"/>
      <x:c r="M20" s="2"/>
    </x:row>
    <x:row r="21" ht="22" customHeight="1">
      <x:c r="A21" s="8" t="str">
        <x:v>000014</x:v>
      </x:c>
      <x:c r="B21" s="8" t="n">
        <x:v>-200</x:v>
      </x:c>
      <x:c r="C21" s="5" t="n">
        <x:v>1</x:v>
      </x:c>
      <x:c r="D21" s="5" t="n">
        <x:v>1138</x:v>
      </x:c>
      <x:c r="E21" s="6" t="n">
        <x:v>0.1</x:v>
      </x:c>
      <x:c r="F21" s="5">
        <x:f>ROUND(C21*D21*(1-E21),0)</x:f>
        <x:v>1024.0</x:v>
      </x:c>
      <x:c r="G21" s="5">
        <x:f>SUM(B21:B21)</x:f>
        <x:v>-200.0</x:v>
      </x:c>
      <x:c r="H21" s="5">
        <x:f>F21+G21</x:f>
        <x:v>824.0</x:v>
      </x:c>
      <x:c r="I21" s="5">
        <x:f>ROUND(H21*$M$4,0)</x:f>
        <x:v>82.0</x:v>
      </x:c>
      <x:c r="J21" s="5">
        <x:f>H21+I21</x:f>
        <x:v>906.0</x:v>
      </x:c>
      <x:c r="K21" s="2"/>
      <x:c r="L21" s="2"/>
      <x:c r="M21" s="2"/>
    </x:row>
    <x:row r="22" ht="22" customHeight="1">
      <x:c r="A22" s="8" t="str">
        <x:v>000015</x:v>
      </x:c>
      <x:c r="B22" s="8" t="n">
        <x:v>-100</x:v>
      </x:c>
      <x:c r="C22" s="5" t="n">
        <x:v>2</x:v>
      </x:c>
      <x:c r="D22" s="5" t="n">
        <x:v>1155</x:v>
      </x:c>
      <x:c r="E22" s="6" t="n">
        <x:v>0.15</x:v>
      </x:c>
      <x:c r="F22" s="5">
        <x:f>ROUND(C22*D22*(1-E22),0)</x:f>
        <x:v>1964.0</x:v>
      </x:c>
      <x:c r="G22" s="5">
        <x:f>SUM(B22:B22)</x:f>
        <x:v>-100.0</x:v>
      </x:c>
      <x:c r="H22" s="5">
        <x:f>F22+G22</x:f>
        <x:v>1864.0</x:v>
      </x:c>
      <x:c r="I22" s="5">
        <x:f>ROUND(H22*$M$4,0)</x:f>
        <x:v>186.0</x:v>
      </x:c>
      <x:c r="J22" s="5">
        <x:f>H22+I22</x:f>
        <x:v>2050.0</x:v>
      </x:c>
      <x:c r="K22" s="2"/>
      <x:c r="L22" s="2"/>
      <x:c r="M22" s="2"/>
    </x:row>
    <x:row r="23" ht="22" customHeight="1">
      <x:c r="A23" s="8" t="str">
        <x:v>000016</x:v>
      </x:c>
      <x:c r="B23" s="8" t="n">
        <x:v>0</x:v>
      </x:c>
      <x:c r="C23" s="5" t="n">
        <x:v>3</x:v>
      </x:c>
      <x:c r="D23" s="5" t="n">
        <x:v>1172</x:v>
      </x:c>
      <x:c r="E23" s="6" t="n">
        <x:v>0</x:v>
      </x:c>
      <x:c r="F23" s="5">
        <x:f>ROUND(C23*D23*(1-E23),0)</x:f>
        <x:v>3516.0</x:v>
      </x:c>
      <x:c r="G23" s="5">
        <x:f>SUM(B23:B23)</x:f>
        <x:v>0.0</x:v>
      </x:c>
      <x:c r="H23" s="5">
        <x:f>F23+G23</x:f>
        <x:v>3516.0</x:v>
      </x:c>
      <x:c r="I23" s="5">
        <x:f>ROUND(H23*$M$4,0)</x:f>
        <x:v>352.0</x:v>
      </x:c>
      <x:c r="J23" s="5">
        <x:f>H23+I23</x:f>
        <x:v>3868.0</x:v>
      </x:c>
      <x:c r="K23" s="2"/>
      <x:c r="L23" s="2"/>
      <x:c r="M23" s="2"/>
    </x:row>
    <x:row r="24" ht="22" customHeight="1">
      <x:c r="A24" s="8" t="str">
        <x:v>000017</x:v>
      </x:c>
      <x:c r="B24" s="8">
        <x:v>7200</x:v>
      </x:c>
      <x:c r="C24" s="5" t="n">
        <x:v>4</x:v>
      </x:c>
      <x:c r="D24" s="5" t="n">
        <x:v>1189</x:v>
      </x:c>
      <x:c r="E24" s="6" t="n">
        <x:v>0.05</x:v>
      </x:c>
      <x:c r="F24" s="5">
        <x:f>ROUND(C24*D24*(1-E24),0)</x:f>
        <x:v>4518.0</x:v>
      </x:c>
      <x:c r="G24" s="5">
        <x:f>SUM(B24:B24)</x:f>
        <x:v>7200.0</x:v>
      </x:c>
      <x:c r="H24" s="5">
        <x:f>F24+G24</x:f>
        <x:v>11718.0</x:v>
      </x:c>
      <x:c r="I24" s="5">
        <x:f>ROUND(H24*$M$4,0)</x:f>
        <x:v>1172.0</x:v>
      </x:c>
      <x:c r="J24" s="5">
        <x:f>H24+I24</x:f>
        <x:v>12890.0</x:v>
      </x:c>
      <x:c r="K24" s="2"/>
      <x:c r="L24" s="2"/>
      <x:c r="M24" s="2"/>
    </x:row>
    <x:row r="25" ht="22" customHeight="1">
      <x:c r="A25" s="8" t="str">
        <x:v>000018</x:v>
      </x:c>
      <x:c r="B25" s="8" t="n">
        <x:v>200</x:v>
      </x:c>
      <x:c r="C25" s="5" t="n">
        <x:v>5</x:v>
      </x:c>
      <x:c r="D25" s="5" t="n">
        <x:v>1206</x:v>
      </x:c>
      <x:c r="E25" s="6" t="n">
        <x:v>0.1</x:v>
      </x:c>
      <x:c r="F25" s="5">
        <x:f>ROUND(C25*D25*(1-E25),0)</x:f>
        <x:v>5427.0</x:v>
      </x:c>
      <x:c r="G25" s="5">
        <x:f>SUM(B25:B25)</x:f>
        <x:v>200.0</x:v>
      </x:c>
      <x:c r="H25" s="5">
        <x:f>F25+G25</x:f>
        <x:v>5627.0</x:v>
      </x:c>
      <x:c r="I25" s="5">
        <x:f>ROUND(H25*$M$4,0)</x:f>
        <x:v>563.0</x:v>
      </x:c>
      <x:c r="J25" s="5">
        <x:f>H25+I25</x:f>
        <x:v>6190.0</x:v>
      </x:c>
      <x:c r="K25" s="2"/>
      <x:c r="L25" s="2"/>
      <x:c r="M25" s="2"/>
    </x:row>
    <x:row r="26" ht="22" customHeight="1">
      <x:c r="A26" s="8" t="str">
        <x:v>000019</x:v>
      </x:c>
      <x:c r="B26" s="8" t="n">
        <x:v>300</x:v>
      </x:c>
      <x:c r="C26" s="5" t="n">
        <x:v>6</x:v>
      </x:c>
      <x:c r="D26" s="5" t="n">
        <x:v>1223</x:v>
      </x:c>
      <x:c r="E26" s="6" t="n">
        <x:v>0.15</x:v>
      </x:c>
      <x:c r="F26" s="5">
        <x:f>ROUND(C26*D26*(1-E26),0)</x:f>
        <x:v>6237.0</x:v>
      </x:c>
      <x:c r="G26" s="5">
        <x:f>SUM(B26:B26)</x:f>
        <x:v>300.0</x:v>
      </x:c>
      <x:c r="H26" s="5">
        <x:f>F26+G26</x:f>
        <x:v>6537.0</x:v>
      </x:c>
      <x:c r="I26" s="5">
        <x:f>ROUND(H26*$M$4,0)</x:f>
        <x:v>654.0</x:v>
      </x:c>
      <x:c r="J26" s="5">
        <x:f>H26+I26</x:f>
        <x:v>7191.0</x:v>
      </x:c>
      <x:c r="K26" s="2"/>
      <x:c r="L26" s="2"/>
      <x:c r="M26" s="2"/>
    </x:row>
    <x:row r="27" ht="22" customHeight="1">
      <x:c r="A27" s="8" t="str">
        <x:v>000020</x:v>
      </x:c>
      <x:c r="B27" s="8" t="n">
        <x:v>400</x:v>
      </x:c>
      <x:c r="C27" s="5" t="n">
        <x:v>7</x:v>
      </x:c>
      <x:c r="D27" s="5" t="n">
        <x:v>1240</x:v>
      </x:c>
      <x:c r="E27" s="6" t="n">
        <x:v>0</x:v>
      </x:c>
      <x:c r="F27" s="5">
        <x:f>ROUND(C27*D27*(1-E27),0)</x:f>
        <x:v>8680.0</x:v>
      </x:c>
      <x:c r="G27" s="5">
        <x:f>SUM(B27:B27)</x:f>
        <x:v>400.0</x:v>
      </x:c>
      <x:c r="H27" s="5">
        <x:f>F27+G27</x:f>
        <x:v>9080.0</x:v>
      </x:c>
      <x:c r="I27" s="5">
        <x:f>ROUND(H27*$M$4,0)</x:f>
        <x:v>908.0</x:v>
      </x:c>
      <x:c r="J27" s="5">
        <x:f>H27+I27</x:f>
        <x:v>9988.0</x:v>
      </x:c>
      <x:c r="K27" s="2"/>
      <x:c r="L27" s="2"/>
      <x:c r="M27" s="2"/>
    </x:row>
    <x:row r="28" ht="22" customHeight="1">
      <x:c r="A28" s="8" t="str">
        <x:v>000021</x:v>
      </x:c>
      <x:c r="B28" s="8" t="n">
        <x:v>500</x:v>
      </x:c>
      <x:c r="C28" s="5" t="n">
        <x:v>1</x:v>
      </x:c>
      <x:c r="D28" s="5" t="n">
        <x:v>1257</x:v>
      </x:c>
      <x:c r="E28" s="6" t="n">
        <x:v>0.05</x:v>
      </x:c>
      <x:c r="F28" s="5">
        <x:f>ROUND(C28*D28*(1-E28),0)</x:f>
        <x:v>1194.0</x:v>
      </x:c>
      <x:c r="G28" s="5">
        <x:f>SUM(B28:B28)</x:f>
        <x:v>500.0</x:v>
      </x:c>
      <x:c r="H28" s="5">
        <x:f>F28+G28</x:f>
        <x:v>1694.0</x:v>
      </x:c>
      <x:c r="I28" s="5">
        <x:f>ROUND(H28*$M$4,0)</x:f>
        <x:v>169.0</x:v>
      </x:c>
      <x:c r="J28" s="5">
        <x:f>H28+I28</x:f>
        <x:v>1863.0</x:v>
      </x:c>
      <x:c r="K28" s="2"/>
      <x:c r="L28" s="2"/>
      <x:c r="M28" s="2"/>
    </x:row>
    <x:row r="29" ht="22" customHeight="1">
      <x:c r="A29" s="8" t="str">
        <x:v>000022</x:v>
      </x:c>
      <x:c r="B29" s="8" t="n">
        <x:v>-500</x:v>
      </x:c>
      <x:c r="C29" s="5" t="n">
        <x:v>2</x:v>
      </x:c>
      <x:c r="D29" s="5" t="n">
        <x:v>1274</x:v>
      </x:c>
      <x:c r="E29" s="6" t="n">
        <x:v>0.1</x:v>
      </x:c>
      <x:c r="F29" s="5">
        <x:f>ROUND(C29*D29*(1-E29),0)</x:f>
        <x:v>2293.0</x:v>
      </x:c>
      <x:c r="G29" s="5">
        <x:f>SUM(B29:B29)</x:f>
        <x:v>-500.0</x:v>
      </x:c>
      <x:c r="H29" s="5">
        <x:f>F29+G29</x:f>
        <x:v>1793.0</x:v>
      </x:c>
      <x:c r="I29" s="5">
        <x:f>ROUND(H29*$M$4,0)</x:f>
        <x:v>179.0</x:v>
      </x:c>
      <x:c r="J29" s="5">
        <x:f>H29+I29</x:f>
        <x:v>1972.0</x:v>
      </x:c>
      <x:c r="K29" s="2"/>
      <x:c r="L29" s="2"/>
      <x:c r="M29" s="2"/>
    </x:row>
    <x:row r="30" ht="22" customHeight="1">
      <x:c r="A30" s="8" t="str">
        <x:v>000023</x:v>
      </x:c>
      <x:c r="B30" s="8" t="n">
        <x:v>-400</x:v>
      </x:c>
      <x:c r="C30" s="5" t="n">
        <x:v>3</x:v>
      </x:c>
      <x:c r="D30" s="5" t="n">
        <x:v>1291</x:v>
      </x:c>
      <x:c r="E30" s="6" t="n">
        <x:v>0.15</x:v>
      </x:c>
      <x:c r="F30" s="5">
        <x:f>ROUND(C30*D30*(1-E30),0)</x:f>
        <x:v>3292.0</x:v>
      </x:c>
      <x:c r="G30" s="5">
        <x:f>SUM(B30:B30)</x:f>
        <x:v>-400.0</x:v>
      </x:c>
      <x:c r="H30" s="5">
        <x:f>F30+G30</x:f>
        <x:v>2892.0</x:v>
      </x:c>
      <x:c r="I30" s="5">
        <x:f>ROUND(H30*$M$4,0)</x:f>
        <x:v>289.0</x:v>
      </x:c>
      <x:c r="J30" s="5">
        <x:f>H30+I30</x:f>
        <x:v>3181.0</x:v>
      </x:c>
      <x:c r="K30" s="2"/>
      <x:c r="L30" s="2"/>
      <x:c r="M30" s="2"/>
    </x:row>
    <x:row r="31" ht="22" customHeight="1">
      <x:c r="A31" s="8" t="str">
        <x:v>000024</x:v>
      </x:c>
      <x:c r="B31" s="8" t="n">
        <x:v>-300</x:v>
      </x:c>
      <x:c r="C31" s="5" t="n">
        <x:v>4</x:v>
      </x:c>
      <x:c r="D31" s="5" t="n">
        <x:v>1308</x:v>
      </x:c>
      <x:c r="E31" s="6" t="n">
        <x:v>0</x:v>
      </x:c>
      <x:c r="F31" s="5"/>
      <x:c r="G31" s="5">
        <x:f>SUM(B31:B31)</x:f>
        <x:v>-300.0</x:v>
      </x:c>
      <x:c r="H31" s="5">
        <x:f>F31+G31</x:f>
        <x:v>-300.0</x:v>
      </x:c>
      <x:c r="I31" s="5">
        <x:f>ROUND(H31*$M$4,0)</x:f>
        <x:v>-30.0</x:v>
      </x:c>
      <x:c r="J31" s="5">
        <x:f>H31+I31</x:f>
        <x:v>-330.0</x:v>
      </x:c>
      <x:c r="K31" s="2"/>
      <x:c r="L31" s="2"/>
      <x:c r="M31" s="2"/>
    </x:row>
    <x:row r="32" ht="22" customHeight="1">
      <x:c r="A32" s="8" t="str">
        <x:v>000025</x:v>
      </x:c>
      <x:c r="B32" s="8" t="n">
        <x:v>-200</x:v>
      </x:c>
      <x:c r="C32" s="5" t="n">
        <x:v>5</x:v>
      </x:c>
      <x:c r="D32" s="5" t="n">
        <x:v>1325</x:v>
      </x:c>
      <x:c r="E32" s="6" t="n">
        <x:v>0.05</x:v>
      </x:c>
      <x:c r="F32" s="5">
        <x:f>ROUND(C32*D32*(1-E32),0)</x:f>
        <x:v>6294.0</x:v>
      </x:c>
      <x:c r="G32" s="5">
        <x:f>SUM(B32:B32)</x:f>
        <x:v>-200.0</x:v>
      </x:c>
      <x:c r="H32" s="5">
        <x:f>F32+G32</x:f>
        <x:v>6094.0</x:v>
      </x:c>
      <x:c r="I32" s="5">
        <x:f>ROUND(H32*$M$4,0)</x:f>
        <x:v>609.0</x:v>
      </x:c>
      <x:c r="J32" s="5">
        <x:f>H32+I32</x:f>
        <x:v>6703.0</x:v>
      </x:c>
      <x:c r="K32" s="2"/>
      <x:c r="L32" s="2"/>
      <x:c r="M32" s="2"/>
    </x:row>
    <x:row r="33" ht="22" customHeight="1">
      <x:c r="A33" s="8" t="str">
        <x:v>000026</x:v>
      </x:c>
      <x:c r="B33" s="8" t="n">
        <x:v>-100</x:v>
      </x:c>
      <x:c r="C33" s="5" t="n">
        <x:v>6</x:v>
      </x:c>
      <x:c r="D33" s="5" t="n">
        <x:v>1342</x:v>
      </x:c>
      <x:c r="E33" s="6" t="n">
        <x:v>0.1</x:v>
      </x:c>
      <x:c r="F33" s="5">
        <x:f>ROUND(C33*D33*(1-E33),0)</x:f>
        <x:v>7247.0</x:v>
      </x:c>
      <x:c r="G33" s="5">
        <x:f>SUM(B33:B33)</x:f>
        <x:v>-100.0</x:v>
      </x:c>
      <x:c r="H33" s="5">
        <x:f>F33+G33</x:f>
        <x:v>7147.0</x:v>
      </x:c>
      <x:c r="I33" s="5">
        <x:f>ROUND(H33*$M$4,0)</x:f>
        <x:v>715.0</x:v>
      </x:c>
      <x:c r="J33" s="5">
        <x:f>H33+I33</x:f>
        <x:v>7862.0</x:v>
      </x:c>
      <x:c r="K33" s="2"/>
      <x:c r="L33" s="2"/>
      <x:c r="M33" s="2"/>
    </x:row>
    <x:row r="34" ht="22" customHeight="1">
      <x:c r="A34" s="8" t="str">
        <x:v>000027</x:v>
      </x:c>
      <x:c r="B34" s="8" t="n">
        <x:v>0</x:v>
      </x:c>
      <x:c r="C34" s="5" t="n">
        <x:v>7</x:v>
      </x:c>
      <x:c r="D34" s="5" t="n">
        <x:v>1359</x:v>
      </x:c>
      <x:c r="E34" s="6" t="n">
        <x:v>0.15</x:v>
      </x:c>
      <x:c r="F34" s="5">
        <x:f>ROUND(C34*D34*(1-E34),0)</x:f>
        <x:v>8086.0</x:v>
      </x:c>
      <x:c r="G34" s="5">
        <x:f>SUM(B34:B34)</x:f>
        <x:v>0.0</x:v>
      </x:c>
      <x:c r="H34" s="5">
        <x:f>F34+G34</x:f>
        <x:v>8086.0</x:v>
      </x:c>
      <x:c r="I34" s="5">
        <x:f>ROUND(H34*$M$4,0)</x:f>
        <x:v>809.0</x:v>
      </x:c>
      <x:c r="J34" s="5">
        <x:f>H34+I34</x:f>
        <x:v>8895.0</x:v>
      </x:c>
      <x:c r="K34" s="2"/>
      <x:c r="L34" s="2"/>
      <x:c r="M34" s="2"/>
    </x:row>
    <x:row r="35" ht="22" customHeight="1">
      <x:c r="A35" s="8" t="str">
        <x:v>000028</x:v>
      </x:c>
      <x:c r="B35" s="8" t="n">
        <x:v>100</x:v>
      </x:c>
      <x:c r="C35" s="5" t="n">
        <x:v>1</x:v>
      </x:c>
      <x:c r="D35" s="5" t="n">
        <x:v>1376</x:v>
      </x:c>
      <x:c r="E35" s="6" t="n">
        <x:v>0</x:v>
      </x:c>
      <x:c r="F35" s="5">
        <x:f>ROUND(C35*D35*(1-E35),0)</x:f>
        <x:v>1376.0</x:v>
      </x:c>
      <x:c r="G35" s="5">
        <x:f>SUM(B35:B35)</x:f>
        <x:v>100.0</x:v>
      </x:c>
      <x:c r="H35" s="5">
        <x:f>F35+G35</x:f>
        <x:v>1476.0</x:v>
      </x:c>
      <x:c r="I35" s="5">
        <x:f>ROUND(H35*$M$4,0)</x:f>
        <x:v>148.0</x:v>
      </x:c>
      <x:c r="J35" s="5">
        <x:f>H35+I35</x:f>
        <x:v>1624.0</x:v>
      </x:c>
      <x:c r="K35" s="2"/>
      <x:c r="L35" s="2"/>
      <x:c r="M35" s="2"/>
    </x:row>
    <x:row r="36" ht="22" customHeight="1">
      <x:c r="A36" s="8" t="str">
        <x:v>000029</x:v>
      </x:c>
      <x:c r="B36" s="8" t="n">
        <x:v>200</x:v>
      </x:c>
      <x:c r="C36" s="5" t="n">
        <x:v>2</x:v>
      </x:c>
      <x:c r="D36" s="5" t="n">
        <x:v>1393</x:v>
      </x:c>
      <x:c r="E36" s="6" t="n">
        <x:v>0.05</x:v>
      </x:c>
      <x:c r="F36" s="5">
        <x:f>ROUND(C36*D36*(1-E36),0)</x:f>
        <x:v>2647.0</x:v>
      </x:c>
      <x:c r="G36" s="5">
        <x:f>SUM(B36:B36)</x:f>
        <x:v>200.0</x:v>
      </x:c>
      <x:c r="H36" s="5">
        <x:f>F36+G36</x:f>
        <x:v>2847.0</x:v>
      </x:c>
      <x:c r="I36" s="5">
        <x:f>ROUND(H36*$M$4,0)</x:f>
        <x:v>285.0</x:v>
      </x:c>
      <x:c r="J36" s="5">
        <x:f>H36+I36</x:f>
        <x:v>3132.0</x:v>
      </x:c>
      <x:c r="K36" s="2"/>
      <x:c r="L36" s="2"/>
      <x:c r="M36" s="2"/>
    </x:row>
    <x:row r="37" ht="22" customHeight="1">
      <x:c r="A37" s="8" t="str">
        <x:v>000030</x:v>
      </x:c>
      <x:c r="B37" s="8" t="n">
        <x:v>300</x:v>
      </x:c>
      <x:c r="C37" s="5" t="n">
        <x:v>3</x:v>
      </x:c>
      <x:c r="D37" s="5" t="n">
        <x:v>1410</x:v>
      </x:c>
      <x:c r="E37" s="6" t="n">
        <x:v>0.1</x:v>
      </x:c>
      <x:c r="F37" s="5">
        <x:f>ROUND(C37*D37*(1-E37),0)</x:f>
        <x:v>3807.0</x:v>
      </x:c>
      <x:c r="G37" s="5">
        <x:f>SUM(B37:B37)</x:f>
        <x:v>300.0</x:v>
      </x:c>
      <x:c r="H37" s="5">
        <x:f>F37+G37</x:f>
        <x:v>4107.0</x:v>
      </x:c>
      <x:c r="I37" s="5">
        <x:f>ROUND(H37*$M$4,0)</x:f>
        <x:v>411.0</x:v>
      </x:c>
      <x:c r="J37" s="5">
        <x:f>H37+I37</x:f>
        <x:v>4518.0</x:v>
      </x:c>
      <x:c r="K37" s="2"/>
      <x:c r="L37" s="2"/>
      <x:c r="M37" s="2"/>
    </x:row>
    <x:row r="38" ht="22" customHeight="1">
      <x:c r="A38" s="8" t="str">
        <x:v>000031</x:v>
      </x:c>
      <x:c r="B38" s="8" t="n">
        <x:v>400</x:v>
      </x:c>
      <x:c r="C38" s="5" t="n">
        <x:v>4</x:v>
      </x:c>
      <x:c r="D38" s="5" t="n">
        <x:v>1427</x:v>
      </x:c>
      <x:c r="E38" s="6" t="n">
        <x:v>0.15</x:v>
      </x:c>
      <x:c r="F38" s="5">
        <x:f>ROUND(C38*D38*(1-E38),0)</x:f>
        <x:v>4852.0</x:v>
      </x:c>
      <x:c r="G38" s="5">
        <x:f>SUM(B38:B38)</x:f>
        <x:v>400.0</x:v>
      </x:c>
      <x:c r="H38" s="5">
        <x:f>F38+G38</x:f>
        <x:v>5252.0</x:v>
      </x:c>
      <x:c r="I38" s="5">
        <x:f>ROUND(H38*$M$4,0)</x:f>
        <x:v>525.0</x:v>
      </x:c>
      <x:c r="J38" s="5">
        <x:f>H38+I38</x:f>
        <x:v>5777.0</x:v>
      </x:c>
      <x:c r="K38" s="2"/>
      <x:c r="L38" s="2"/>
      <x:c r="M38" s="2"/>
    </x:row>
    <x:row r="39" ht="22" customHeight="1">
      <x:c r="A39" s="8" t="str">
        <x:v>000032</x:v>
      </x:c>
      <x:c r="B39" s="8">
        <x:v>0</x:v>
      </x:c>
      <x:c r="C39" s="5" t="n">
        <x:v>5</x:v>
      </x:c>
      <x:c r="D39" s="5" t="n">
        <x:v>1444</x:v>
      </x:c>
      <x:c r="E39" s="6" t="n">
        <x:v>0</x:v>
      </x:c>
      <x:c r="F39" s="5">
        <x:f>ROUND(C39*D39*(1-E39),0)</x:f>
        <x:v>7220.0</x:v>
      </x:c>
      <x:c r="G39" s="5">
        <x:f>SUM(B39:B39)</x:f>
        <x:v>0.0</x:v>
      </x:c>
      <x:c r="H39" s="5">
        <x:f>F39+G39</x:f>
        <x:v>7220.0</x:v>
      </x:c>
      <x:c r="I39" s="5">
        <x:f>ROUND(H39*$M$4,0)</x:f>
        <x:v>722.0</x:v>
      </x:c>
      <x:c r="J39" s="5">
        <x:f>H39+I39</x:f>
        <x:v>7942.0</x:v>
      </x:c>
      <x:c r="K39" s="2"/>
      <x:c r="L39" s="2"/>
      <x:c r="M39" s="2"/>
    </x:row>
    <x:row r="40" ht="22" customHeight="1">
      <x:c r="A40" s="8" t="str">
        <x:v>000033</x:v>
      </x:c>
      <x:c r="B40" s="8" t="n">
        <x:v>-500</x:v>
      </x:c>
      <x:c r="C40" s="5" t="n">
        <x:v>6</x:v>
      </x:c>
      <x:c r="D40" s="5" t="n">
        <x:v>1461</x:v>
      </x:c>
      <x:c r="E40" s="6" t="n">
        <x:v>0.05</x:v>
      </x:c>
      <x:c r="F40" s="5">
        <x:f>ROUND(C40*D40*(1-E40),0)</x:f>
        <x:v>8328.0</x:v>
      </x:c>
      <x:c r="G40" s="5">
        <x:f>SUM(B40:B40)</x:f>
        <x:v>-500.0</x:v>
      </x:c>
      <x:c r="H40" s="5">
        <x:f>F40+G40</x:f>
        <x:v>7828.0</x:v>
      </x:c>
      <x:c r="I40" s="5">
        <x:f>ROUND(H40*$M$4,0)</x:f>
        <x:v>783.0</x:v>
      </x:c>
      <x:c r="J40" s="5">
        <x:f>H40+I40</x:f>
        <x:v>8611.0</x:v>
      </x:c>
      <x:c r="K40" s="2"/>
      <x:c r="L40" s="2"/>
      <x:c r="M40" s="2"/>
    </x:row>
    <x:row r="41" ht="22" customHeight="1">
      <x:c r="A41" s="8" t="str">
        <x:v>000034</x:v>
      </x:c>
      <x:c r="B41" s="8" t="n">
        <x:v>-400</x:v>
      </x:c>
      <x:c r="C41" s="5" t="n">
        <x:v>7</x:v>
      </x:c>
      <x:c r="D41" s="5" t="n">
        <x:v>1478</x:v>
      </x:c>
      <x:c r="E41" s="6" t="n">
        <x:v>0.1</x:v>
      </x:c>
      <x:c r="F41" s="5">
        <x:f>ROUND(C41*D41*(1-E41),0)</x:f>
        <x:v>9311.0</x:v>
      </x:c>
      <x:c r="G41" s="5">
        <x:f>SUM(B41:B41)</x:f>
        <x:v>-400.0</x:v>
      </x:c>
      <x:c r="H41" s="5">
        <x:f>F41+G41</x:f>
        <x:v>8911.0</x:v>
      </x:c>
      <x:c r="I41" s="5">
        <x:f>ROUND(H41*$M$4,0)</x:f>
        <x:v>891.0</x:v>
      </x:c>
      <x:c r="J41" s="5">
        <x:f>H41+I41</x:f>
        <x:v>9802.0</x:v>
      </x:c>
      <x:c r="K41" s="2"/>
      <x:c r="L41" s="2"/>
      <x:c r="M41" s="2"/>
    </x:row>
    <x:row r="42" ht="22" customHeight="1">
      <x:c r="A42" s="8" t="str">
        <x:v>000035</x:v>
      </x:c>
      <x:c r="B42" s="8" t="n">
        <x:v>-300</x:v>
      </x:c>
      <x:c r="C42" s="5" t="n">
        <x:v>1</x:v>
      </x:c>
      <x:c r="D42" s="5" t="n">
        <x:v>1495</x:v>
      </x:c>
      <x:c r="E42" s="6" t="n">
        <x:v>0.15</x:v>
      </x:c>
      <x:c r="F42" s="5">
        <x:f>ROUND(C42*D42*(1-E42),0)</x:f>
        <x:v>1271.0</x:v>
      </x:c>
      <x:c r="G42" s="5">
        <x:f>SUM(B42:B42)</x:f>
        <x:v>-300.0</x:v>
      </x:c>
      <x:c r="H42" s="5">
        <x:f>F42+G42</x:f>
        <x:v>971.0</x:v>
      </x:c>
      <x:c r="I42" s="5">
        <x:f>ROUND(H42*$M$4,0)</x:f>
        <x:v>97.0</x:v>
      </x:c>
      <x:c r="J42" s="5">
        <x:f>H42+I42</x:f>
        <x:v>1068.0</x:v>
      </x:c>
      <x:c r="K42" s="2"/>
      <x:c r="L42" s="2"/>
      <x:c r="M42" s="2"/>
    </x:row>
    <x:row r="43" ht="22" customHeight="1">
      <x:c r="A43" s="8" t="str">
        <x:v>000036</x:v>
      </x:c>
      <x:c r="B43" s="8" t="n">
        <x:v>-200</x:v>
      </x:c>
      <x:c r="C43" s="5" t="n">
        <x:v>2</x:v>
      </x:c>
      <x:c r="D43" s="5" t="n">
        <x:v>1512</x:v>
      </x:c>
      <x:c r="E43" s="6" t="n">
        <x:v>0</x:v>
      </x:c>
      <x:c r="F43" s="5">
        <x:f>ROUND(C43*D43*(1-E43),0)</x:f>
        <x:v>3024.0</x:v>
      </x:c>
      <x:c r="G43" s="5">
        <x:f>SUM(B43:B43)</x:f>
        <x:v>-200.0</x:v>
      </x:c>
      <x:c r="H43" s="5">
        <x:f>F43+G43</x:f>
        <x:v>2824.0</x:v>
      </x:c>
      <x:c r="I43" s="5">
        <x:f>ROUND(H43*$M$4,0)</x:f>
        <x:v>282.0</x:v>
      </x:c>
      <x:c r="J43" s="5">
        <x:f>H43+I43</x:f>
        <x:v>3106.0</x:v>
      </x:c>
      <x:c r="K43" s="2"/>
      <x:c r="L43" s="2"/>
      <x:c r="M43" s="2"/>
    </x:row>
    <x:row r="44" ht="22" customHeight="1">
      <x:c r="A44" s="8" t="str">
        <x:v>000037</x:v>
      </x:c>
      <x:c r="B44" s="8" t="n">
        <x:v>-100</x:v>
      </x:c>
      <x:c r="C44" s="5" t="n">
        <x:v>3</x:v>
      </x:c>
      <x:c r="D44" s="5" t="n">
        <x:v>1529</x:v>
      </x:c>
      <x:c r="E44" s="6" t="n">
        <x:v>0.05</x:v>
      </x:c>
      <x:c r="F44" s="5">
        <x:f>ROUND(C44*D44*(1-E44),0)</x:f>
        <x:v>4358.0</x:v>
      </x:c>
      <x:c r="G44" s="5">
        <x:f>SUM(B44:B44)</x:f>
        <x:v>-100.0</x:v>
      </x:c>
      <x:c r="H44" s="5">
        <x:f>F44+G44</x:f>
        <x:v>4258.0</x:v>
      </x:c>
      <x:c r="I44" s="5">
        <x:f>ROUND(H44*$M$4,0)</x:f>
        <x:v>426.0</x:v>
      </x:c>
      <x:c r="J44" s="5">
        <x:f>H44+I44</x:f>
        <x:v>4684.0</x:v>
      </x:c>
      <x:c r="K44" s="2"/>
      <x:c r="L44" s="2"/>
      <x:c r="M44" s="2"/>
    </x:row>
    <x:row r="45" ht="22" customHeight="1">
      <x:c r="A45" s="8" t="str">
        <x:v>000038</x:v>
      </x:c>
      <x:c r="B45" s="8" t="n">
        <x:v>0</x:v>
      </x:c>
      <x:c r="C45" s="5" t="n">
        <x:v>4</x:v>
      </x:c>
      <x:c r="D45" s="5" t="n">
        <x:v>1546</x:v>
      </x:c>
      <x:c r="E45" s="6" t="n">
        <x:v>0.1</x:v>
      </x:c>
      <x:c r="F45" s="5">
        <x:f>ROUND(C45*D45*(1-E45),0)</x:f>
        <x:v>5566.0</x:v>
      </x:c>
      <x:c r="G45" s="5">
        <x:f>SUM(B45:B45)</x:f>
        <x:v>0.0</x:v>
      </x:c>
      <x:c r="H45" s="5">
        <x:f>F45+G45</x:f>
        <x:v>5566.0</x:v>
      </x:c>
      <x:c r="I45" s="5">
        <x:f>ROUND(H45*$M$4,0)</x:f>
        <x:v>557.0</x:v>
      </x:c>
      <x:c r="J45" s="5">
        <x:f>H45+I45</x:f>
        <x:v>6123.0</x:v>
      </x:c>
      <x:c r="K45" s="2"/>
      <x:c r="L45" s="2"/>
      <x:c r="M45" s="2"/>
    </x:row>
    <x:row r="46" ht="22" customHeight="1">
      <x:c r="A46" s="8" t="str">
        <x:v>000039</x:v>
      </x:c>
      <x:c r="B46" s="8" t="n">
        <x:v>100</x:v>
      </x:c>
      <x:c r="C46" s="5" t="n">
        <x:v>5</x:v>
      </x:c>
      <x:c r="D46" s="5" t="n">
        <x:v>1563</x:v>
      </x:c>
      <x:c r="E46" s="6" t="n">
        <x:v>0.15</x:v>
      </x:c>
      <x:c r="F46" s="5">
        <x:f>ROUND(C46*D46*(1-E46),0)</x:f>
        <x:v>6643.0</x:v>
      </x:c>
      <x:c r="G46" s="5">
        <x:f>SUM(B46:B46)</x:f>
        <x:v>100.0</x:v>
      </x:c>
      <x:c r="H46" s="5">
        <x:f>F46+G46</x:f>
        <x:v>6743.0</x:v>
      </x:c>
      <x:c r="I46" s="5">
        <x:f>ROUND(H46*$M$4,0)</x:f>
        <x:v>674.0</x:v>
      </x:c>
      <x:c r="J46" s="5">
        <x:f>H46+I46</x:f>
        <x:v>7417.0</x:v>
      </x:c>
      <x:c r="K46" s="2"/>
      <x:c r="L46" s="2"/>
      <x:c r="M46" s="2"/>
    </x:row>
    <x:row r="47" ht="22" customHeight="1">
      <x:c r="A47" s="8" t="str">
        <x:v>000040</x:v>
      </x:c>
      <x:c r="B47" s="8" t="n">
        <x:v>200</x:v>
      </x:c>
      <x:c r="C47" s="5" t="n">
        <x:v>6</x:v>
      </x:c>
      <x:c r="D47" s="5" t="n">
        <x:v>1580</x:v>
      </x:c>
      <x:c r="E47" s="6" t="n">
        <x:v>0</x:v>
      </x:c>
      <x:c r="F47" s="5">
        <x:f>ROUND(C47*D47*(1-E47),0)</x:f>
        <x:v>9480.0</x:v>
      </x:c>
      <x:c r="G47" s="5">
        <x:f>SUM(B47:B47)</x:f>
        <x:v>200.0</x:v>
      </x:c>
      <x:c r="H47" s="5">
        <x:f>F47+G47</x:f>
        <x:v>9680.0</x:v>
      </x:c>
      <x:c r="I47" s="5">
        <x:f>ROUND(H47*$M$4,0)</x:f>
        <x:v>968.0</x:v>
      </x:c>
      <x:c r="J47" s="5">
        <x:f>H47+I47</x:f>
        <x:v>10648.0</x:v>
      </x:c>
      <x:c r="K47" s="2"/>
      <x:c r="L47" s="2"/>
      <x:c r="M47" s="2"/>
    </x:row>
    <x:row r="48" ht="22" customHeight="1">
      <x:c r="A48" s="8" t="str">
        <x:v>000041</x:v>
      </x:c>
      <x:c r="B48" s="8" t="n">
        <x:v>300</x:v>
      </x:c>
      <x:c r="C48" s="5" t="n">
        <x:v>7</x:v>
      </x:c>
      <x:c r="D48" s="5" t="n">
        <x:v>1597</x:v>
      </x:c>
      <x:c r="E48" s="6" t="n">
        <x:v>0.05</x:v>
      </x:c>
      <x:c r="F48" s="5">
        <x:f>ROUND(C48*D48*(1-E48),0)</x:f>
        <x:v>10620.0</x:v>
      </x:c>
      <x:c r="G48" s="5">
        <x:f>SUM(B48:B48)</x:f>
        <x:v>300.0</x:v>
      </x:c>
      <x:c r="H48" s="5">
        <x:f>F48+G48</x:f>
        <x:v>10920.0</x:v>
      </x:c>
      <x:c r="I48" s="5">
        <x:f>ROUND(H48*$M$4,0)</x:f>
        <x:v>1092.0</x:v>
      </x:c>
      <x:c r="J48" s="5">
        <x:f>H48+I48</x:f>
        <x:v>12012.0</x:v>
      </x:c>
      <x:c r="K48" s="2"/>
      <x:c r="L48" s="2"/>
      <x:c r="M48" s="2"/>
    </x:row>
    <x:row r="49" ht="22" customHeight="1">
      <x:c r="A49" s="8" t="str">
        <x:v>000042</x:v>
      </x:c>
      <x:c r="B49" s="8" t="n">
        <x:v>400</x:v>
      </x:c>
      <x:c r="C49" s="5" t="n">
        <x:v>1</x:v>
      </x:c>
      <x:c r="D49" s="5" t="n">
        <x:v>1614</x:v>
      </x:c>
      <x:c r="E49" s="6" t="n">
        <x:v>0.1</x:v>
      </x:c>
      <x:c r="F49" s="5">
        <x:f>ROUND(C49*D49*(1-E49),0)</x:f>
        <x:v>1453.0</x:v>
      </x:c>
      <x:c r="G49" s="5">
        <x:f>SUM(B49:B49)</x:f>
        <x:v>400.0</x:v>
      </x:c>
      <x:c r="H49" s="5">
        <x:f>F49+G49</x:f>
        <x:v>1853.0</x:v>
      </x:c>
      <x:c r="I49" s="5">
        <x:f>ROUND(H49*$M$4,0)</x:f>
        <x:v>185.0</x:v>
      </x:c>
      <x:c r="J49" s="5">
        <x:f>H49+I49</x:f>
        <x:v>2038.0</x:v>
      </x:c>
      <x:c r="K49" s="2"/>
      <x:c r="L49" s="2"/>
      <x:c r="M49" s="2"/>
    </x:row>
    <x:row r="50" ht="22" customHeight="1">
      <x:c r="A50" s="8" t="str">
        <x:v>000043</x:v>
      </x:c>
      <x:c r="B50" s="8" t="n">
        <x:v>500</x:v>
      </x:c>
      <x:c r="C50" s="5" t="n">
        <x:v>2</x:v>
      </x:c>
      <x:c r="D50" s="5" t="n">
        <x:v>1631</x:v>
      </x:c>
      <x:c r="E50" s="6" t="n">
        <x:v>0.15</x:v>
      </x:c>
      <x:c r="F50" s="5">
        <x:f>ROUND(C50*D50*(1-E50),0)</x:f>
        <x:v>2773.0</x:v>
      </x:c>
      <x:c r="G50" s="5">
        <x:f>SUM(B50:B50)</x:f>
        <x:v>500.0</x:v>
      </x:c>
      <x:c r="H50" s="5">
        <x:f>F50+G50</x:f>
        <x:v>3273.0</x:v>
      </x:c>
      <x:c r="I50" s="5">
        <x:f>ROUND(H50*$M$4,0)</x:f>
        <x:v>327.0</x:v>
      </x:c>
      <x:c r="J50" s="5">
        <x:f>H50+I50</x:f>
        <x:v>3600.0</x:v>
      </x:c>
      <x:c r="K50" s="2"/>
      <x:c r="L50" s="2"/>
      <x:c r="M50" s="2"/>
    </x:row>
    <x:row r="51" ht="22" customHeight="1">
      <x:c r="A51" s="8" t="str">
        <x:v>000044</x:v>
      </x:c>
      <x:c r="B51" s="8" t="n">
        <x:v>-500</x:v>
      </x:c>
      <x:c r="C51" s="5" t="n">
        <x:v>3</x:v>
      </x:c>
      <x:c r="D51" s="5" t="n">
        <x:v>1648</x:v>
      </x:c>
      <x:c r="E51" s="6" t="n">
        <x:v>0</x:v>
      </x:c>
      <x:c r="F51" s="5">
        <x:f>ROUND(C51*D51*(1-E51),0)</x:f>
        <x:v>4944.0</x:v>
      </x:c>
      <x:c r="G51" s="5">
        <x:f>SUM(B51:B51)</x:f>
        <x:v>-500.0</x:v>
      </x:c>
      <x:c r="H51" s="5">
        <x:f>F51+G51</x:f>
        <x:v>4444.0</x:v>
      </x:c>
      <x:c r="I51" s="5">
        <x:f>ROUND(H51*$M$4,0)</x:f>
        <x:v>444.0</x:v>
      </x:c>
      <x:c r="J51" s="5">
        <x:f>H51+I51</x:f>
        <x:v>4888.0</x:v>
      </x:c>
      <x:c r="K51" s="2"/>
      <x:c r="L51" s="2"/>
      <x:c r="M51" s="2"/>
    </x:row>
    <x:row r="52" ht="22" customHeight="1">
      <x:c r="A52" s="8" t="str">
        <x:v>000045</x:v>
      </x:c>
      <x:c r="B52" s="8">
        <x:v>120000</x:v>
      </x:c>
      <x:c r="C52" s="5" t="n">
        <x:v>4</x:v>
      </x:c>
      <x:c r="D52" s="5" t="n">
        <x:v>1665</x:v>
      </x:c>
      <x:c r="E52" s="6" t="n">
        <x:v>0.05</x:v>
      </x:c>
      <x:c r="F52" s="5">
        <x:f>ROUND(C52*D52*(1-E52),0)</x:f>
        <x:v>6327.0</x:v>
      </x:c>
      <x:c r="G52" s="5">
        <x:f>SUM(B52:B52)</x:f>
        <x:v>120000.0</x:v>
      </x:c>
      <x:c r="H52" s="5">
        <x:f>F52+G52</x:f>
        <x:v>126327.0</x:v>
      </x:c>
      <x:c r="I52" s="5">
        <x:f>ROUND(H52*$M$4,0)</x:f>
        <x:v>12633.0</x:v>
      </x:c>
      <x:c r="J52" s="5">
        <x:f>H52+I52</x:f>
        <x:v>138960.0</x:v>
      </x:c>
      <x:c r="K52" s="2"/>
      <x:c r="L52" s="2"/>
      <x:c r="M52" s="2"/>
    </x:row>
    <x:row r="53" ht="22" customHeight="1">
      <x:c r="A53" s="8" t="str">
        <x:v>000046</x:v>
      </x:c>
      <x:c r="B53" s="8" t="n">
        <x:v>-300</x:v>
      </x:c>
      <x:c r="C53" s="5" t="n">
        <x:v>5</x:v>
      </x:c>
      <x:c r="D53" s="5" t="n">
        <x:v>1682</x:v>
      </x:c>
      <x:c r="E53" s="6" t="n">
        <x:v>0.1</x:v>
      </x:c>
      <x:c r="F53" s="5">
        <x:f>ROUND(C53*D53*(1-E53),0)</x:f>
        <x:v>7569.0</x:v>
      </x:c>
      <x:c r="G53" s="5">
        <x:f>SUM(B53:B53)</x:f>
        <x:v>-300.0</x:v>
      </x:c>
      <x:c r="H53" s="5">
        <x:f>F53+G53</x:f>
        <x:v>7269.0</x:v>
      </x:c>
      <x:c r="I53" s="5">
        <x:f>ROUND(H53*$M$4,0)</x:f>
        <x:v>727.0</x:v>
      </x:c>
      <x:c r="J53" s="5">
        <x:f>H53+I53</x:f>
        <x:v>7996.0</x:v>
      </x:c>
      <x:c r="K53" s="2"/>
      <x:c r="L53" s="2"/>
      <x:c r="M53" s="2"/>
    </x:row>
    <x:row r="54" ht="22" customHeight="1">
      <x:c r="A54" s="8" t="str">
        <x:v>000047</x:v>
      </x:c>
      <x:c r="B54" s="8" t="n">
        <x:v>-200</x:v>
      </x:c>
      <x:c r="C54" s="5" t="n">
        <x:v>6</x:v>
      </x:c>
      <x:c r="D54" s="5" t="n">
        <x:v>1699</x:v>
      </x:c>
      <x:c r="E54" s="6" t="n">
        <x:v>0.15</x:v>
      </x:c>
      <x:c r="F54" s="5">
        <x:f>ROUND(C54*D54*(1-E54),0)</x:f>
        <x:v>8665.0</x:v>
      </x:c>
      <x:c r="G54" s="5">
        <x:f>SUM(B54:B54)</x:f>
        <x:v>-200.0</x:v>
      </x:c>
      <x:c r="H54" s="5">
        <x:f>F54+G54</x:f>
        <x:v>8465.0</x:v>
      </x:c>
      <x:c r="I54" s="5">
        <x:f>ROUND(H54*$M$4,0)</x:f>
        <x:v>847.0</x:v>
      </x:c>
      <x:c r="J54" s="5">
        <x:f>H54+I54</x:f>
        <x:v>9312.0</x:v>
      </x:c>
      <x:c r="K54" s="2"/>
      <x:c r="L54" s="2"/>
      <x:c r="M54" s="2"/>
    </x:row>
    <x:row r="55" ht="22" customHeight="1">
      <x:c r="A55" s="8" t="str">
        <x:v>000048</x:v>
      </x:c>
      <x:c r="B55" s="8" t="n">
        <x:v>-100</x:v>
      </x:c>
      <x:c r="C55" s="5" t="n">
        <x:v>7</x:v>
      </x:c>
      <x:c r="D55" s="5" t="n">
        <x:v>1716</x:v>
      </x:c>
      <x:c r="E55" s="6" t="n">
        <x:v>0</x:v>
      </x:c>
      <x:c r="F55" s="5">
        <x:f>ROUND(C55*D55*(1-E55),0)</x:f>
        <x:v>12012.0</x:v>
      </x:c>
      <x:c r="G55" s="5">
        <x:f>SUM(B55:B55)</x:f>
        <x:v>-100.0</x:v>
      </x:c>
      <x:c r="H55" s="5">
        <x:f>F55+G55</x:f>
        <x:v>11912.0</x:v>
      </x:c>
      <x:c r="I55" s="5">
        <x:f>ROUND(H55*$M$4,0)</x:f>
        <x:v>1191.0</x:v>
      </x:c>
      <x:c r="J55" s="5">
        <x:f>H55+I55</x:f>
        <x:v>13103.0</x:v>
      </x:c>
      <x:c r="K55" s="2"/>
      <x:c r="L55" s="2"/>
      <x:c r="M55" s="2"/>
    </x:row>
    <x:row r="56" ht="22" customHeight="1">
      <x:c r="A56" s="8" t="str">
        <x:v>000049</x:v>
      </x:c>
      <x:c r="B56" s="8" t="n">
        <x:v>0</x:v>
      </x:c>
      <x:c r="C56" s="5" t="n">
        <x:v>1</x:v>
      </x:c>
      <x:c r="D56" s="5" t="n">
        <x:v>1733</x:v>
      </x:c>
      <x:c r="E56" s="6" t="n">
        <x:v>0.05</x:v>
      </x:c>
      <x:c r="F56" s="5">
        <x:f>ROUND(C56*D56*(1-E56),0)</x:f>
        <x:v>1646.0</x:v>
      </x:c>
      <x:c r="G56" s="5">
        <x:f>SUM(B56:B56)</x:f>
        <x:v>0.0</x:v>
      </x:c>
      <x:c r="H56" s="5">
        <x:f>F56+G56</x:f>
        <x:v>1646.0</x:v>
      </x:c>
      <x:c r="I56" s="5">
        <x:f>ROUND(H56*$M$4,0)</x:f>
        <x:v>165.0</x:v>
      </x:c>
      <x:c r="J56" s="5">
        <x:f>H56+I56</x:f>
        <x:v>1811.0</x:v>
      </x:c>
      <x:c r="K56" s="2"/>
      <x:c r="L56" s="2"/>
      <x:c r="M56" s="2"/>
    </x:row>
    <x:row r="57" ht="22" customHeight="1">
      <x:c r="A57" s="8" t="str">
        <x:v>000050</x:v>
      </x:c>
      <x:c r="B57" s="8" t="n">
        <x:v>100</x:v>
      </x:c>
      <x:c r="C57" s="5" t="n">
        <x:v>2</x:v>
      </x:c>
      <x:c r="D57" s="5" t="n">
        <x:v>1750</x:v>
      </x:c>
      <x:c r="E57" s="6" t="n">
        <x:v>0.1</x:v>
      </x:c>
      <x:c r="F57" s="5">
        <x:f>ROUND(C57*D57*(1-E57),0)</x:f>
        <x:v>3150.0</x:v>
      </x:c>
      <x:c r="G57" s="5">
        <x:f>SUM(B57:B57)</x:f>
        <x:v>100.0</x:v>
      </x:c>
      <x:c r="H57" s="5">
        <x:f>F57+G57</x:f>
        <x:v>3250.0</x:v>
      </x:c>
      <x:c r="I57" s="5">
        <x:f>ROUND(H57*$M$4,0)</x:f>
        <x:v>325.0</x:v>
      </x:c>
      <x:c r="J57" s="5">
        <x:f>H57+I57</x:f>
        <x:v>3575.0</x:v>
      </x:c>
      <x:c r="K57" s="2"/>
      <x:c r="L57" s="2"/>
      <x:c r="M57" s="2"/>
    </x:row>
    <x:row r="58" ht="22" customHeight="1">
      <x:c r="A58" s="8" t="str">
        <x:v>000051</x:v>
      </x:c>
      <x:c r="B58" s="8" t="n">
        <x:v>200</x:v>
      </x:c>
      <x:c r="C58" s="5" t="n">
        <x:v>3</x:v>
      </x:c>
      <x:c r="D58" s="5" t="n">
        <x:v>1767</x:v>
      </x:c>
      <x:c r="E58" s="6" t="n">
        <x:v>0.15</x:v>
      </x:c>
      <x:c r="F58" s="5">
        <x:f>ROUND(C58*D58*(1-E58),0)</x:f>
        <x:v>4506.0</x:v>
      </x:c>
      <x:c r="G58" s="5">
        <x:f>SUM(B58:B58)</x:f>
        <x:v>200.0</x:v>
      </x:c>
      <x:c r="H58" s="5">
        <x:f>F58+G58</x:f>
        <x:v>4706.0</x:v>
      </x:c>
      <x:c r="I58" s="5">
        <x:f>ROUND(H58*$M$4,0)</x:f>
        <x:v>471.0</x:v>
      </x:c>
      <x:c r="J58" s="5">
        <x:f>H58+I58</x:f>
        <x:v>5177.0</x:v>
      </x:c>
      <x:c r="K58" s="2"/>
      <x:c r="L58" s="2"/>
      <x:c r="M58" s="2"/>
    </x:row>
    <x:row r="59" ht="22" customHeight="1">
      <x:c r="A59" s="8" t="str">
        <x:v>000052</x:v>
      </x:c>
      <x:c r="B59" s="8" t="n">
        <x:v>300</x:v>
      </x:c>
      <x:c r="C59" s="5" t="n">
        <x:v>4</x:v>
      </x:c>
      <x:c r="D59" s="5" t="n">
        <x:v>1784</x:v>
      </x:c>
      <x:c r="E59" s="6" t="n">
        <x:v>0</x:v>
      </x:c>
      <x:c r="F59" s="5">
        <x:f>ROUND(C59*D59*(1-E59),0)</x:f>
        <x:v>7136.0</x:v>
      </x:c>
      <x:c r="G59" s="5">
        <x:f>SUM(B59:B59)</x:f>
        <x:v>300.0</x:v>
      </x:c>
      <x:c r="H59" s="5">
        <x:f>F59+G59</x:f>
        <x:v>7436.0</x:v>
      </x:c>
      <x:c r="I59" s="5">
        <x:f>ROUND(H59*$M$4,0)</x:f>
        <x:v>744.0</x:v>
      </x:c>
      <x:c r="J59" s="5">
        <x:f>H59+I59</x:f>
        <x:v>8180.0</x:v>
      </x:c>
      <x:c r="K59" s="2"/>
      <x:c r="L59" s="2"/>
      <x:c r="M59" s="2"/>
    </x:row>
    <x:row r="60" ht="22" customHeight="1">
      <x:c r="A60" s="8" t="str">
        <x:v>000053</x:v>
      </x:c>
      <x:c r="B60" s="8" t="n">
        <x:v>400</x:v>
      </x:c>
      <x:c r="C60" s="5" t="n">
        <x:v>5</x:v>
      </x:c>
      <x:c r="D60" s="5" t="n">
        <x:v>1801</x:v>
      </x:c>
      <x:c r="E60" s="6" t="n">
        <x:v>0.05</x:v>
      </x:c>
      <x:c r="F60" s="5">
        <x:f>ROUND(C60*D60*(1-E60),0)</x:f>
        <x:v>8555.0</x:v>
      </x:c>
      <x:c r="G60" s="5">
        <x:f>SUM(B60:B60)</x:f>
        <x:v>400.0</x:v>
      </x:c>
      <x:c r="H60" s="5">
        <x:f>F60+G60</x:f>
        <x:v>8955.0</x:v>
      </x:c>
      <x:c r="I60" s="5">
        <x:f>ROUND(H60*$M$4,0)</x:f>
        <x:v>896.0</x:v>
      </x:c>
      <x:c r="J60" s="5">
        <x:f>H60+I60</x:f>
        <x:v>9851.0</x:v>
      </x:c>
      <x:c r="K60" s="2"/>
      <x:c r="L60" s="2"/>
      <x:c r="M60" s="2"/>
    </x:row>
    <x:row r="61" ht="22" customHeight="1">
      <x:c r="A61" s="8" t="str">
        <x:v>000054</x:v>
      </x:c>
      <x:c r="B61" s="8" t="n">
        <x:v>500</x:v>
      </x:c>
      <x:c r="C61" s="5" t="n">
        <x:v>6</x:v>
      </x:c>
      <x:c r="D61" s="5" t="n">
        <x:v>1818</x:v>
      </x:c>
      <x:c r="E61" s="6" t="n">
        <x:v>0.1</x:v>
      </x:c>
      <x:c r="F61" s="5">
        <x:f>ROUND(C61*D61*(1-E61),0)</x:f>
        <x:v>9817.0</x:v>
      </x:c>
      <x:c r="G61" s="5">
        <x:f>SUM(B61:B61)</x:f>
        <x:v>500.0</x:v>
      </x:c>
      <x:c r="H61" s="5">
        <x:f>F61+G61</x:f>
        <x:v>10317.0</x:v>
      </x:c>
      <x:c r="I61" s="5">
        <x:f>ROUND(H61*$M$4,0)</x:f>
        <x:v>1032.0</x:v>
      </x:c>
      <x:c r="J61" s="5">
        <x:f>H61+I61</x:f>
        <x:v>11349.0</x:v>
      </x:c>
      <x:c r="K61" s="2"/>
      <x:c r="L61" s="2"/>
      <x:c r="M61" s="2"/>
    </x:row>
    <x:row r="62" ht="22" customHeight="1">
      <x:c r="A62" s="8" t="str">
        <x:v>000055</x:v>
      </x:c>
      <x:c r="B62" s="8" t="n">
        <x:v>-500</x:v>
      </x:c>
      <x:c r="C62" s="5" t="n">
        <x:v>7</x:v>
      </x:c>
      <x:c r="D62" s="5" t="n">
        <x:v>1835</x:v>
      </x:c>
      <x:c r="E62" s="6" t="n">
        <x:v>0.15</x:v>
      </x:c>
      <x:c r="F62" s="5">
        <x:f>ROUND(C62*D62*(1-E62),0)</x:f>
        <x:v>10918.0</x:v>
      </x:c>
      <x:c r="G62" s="5">
        <x:f>SUM(B62:B62)</x:f>
        <x:v>-500.0</x:v>
      </x:c>
      <x:c r="H62" s="5">
        <x:f>F62+G62</x:f>
        <x:v>10418.0</x:v>
      </x:c>
      <x:c r="I62" s="5">
        <x:f>ROUND(H62*$M$4,0)</x:f>
        <x:v>1042.0</x:v>
      </x:c>
      <x:c r="J62" s="5">
        <x:f>H62+I62</x:f>
        <x:v>11460.0</x:v>
      </x:c>
      <x:c r="K62" s="2"/>
      <x:c r="L62" s="2"/>
      <x:c r="M62" s="2"/>
    </x:row>
    <x:row r="63" ht="22" customHeight="1">
      <x:c r="A63" s="8" t="str">
        <x:v>000056</x:v>
      </x:c>
      <x:c r="B63" s="8" t="n">
        <x:v>-400</x:v>
      </x:c>
      <x:c r="C63" s="5" t="n">
        <x:v>1</x:v>
      </x:c>
      <x:c r="D63" s="5" t="n">
        <x:v>1852</x:v>
      </x:c>
      <x:c r="E63" s="6" t="n">
        <x:v>0</x:v>
      </x:c>
      <x:c r="F63" s="5">
        <x:f>ROUND(C63*D63*(1-E63),0)</x:f>
        <x:v>1852.0</x:v>
      </x:c>
      <x:c r="G63" s="5">
        <x:f>SUM(B63:B63)</x:f>
        <x:v>-400.0</x:v>
      </x:c>
      <x:c r="H63" s="5">
        <x:f>F63+G63</x:f>
        <x:v>1452.0</x:v>
      </x:c>
      <x:c r="I63" s="5">
        <x:f>ROUND(H63*$M$4,0)</x:f>
        <x:v>145.0</x:v>
      </x:c>
      <x:c r="J63" s="5">
        <x:f>H63+I63</x:f>
        <x:v>1597.0</x:v>
      </x:c>
      <x:c r="K63" s="2"/>
      <x:c r="L63" s="2"/>
      <x:c r="M63" s="2"/>
    </x:row>
    <x:row r="64" ht="22" customHeight="1">
      <x:c r="A64" s="8" t="str">
        <x:v>000057</x:v>
      </x:c>
      <x:c r="B64" s="8" t="n">
        <x:v>-300</x:v>
      </x:c>
      <x:c r="C64" s="5" t="n">
        <x:v>2</x:v>
      </x:c>
      <x:c r="D64" s="5" t="n">
        <x:v>1869</x:v>
      </x:c>
      <x:c r="E64" s="6" t="n">
        <x:v>0.05</x:v>
      </x:c>
      <x:c r="F64" s="5"/>
      <x:c r="G64" s="5">
        <x:f>SUM(B64:B64)</x:f>
        <x:v>-300.0</x:v>
      </x:c>
      <x:c r="H64" s="5">
        <x:f>F64+G64</x:f>
        <x:v>-300.0</x:v>
      </x:c>
      <x:c r="I64" s="5">
        <x:f>ROUND(H64*$M$4,0)</x:f>
        <x:v>-30.0</x:v>
      </x:c>
      <x:c r="J64" s="5">
        <x:f>H64+I64</x:f>
        <x:v>-330.0</x:v>
      </x:c>
      <x:c r="K64" s="2"/>
      <x:c r="L64" s="2"/>
      <x:c r="M64" s="2"/>
    </x:row>
    <x:row r="65" ht="22" customHeight="1">
      <x:c r="A65" s="8" t="str">
        <x:v>000058</x:v>
      </x:c>
      <x:c r="B65" s="8">
        <x:v>-2400</x:v>
      </x:c>
      <x:c r="C65" s="5" t="n">
        <x:v>3</x:v>
      </x:c>
      <x:c r="D65" s="5" t="n">
        <x:v>1886</x:v>
      </x:c>
      <x:c r="E65" s="6" t="n">
        <x:v>0.1</x:v>
      </x:c>
      <x:c r="F65" s="5">
        <x:f>ROUND(C65*D65*(1-E65),0)</x:f>
        <x:v>5092.0</x:v>
      </x:c>
      <x:c r="G65" s="5">
        <x:f>SUM(B65:B65)</x:f>
        <x:v>-2400.0</x:v>
      </x:c>
      <x:c r="H65" s="5">
        <x:f>F65+G65</x:f>
        <x:v>2692.0</x:v>
      </x:c>
      <x:c r="I65" s="5">
        <x:f>ROUND(H65*$M$4,0)</x:f>
        <x:v>269.0</x:v>
      </x:c>
      <x:c r="J65" s="5">
        <x:f>H65+I65</x:f>
        <x:v>2961.0</x:v>
      </x:c>
      <x:c r="K65" s="2"/>
      <x:c r="L65" s="2"/>
      <x:c r="M65" s="2"/>
    </x:row>
    <x:row r="66" ht="22" customHeight="1">
      <x:c r="A66" s="8" t="str">
        <x:v>000059</x:v>
      </x:c>
      <x:c r="B66" s="8" t="n">
        <x:v>-100</x:v>
      </x:c>
      <x:c r="C66" s="5" t="n">
        <x:v>4</x:v>
      </x:c>
      <x:c r="D66" s="5" t="n">
        <x:v>1903</x:v>
      </x:c>
      <x:c r="E66" s="6" t="n">
        <x:v>0.15</x:v>
      </x:c>
      <x:c r="F66" s="5">
        <x:f>ROUND(C66*D66*(1-E66),0)</x:f>
        <x:v>6470.0</x:v>
      </x:c>
      <x:c r="G66" s="5">
        <x:f>SUM(B66:B66)</x:f>
        <x:v>-100.0</x:v>
      </x:c>
      <x:c r="H66" s="5">
        <x:f>F66+G66</x:f>
        <x:v>6370.0</x:v>
      </x:c>
      <x:c r="I66" s="5">
        <x:f>ROUND(H66*$M$4,0)</x:f>
        <x:v>637.0</x:v>
      </x:c>
      <x:c r="J66" s="5">
        <x:f>H66+I66</x:f>
        <x:v>7007.0</x:v>
      </x:c>
      <x:c r="K66" s="2"/>
      <x:c r="L66" s="2"/>
      <x:c r="M66" s="2"/>
    </x:row>
    <x:row r="67" ht="22" customHeight="1">
      <x:c r="A67" s="8" t="str">
        <x:v>000060</x:v>
      </x:c>
      <x:c r="B67" s="8" t="n">
        <x:v>0</x:v>
      </x:c>
      <x:c r="C67" s="5" t="n">
        <x:v>5</x:v>
      </x:c>
      <x:c r="D67" s="5" t="n">
        <x:v>1920</x:v>
      </x:c>
      <x:c r="E67" s="6" t="n">
        <x:v>0</x:v>
      </x:c>
      <x:c r="F67" s="5">
        <x:f>ROUND(C67*D67*(1-E67),0)</x:f>
        <x:v>9600.0</x:v>
      </x:c>
      <x:c r="G67" s="5">
        <x:f>SUM(B67:B67)</x:f>
        <x:v>0.0</x:v>
      </x:c>
      <x:c r="H67" s="5">
        <x:f>F67+G67</x:f>
        <x:v>9600.0</x:v>
      </x:c>
      <x:c r="I67" s="5">
        <x:f>ROUND(H67*$M$4,0)</x:f>
        <x:v>960.0</x:v>
      </x:c>
      <x:c r="J67" s="5">
        <x:f>H67+I67</x:f>
        <x:v>10560.0</x:v>
      </x:c>
      <x:c r="K67" s="2"/>
      <x:c r="L67" s="2"/>
      <x:c r="M67" s="2"/>
    </x:row>
    <x:row r="68" ht="22" customHeight="1">
      <x:c r="A68" s="8" t="str">
        <x:v>000061</x:v>
      </x:c>
      <x:c r="B68" s="8" t="n">
        <x:v>100</x:v>
      </x:c>
      <x:c r="C68" s="5" t="n">
        <x:v>6</x:v>
      </x:c>
      <x:c r="D68" s="5" t="n">
        <x:v>1937</x:v>
      </x:c>
      <x:c r="E68" s="6" t="n">
        <x:v>0.05</x:v>
      </x:c>
      <x:c r="F68" s="5">
        <x:f>ROUND(C68*D68*(1-E68),0)</x:f>
        <x:v>11041.0</x:v>
      </x:c>
      <x:c r="G68" s="5">
        <x:f>SUM(B68:B68)</x:f>
        <x:v>100.0</x:v>
      </x:c>
      <x:c r="H68" s="5">
        <x:f>F68+G68</x:f>
        <x:v>11141.0</x:v>
      </x:c>
      <x:c r="I68" s="5">
        <x:f>ROUND(H68*$M$4,0)</x:f>
        <x:v>1114.0</x:v>
      </x:c>
      <x:c r="J68" s="5">
        <x:f>H68+I68</x:f>
        <x:v>12255.0</x:v>
      </x:c>
      <x:c r="K68" s="2"/>
      <x:c r="L68" s="2"/>
      <x:c r="M68" s="2"/>
    </x:row>
    <x:row r="69" ht="22" customHeight="1">
      <x:c r="A69" s="8" t="str">
        <x:v>000062</x:v>
      </x:c>
      <x:c r="B69" s="8" t="n">
        <x:v>200</x:v>
      </x:c>
      <x:c r="C69" s="5" t="n">
        <x:v>7</x:v>
      </x:c>
      <x:c r="D69" s="5" t="n">
        <x:v>1954</x:v>
      </x:c>
      <x:c r="E69" s="6" t="n">
        <x:v>0.1</x:v>
      </x:c>
      <x:c r="F69" s="5">
        <x:f>ROUND(C69*D69*(1-E69),0)</x:f>
        <x:v>12310.0</x:v>
      </x:c>
      <x:c r="G69" s="5">
        <x:f>SUM(B69:B69)</x:f>
        <x:v>200.0</x:v>
      </x:c>
      <x:c r="H69" s="5">
        <x:f>F69+G69</x:f>
        <x:v>12510.0</x:v>
      </x:c>
      <x:c r="I69" s="5">
        <x:f>ROUND(H69*$M$4,0)</x:f>
        <x:v>1251.0</x:v>
      </x:c>
      <x:c r="J69" s="5">
        <x:f>H69+I69</x:f>
        <x:v>13761.0</x:v>
      </x:c>
      <x:c r="K69" s="2"/>
      <x:c r="L69" s="2"/>
      <x:c r="M69" s="2"/>
    </x:row>
    <x:row r="70" ht="22" customHeight="1">
      <x:c r="A70" s="8" t="str">
        <x:v>000063</x:v>
      </x:c>
      <x:c r="B70" s="8" t="n">
        <x:v>300</x:v>
      </x:c>
      <x:c r="C70" s="5" t="n">
        <x:v>1</x:v>
      </x:c>
      <x:c r="D70" s="5" t="n">
        <x:v>1971</x:v>
      </x:c>
      <x:c r="E70" s="6" t="n">
        <x:v>0.15</x:v>
      </x:c>
      <x:c r="F70" s="5">
        <x:f>ROUND(C70*D70*(1-E70),0)</x:f>
        <x:v>1675.0</x:v>
      </x:c>
      <x:c r="G70" s="5">
        <x:f>SUM(B70:B70)</x:f>
        <x:v>300.0</x:v>
      </x:c>
      <x:c r="H70" s="5">
        <x:f>F70+G70</x:f>
        <x:v>1975.0</x:v>
      </x:c>
      <x:c r="I70" s="5">
        <x:f>ROUND(H70*$M$4,0)</x:f>
        <x:v>198.0</x:v>
      </x:c>
      <x:c r="J70" s="5">
        <x:f>H70+I70</x:f>
        <x:v>2173.0</x:v>
      </x:c>
      <x:c r="K70" s="2"/>
      <x:c r="L70" s="2"/>
      <x:c r="M70" s="2"/>
    </x:row>
    <x:row r="71" ht="22" customHeight="1">
      <x:c r="A71" s="8" t="str">
        <x:v>000064</x:v>
      </x:c>
      <x:c r="B71" s="8" t="n">
        <x:v>400</x:v>
      </x:c>
      <x:c r="C71" s="5" t="n">
        <x:v>2</x:v>
      </x:c>
      <x:c r="D71" s="5" t="n">
        <x:v>1988</x:v>
      </x:c>
      <x:c r="E71" s="6" t="n">
        <x:v>0</x:v>
      </x:c>
      <x:c r="F71" s="5">
        <x:f>ROUND(C71*D71*(1-E71),0)</x:f>
        <x:v>3976.0</x:v>
      </x:c>
      <x:c r="G71" s="5">
        <x:f>SUM(B71:B71)</x:f>
        <x:v>400.0</x:v>
      </x:c>
      <x:c r="H71" s="5">
        <x:f>F71+G71</x:f>
        <x:v>4376.0</x:v>
      </x:c>
      <x:c r="I71" s="5">
        <x:f>ROUND(H71*$M$4,0)</x:f>
        <x:v>438.0</x:v>
      </x:c>
      <x:c r="J71" s="5">
        <x:f>H71+I71</x:f>
        <x:v>4814.0</x:v>
      </x:c>
      <x:c r="K71" s="2"/>
      <x:c r="L71" s="2"/>
      <x:c r="M71" s="2"/>
    </x:row>
    <x:row r="72" ht="22" customHeight="1">
      <x:c r="A72" s="8" t="str">
        <x:v>000065</x:v>
      </x:c>
      <x:c r="B72" s="8" t="n">
        <x:v>500</x:v>
      </x:c>
      <x:c r="C72" s="5" t="n">
        <x:v>3</x:v>
      </x:c>
      <x:c r="D72" s="5" t="n">
        <x:v>2005</x:v>
      </x:c>
      <x:c r="E72" s="6" t="n">
        <x:v>0.05</x:v>
      </x:c>
      <x:c r="F72" s="5">
        <x:f>ROUND(C72*D72*(1-E72),0)</x:f>
        <x:v>5714.0</x:v>
      </x:c>
      <x:c r="G72" s="5">
        <x:f>SUM(B72:B72)</x:f>
        <x:v>500.0</x:v>
      </x:c>
      <x:c r="H72" s="5">
        <x:f>F72+G72</x:f>
        <x:v>6214.0</x:v>
      </x:c>
      <x:c r="I72" s="5">
        <x:f>ROUND(H72*$M$4,0)</x:f>
        <x:v>621.0</x:v>
      </x:c>
      <x:c r="J72" s="5">
        <x:f>H72+I72</x:f>
        <x:v>6835.0</x:v>
      </x:c>
      <x:c r="K72" s="2"/>
      <x:c r="L72" s="2"/>
      <x:c r="M72" s="2"/>
    </x:row>
    <x:row r="73" ht="22" customHeight="1">
      <x:c r="A73" s="8" t="str">
        <x:v>000066</x:v>
      </x:c>
      <x:c r="B73" s="8" t="n">
        <x:v>-500</x:v>
      </x:c>
      <x:c r="C73" s="5" t="n">
        <x:v>4</x:v>
      </x:c>
      <x:c r="D73" s="5" t="n">
        <x:v>2022</x:v>
      </x:c>
      <x:c r="E73" s="6" t="n">
        <x:v>0.1</x:v>
      </x:c>
      <x:c r="F73" s="5">
        <x:f>ROUND(C73*D73*(1-E73),0)</x:f>
        <x:v>7279.0</x:v>
      </x:c>
      <x:c r="G73" s="5">
        <x:f>SUM(B73:B73)</x:f>
        <x:v>-500.0</x:v>
      </x:c>
      <x:c r="H73" s="5">
        <x:f>F73+G73</x:f>
        <x:v>6779.0</x:v>
      </x:c>
      <x:c r="I73" s="5">
        <x:f>ROUND(H73*$M$4,0)</x:f>
        <x:v>678.0</x:v>
      </x:c>
      <x:c r="J73" s="5">
        <x:f>H73+I73</x:f>
        <x:v>7457.0</x:v>
      </x:c>
      <x:c r="K73" s="2"/>
      <x:c r="L73" s="2"/>
      <x:c r="M73" s="2"/>
    </x:row>
    <x:row r="74" ht="22" customHeight="1">
      <x:c r="A74" s="8" t="str">
        <x:v>000067</x:v>
      </x:c>
      <x:c r="B74" s="8" t="n">
        <x:v>-400</x:v>
      </x:c>
      <x:c r="C74" s="5" t="n">
        <x:v>5</x:v>
      </x:c>
      <x:c r="D74" s="5" t="n">
        <x:v>2039</x:v>
      </x:c>
      <x:c r="E74" s="6" t="n">
        <x:v>0.15</x:v>
      </x:c>
      <x:c r="F74" s="5">
        <x:f>ROUND(C74*D74*(1-E74),0)</x:f>
        <x:v>8666.0</x:v>
      </x:c>
      <x:c r="G74" s="5">
        <x:f>SUM(B74:B74)</x:f>
        <x:v>-400.0</x:v>
      </x:c>
      <x:c r="H74" s="5">
        <x:f>F74+G74</x:f>
        <x:v>8266.0</x:v>
      </x:c>
      <x:c r="I74" s="5">
        <x:f>ROUND(H74*$M$4,0)</x:f>
        <x:v>827.0</x:v>
      </x:c>
      <x:c r="J74" s="5">
        <x:f>H74+I74</x:f>
        <x:v>9093.0</x:v>
      </x:c>
      <x:c r="K74" s="2"/>
      <x:c r="L74" s="2"/>
      <x:c r="M74" s="2"/>
    </x:row>
    <x:row r="75" ht="22" customHeight="1">
      <x:c r="A75" s="8" t="str">
        <x:v>000068</x:v>
      </x:c>
      <x:c r="B75" s="8" t="n">
        <x:v>-300</x:v>
      </x:c>
      <x:c r="C75" s="5" t="n">
        <x:v>6</x:v>
      </x:c>
      <x:c r="D75" s="5" t="n">
        <x:v>2056</x:v>
      </x:c>
      <x:c r="E75" s="6" t="n">
        <x:v>0</x:v>
      </x:c>
      <x:c r="F75" s="5">
        <x:f>ROUND(C75*D75*(1-E75),0)</x:f>
        <x:v>12336.0</x:v>
      </x:c>
      <x:c r="G75" s="5">
        <x:f>SUM(B75:B75)</x:f>
        <x:v>-300.0</x:v>
      </x:c>
      <x:c r="H75" s="5">
        <x:f>F75+G75</x:f>
        <x:v>12036.0</x:v>
      </x:c>
      <x:c r="I75" s="5">
        <x:f>ROUND(H75*$M$4,0)</x:f>
        <x:v>1204.0</x:v>
      </x:c>
      <x:c r="J75" s="5">
        <x:f>H75+I75</x:f>
        <x:v>13240.0</x:v>
      </x:c>
      <x:c r="K75" s="2"/>
      <x:c r="L75" s="2"/>
      <x:c r="M75" s="2"/>
    </x:row>
    <x:row r="76" ht="22" customHeight="1">
      <x:c r="A76" s="8" t="str">
        <x:v>000069</x:v>
      </x:c>
      <x:c r="B76" s="8" t="n">
        <x:v>-200</x:v>
      </x:c>
      <x:c r="C76" s="5" t="n">
        <x:v>7</x:v>
      </x:c>
      <x:c r="D76" s="5" t="n">
        <x:v>2073</x:v>
      </x:c>
      <x:c r="E76" s="6" t="n">
        <x:v>0.05</x:v>
      </x:c>
      <x:c r="F76" s="5">
        <x:f>ROUND(C76*D76*(1-E76),0)</x:f>
        <x:v>13785.0</x:v>
      </x:c>
      <x:c r="G76" s="5">
        <x:f>SUM(B76:B76)</x:f>
        <x:v>-200.0</x:v>
      </x:c>
      <x:c r="H76" s="5">
        <x:f>F76+G76</x:f>
        <x:v>13585.0</x:v>
      </x:c>
      <x:c r="I76" s="5">
        <x:f>ROUND(H76*$M$4,0)</x:f>
        <x:v>1359.0</x:v>
      </x:c>
      <x:c r="J76" s="5">
        <x:f>H76+I76</x:f>
        <x:v>14944.0</x:v>
      </x:c>
      <x:c r="K76" s="2"/>
      <x:c r="L76" s="2"/>
      <x:c r="M76" s="2"/>
    </x:row>
    <x:row r="77" ht="22" customHeight="1">
      <x:c r="A77" s="8" t="str">
        <x:v>000070</x:v>
      </x:c>
      <x:c r="B77" s="8" t="n">
        <x:v>-100</x:v>
      </x:c>
      <x:c r="C77" s="5" t="n">
        <x:v>1</x:v>
      </x:c>
      <x:c r="D77" s="5" t="n">
        <x:v>2090</x:v>
      </x:c>
      <x:c r="E77" s="6" t="n">
        <x:v>0.1</x:v>
      </x:c>
      <x:c r="F77" s="5">
        <x:f>ROUND(C77*D77*(1-E77),0)</x:f>
        <x:v>1881.0</x:v>
      </x:c>
      <x:c r="G77" s="5">
        <x:f>SUM(B77:B77)</x:f>
        <x:v>-100.0</x:v>
      </x:c>
      <x:c r="H77" s="5">
        <x:f>F77+G77</x:f>
        <x:v>1781.0</x:v>
      </x:c>
      <x:c r="I77" s="5">
        <x:f>ROUND(H77*$M$4,0)</x:f>
        <x:v>178.0</x:v>
      </x:c>
      <x:c r="J77" s="5">
        <x:f>H77+I77</x:f>
        <x:v>1959.0</x:v>
      </x:c>
      <x:c r="K77" s="2"/>
      <x:c r="L77" s="2"/>
      <x:c r="M77" s="2"/>
    </x:row>
    <x:row r="78" ht="22" customHeight="1">
      <x:c r="A78" s="8" t="str">
        <x:v>000071</x:v>
      </x:c>
      <x:c r="B78" s="8">
        <x:v>999999</x:v>
      </x:c>
      <x:c r="C78" s="5" t="n">
        <x:v>2</x:v>
      </x:c>
      <x:c r="D78" s="5" t="n">
        <x:v>2107</x:v>
      </x:c>
      <x:c r="E78" s="6" t="n">
        <x:v>0.15</x:v>
      </x:c>
      <x:c r="F78" s="5">
        <x:f>ROUND(C78*D78*(1-E78),0)</x:f>
        <x:v>3582.0</x:v>
      </x:c>
      <x:c r="G78" s="5">
        <x:f>SUM(B78:B78)</x:f>
        <x:v>999999.0</x:v>
      </x:c>
      <x:c r="H78" s="5">
        <x:f>F78+G78</x:f>
        <x:v>1003581.0</x:v>
      </x:c>
      <x:c r="I78" s="5">
        <x:f>ROUND(H78*$M$4,0)</x:f>
        <x:v>100358.0</x:v>
      </x:c>
      <x:c r="J78" s="5">
        <x:f>H78+I78</x:f>
        <x:v>1103939.0</x:v>
      </x:c>
      <x:c r="K78" s="2"/>
      <x:c r="L78" s="2"/>
      <x:c r="M78" s="2"/>
    </x:row>
    <x:row r="79" ht="22" customHeight="1">
      <x:c r="A79" s="8" t="str">
        <x:v>000072</x:v>
      </x:c>
      <x:c r="B79" s="8" t="n">
        <x:v>100</x:v>
      </x:c>
      <x:c r="C79" s="5" t="n">
        <x:v>3</x:v>
      </x:c>
      <x:c r="D79" s="5" t="n">
        <x:v>2124</x:v>
      </x:c>
      <x:c r="E79" s="6" t="n">
        <x:v>0</x:v>
      </x:c>
      <x:c r="F79" s="5">
        <x:f>ROUND(C79*D79*(1-E79),0)</x:f>
        <x:v>6372.0</x:v>
      </x:c>
      <x:c r="G79" s="5">
        <x:f>SUM(B79:B79)</x:f>
        <x:v>100.0</x:v>
      </x:c>
      <x:c r="H79" s="5">
        <x:f>F79+G79</x:f>
        <x:v>6472.0</x:v>
      </x:c>
      <x:c r="I79" s="5">
        <x:f>ROUND(H79*$M$4,0)</x:f>
        <x:v>647.0</x:v>
      </x:c>
      <x:c r="J79" s="5">
        <x:f>H79+I79</x:f>
        <x:v>7119.0</x:v>
      </x:c>
      <x:c r="K79" s="2"/>
      <x:c r="L79" s="2"/>
      <x:c r="M79" s="2"/>
    </x:row>
    <x:row r="80" ht="22" customHeight="1">
      <x:c r="A80" s="8" t="str">
        <x:v>000073</x:v>
      </x:c>
      <x:c r="B80" s="8" t="n">
        <x:v>200</x:v>
      </x:c>
      <x:c r="C80" s="5" t="n">
        <x:v>4</x:v>
      </x:c>
      <x:c r="D80" s="5" t="n">
        <x:v>2141</x:v>
      </x:c>
      <x:c r="E80" s="6" t="n">
        <x:v>0.05</x:v>
      </x:c>
      <x:c r="F80" s="5">
        <x:f>ROUND(C80*D80*(1-E80),0)</x:f>
        <x:v>8136.0</x:v>
      </x:c>
      <x:c r="G80" s="5">
        <x:f>SUM(B80:B80)</x:f>
        <x:v>200.0</x:v>
      </x:c>
      <x:c r="H80" s="5">
        <x:f>F80+G80</x:f>
        <x:v>8336.0</x:v>
      </x:c>
      <x:c r="I80" s="5">
        <x:f>ROUND(H80*$M$4,0)</x:f>
        <x:v>834.0</x:v>
      </x:c>
      <x:c r="J80" s="5">
        <x:f>H80+I80</x:f>
        <x:v>9170.0</x:v>
      </x:c>
      <x:c r="K80" s="2"/>
      <x:c r="L80" s="2"/>
      <x:c r="M80" s="2"/>
    </x:row>
    <x:row r="81" ht="22" customHeight="1">
      <x:c r="A81" s="8" t="str">
        <x:v>000074</x:v>
      </x:c>
      <x:c r="B81" s="8" t="n">
        <x:v>300</x:v>
      </x:c>
      <x:c r="C81" s="5" t="n">
        <x:v>5</x:v>
      </x:c>
      <x:c r="D81" s="5" t="n">
        <x:v>2158</x:v>
      </x:c>
      <x:c r="E81" s="6" t="n">
        <x:v>0.1</x:v>
      </x:c>
      <x:c r="F81" s="5">
        <x:f>ROUND(C81*D81*(1-E81),0)</x:f>
        <x:v>9711.0</x:v>
      </x:c>
      <x:c r="G81" s="5">
        <x:f>SUM(B81:B81)</x:f>
        <x:v>300.0</x:v>
      </x:c>
      <x:c r="H81" s="5">
        <x:f>F81+G81</x:f>
        <x:v>10011.0</x:v>
      </x:c>
      <x:c r="I81" s="5">
        <x:f>ROUND(H81*$M$4,0)</x:f>
        <x:v>1001.0</x:v>
      </x:c>
      <x:c r="J81" s="5">
        <x:f>H81+I81</x:f>
        <x:v>11012.0</x:v>
      </x:c>
      <x:c r="K81" s="2"/>
      <x:c r="L81" s="2"/>
      <x:c r="M81" s="2"/>
    </x:row>
    <x:row r="82" ht="22" customHeight="1">
      <x:c r="A82" s="8" t="str">
        <x:v>000075</x:v>
      </x:c>
      <x:c r="B82" s="8" t="n">
        <x:v>400</x:v>
      </x:c>
      <x:c r="C82" s="5" t="n">
        <x:v>6</x:v>
      </x:c>
      <x:c r="D82" s="5" t="n">
        <x:v>2175</x:v>
      </x:c>
      <x:c r="E82" s="6" t="n">
        <x:v>0.15</x:v>
      </x:c>
      <x:c r="F82" s="5">
        <x:f>ROUND(C82*D82*(1-E82),0)</x:f>
        <x:v>11093.0</x:v>
      </x:c>
      <x:c r="G82" s="5">
        <x:f>SUM(B82:B82)</x:f>
        <x:v>400.0</x:v>
      </x:c>
      <x:c r="H82" s="5">
        <x:f>F82+G82</x:f>
        <x:v>11493.0</x:v>
      </x:c>
      <x:c r="I82" s="5">
        <x:f>ROUND(H82*$M$4,0)</x:f>
        <x:v>1149.0</x:v>
      </x:c>
      <x:c r="J82" s="5">
        <x:f>H82+I82</x:f>
        <x:v>12642.0</x:v>
      </x:c>
      <x:c r="K82" s="2"/>
      <x:c r="L82" s="2"/>
      <x:c r="M82" s="2"/>
    </x:row>
    <x:row r="83" ht="22" customHeight="1">
      <x:c r="A83" s="8" t="str">
        <x:v>000076</x:v>
      </x:c>
      <x:c r="B83" s="8" t="n">
        <x:v>500</x:v>
      </x:c>
      <x:c r="C83" s="5" t="n">
        <x:v>7</x:v>
      </x:c>
      <x:c r="D83" s="5" t="n">
        <x:v>2192</x:v>
      </x:c>
      <x:c r="E83" s="6" t="n">
        <x:v>0</x:v>
      </x:c>
      <x:c r="F83" s="5">
        <x:f>ROUND(C83*D83*(1-E83),0)</x:f>
        <x:v>15344.0</x:v>
      </x:c>
      <x:c r="G83" s="5">
        <x:f>SUM(B83:B83)</x:f>
        <x:v>500.0</x:v>
      </x:c>
      <x:c r="H83" s="5">
        <x:f>F83+G83</x:f>
        <x:v>15844.0</x:v>
      </x:c>
      <x:c r="I83" s="5">
        <x:f>ROUND(H83*$M$4,0)</x:f>
        <x:v>1584.0</x:v>
      </x:c>
      <x:c r="J83" s="5">
        <x:f>H83+I83</x:f>
        <x:v>17428.0</x:v>
      </x:c>
      <x:c r="K83" s="2"/>
      <x:c r="L83" s="2"/>
      <x:c r="M83" s="2"/>
    </x:row>
    <x:row r="84" ht="22" customHeight="1">
      <x:c r="A84" s="8" t="str">
        <x:v>000077</x:v>
      </x:c>
      <x:c r="B84" s="8" t="n">
        <x:v>-500</x:v>
      </x:c>
      <x:c r="C84" s="5" t="n">
        <x:v>1</x:v>
      </x:c>
      <x:c r="D84" s="5" t="n">
        <x:v>2209</x:v>
      </x:c>
      <x:c r="E84" s="6" t="n">
        <x:v>0.05</x:v>
      </x:c>
      <x:c r="F84" s="5">
        <x:f>ROUND(C84*D84*(1-E84),0)</x:f>
        <x:v>2099.0</x:v>
      </x:c>
      <x:c r="G84" s="5">
        <x:f>SUM(B84:B84)</x:f>
        <x:v>-500.0</x:v>
      </x:c>
      <x:c r="H84" s="5">
        <x:f>F84+G84</x:f>
        <x:v>1599.0</x:v>
      </x:c>
      <x:c r="I84" s="5">
        <x:f>ROUND(H84*$M$4,0)</x:f>
        <x:v>160.0</x:v>
      </x:c>
      <x:c r="J84" s="5">
        <x:f>H84+I84</x:f>
        <x:v>1759.0</x:v>
      </x:c>
      <x:c r="K84" s="2"/>
      <x:c r="L84" s="2"/>
      <x:c r="M84" s="2"/>
    </x:row>
    <x:row r="85" ht="22" customHeight="1">
      <x:c r="A85" s="8" t="str">
        <x:v>000078</x:v>
      </x:c>
      <x:c r="B85" s="8" t="n">
        <x:v>-400</x:v>
      </x:c>
      <x:c r="C85" s="5" t="n">
        <x:v>2</x:v>
      </x:c>
      <x:c r="D85" s="5" t="n">
        <x:v>2226</x:v>
      </x:c>
      <x:c r="E85" s="6" t="n">
        <x:v>0.1</x:v>
      </x:c>
      <x:c r="F85" s="5">
        <x:f>ROUND(C85*D85*(1-E85),0)</x:f>
        <x:v>4007.0</x:v>
      </x:c>
      <x:c r="G85" s="5">
        <x:f>SUM(B85:B85)</x:f>
        <x:v>-400.0</x:v>
      </x:c>
      <x:c r="H85" s="5">
        <x:f>F85+G85</x:f>
        <x:v>3607.0</x:v>
      </x:c>
      <x:c r="I85" s="5">
        <x:f>ROUND(H85*$M$4,0)</x:f>
        <x:v>361.0</x:v>
      </x:c>
      <x:c r="J85" s="5">
        <x:f>H85+I85</x:f>
        <x:v>3968.0</x:v>
      </x:c>
      <x:c r="K85" s="2"/>
      <x:c r="L85" s="2"/>
      <x:c r="M85" s="2"/>
    </x:row>
    <x:row r="86" ht="22" customHeight="1">
      <x:c r="A86" s="8" t="str">
        <x:v>000079</x:v>
      </x:c>
      <x:c r="B86" s="8" t="n">
        <x:v>-300</x:v>
      </x:c>
      <x:c r="C86" s="5" t="n">
        <x:v>3</x:v>
      </x:c>
      <x:c r="D86" s="5" t="n">
        <x:v>2243</x:v>
      </x:c>
      <x:c r="E86" s="6" t="n">
        <x:v>0.15</x:v>
      </x:c>
      <x:c r="F86" s="5">
        <x:f>ROUND(C86*D86*(1-E86),0)</x:f>
        <x:v>5720.0</x:v>
      </x:c>
      <x:c r="G86" s="5">
        <x:f>SUM(B86:B86)</x:f>
        <x:v>-300.0</x:v>
      </x:c>
      <x:c r="H86" s="5">
        <x:f>F86+G86</x:f>
        <x:v>5420.0</x:v>
      </x:c>
      <x:c r="I86" s="5">
        <x:f>ROUND(H86*$M$4,0)</x:f>
        <x:v>542.0</x:v>
      </x:c>
      <x:c r="J86" s="5">
        <x:f>H86+I86</x:f>
        <x:v>5962.0</x:v>
      </x:c>
      <x:c r="K86" s="2"/>
      <x:c r="L86" s="2"/>
      <x:c r="M86" s="2"/>
    </x:row>
    <x:row r="87" ht="22" customHeight="1">
      <x:c r="A87" s="8" t="str">
        <x:v>000080</x:v>
      </x:c>
      <x:c r="B87" s="8" t="n">
        <x:v>-200</x:v>
      </x:c>
      <x:c r="C87" s="5" t="n">
        <x:v>4</x:v>
      </x:c>
      <x:c r="D87" s="5" t="n">
        <x:v>2260</x:v>
      </x:c>
      <x:c r="E87" s="6" t="n">
        <x:v>0</x:v>
      </x:c>
      <x:c r="F87" s="5">
        <x:f>ROUND(C87*D87*(1-E87),0)</x:f>
        <x:v>9040.0</x:v>
      </x:c>
      <x:c r="G87" s="5">
        <x:f>SUM(B87:B87)</x:f>
        <x:v>-200.0</x:v>
      </x:c>
      <x:c r="H87" s="5">
        <x:f>F87+G87</x:f>
        <x:v>8840.0</x:v>
      </x:c>
      <x:c r="I87" s="5">
        <x:f>ROUND(H87*$M$4,0)</x:f>
        <x:v>884.0</x:v>
      </x:c>
      <x:c r="J87" s="5">
        <x:f>H87+I87</x:f>
        <x:v>9724.0</x:v>
      </x:c>
      <x:c r="K87" s="2"/>
      <x:c r="L87" s="2"/>
      <x:c r="M87" s="2"/>
    </x:row>
    <x:row r="88" ht="22" customHeight="1">
      <x:c r="A88" s="8" t="str">
        <x:v>000081</x:v>
      </x:c>
      <x:c r="B88" s="8" t="n">
        <x:v>-100</x:v>
      </x:c>
      <x:c r="C88" s="5" t="n">
        <x:v>5</x:v>
      </x:c>
      <x:c r="D88" s="5" t="n">
        <x:v>2277</x:v>
      </x:c>
      <x:c r="E88" s="6" t="n">
        <x:v>0.05</x:v>
      </x:c>
      <x:c r="F88" s="5">
        <x:f>ROUND(C88*D88*(1-E88),0)</x:f>
        <x:v>10816.0</x:v>
      </x:c>
      <x:c r="G88" s="5">
        <x:f>SUM(B88:B88)</x:f>
        <x:v>-100.0</x:v>
      </x:c>
      <x:c r="H88" s="5">
        <x:f>F88+G88</x:f>
        <x:v>10716.0</x:v>
      </x:c>
      <x:c r="I88" s="5">
        <x:f>ROUND(H88*$M$4,0)</x:f>
        <x:v>1072.0</x:v>
      </x:c>
      <x:c r="J88" s="5">
        <x:f>H88+I88</x:f>
        <x:v>11788.0</x:v>
      </x:c>
      <x:c r="K88" s="2"/>
      <x:c r="L88" s="2"/>
      <x:c r="M88" s="2"/>
    </x:row>
    <x:row r="89" ht="22" customHeight="1">
      <x:c r="A89" s="8" t="str">
        <x:v>000082</x:v>
      </x:c>
      <x:c r="B89" s="8" t="n">
        <x:v>0</x:v>
      </x:c>
      <x:c r="C89" s="5" t="n">
        <x:v>6</x:v>
      </x:c>
      <x:c r="D89" s="5" t="n">
        <x:v>2294</x:v>
      </x:c>
      <x:c r="E89" s="6" t="n">
        <x:v>0.1</x:v>
      </x:c>
      <x:c r="F89" s="5">
        <x:f>ROUND(C89*D89*(1-E89),0)</x:f>
        <x:v>12388.0</x:v>
      </x:c>
      <x:c r="G89" s="5">
        <x:f>SUM(B89:B89)</x:f>
        <x:v>0.0</x:v>
      </x:c>
      <x:c r="H89" s="5">
        <x:f>F89+G89</x:f>
        <x:v>12388.0</x:v>
      </x:c>
      <x:c r="I89" s="5">
        <x:f>ROUND(H89*$M$4,0)</x:f>
        <x:v>1239.0</x:v>
      </x:c>
      <x:c r="J89" s="5">
        <x:f>H89+I89</x:f>
        <x:v>13627.0</x:v>
      </x:c>
      <x:c r="K89" s="2"/>
      <x:c r="L89" s="2"/>
      <x:c r="M89" s="2"/>
    </x:row>
    <x:row r="90" ht="22" customHeight="1">
      <x:c r="A90" s="8" t="str">
        <x:v>000083</x:v>
      </x:c>
      <x:c r="B90" s="8" t="n">
        <x:v>100</x:v>
      </x:c>
      <x:c r="C90" s="5" t="n">
        <x:v>7</x:v>
      </x:c>
      <x:c r="D90" s="5" t="n">
        <x:v>2311</x:v>
      </x:c>
      <x:c r="E90" s="6" t="n">
        <x:v>0.15</x:v>
      </x:c>
      <x:c r="F90" s="5">
        <x:f>ROUND(C90*D90*(1-E90),0)</x:f>
        <x:v>13750.0</x:v>
      </x:c>
      <x:c r="G90" s="5">
        <x:f>SUM(B90:B90)</x:f>
        <x:v>100.0</x:v>
      </x:c>
      <x:c r="H90" s="5">
        <x:f>F90+G90</x:f>
        <x:v>13850.0</x:v>
      </x:c>
      <x:c r="I90" s="5">
        <x:f>ROUND(H90*$M$4,0)</x:f>
        <x:v>1385.0</x:v>
      </x:c>
      <x:c r="J90" s="5">
        <x:f>H90+I90</x:f>
        <x:v>15235.0</x:v>
      </x:c>
      <x:c r="K90" s="2"/>
      <x:c r="L90" s="2"/>
      <x:c r="M90" s="2"/>
    </x:row>
    <x:row r="91" ht="22" customHeight="1">
      <x:c r="A91" s="8" t="str">
        <x:v>000084</x:v>
      </x:c>
      <x:c r="B91" s="8" t="n">
        <x:v>200</x:v>
      </x:c>
      <x:c r="C91" s="5" t="n">
        <x:v>1</x:v>
      </x:c>
      <x:c r="D91" s="5" t="n">
        <x:v>2328</x:v>
      </x:c>
      <x:c r="E91" s="6" t="n">
        <x:v>0</x:v>
      </x:c>
      <x:c r="F91" s="5">
        <x:f>ROUND(C91*D91*(1-E91),0)</x:f>
        <x:v>2328.0</x:v>
      </x:c>
      <x:c r="G91" s="5">
        <x:f>SUM(B91:B91)</x:f>
        <x:v>200.0</x:v>
      </x:c>
      <x:c r="H91" s="5">
        <x:f>F91+G91</x:f>
        <x:v>2528.0</x:v>
      </x:c>
      <x:c r="I91" s="5">
        <x:f>ROUND(H91*$M$4,0)</x:f>
        <x:v>253.0</x:v>
      </x:c>
      <x:c r="J91" s="5">
        <x:f>H91+I91</x:f>
        <x:v>2781.0</x:v>
      </x:c>
      <x:c r="K91" s="2"/>
      <x:c r="L91" s="2"/>
      <x:c r="M91" s="2"/>
    </x:row>
    <x:row r="92" ht="22" customHeight="1">
      <x:c r="A92" s="8" t="str">
        <x:v>000085</x:v>
      </x:c>
      <x:c r="B92" s="8" t="n">
        <x:v>300</x:v>
      </x:c>
      <x:c r="C92" s="5" t="n">
        <x:v>2</x:v>
      </x:c>
      <x:c r="D92" s="5" t="n">
        <x:v>2345</x:v>
      </x:c>
      <x:c r="E92" s="6" t="n">
        <x:v>0.05</x:v>
      </x:c>
      <x:c r="F92" s="5">
        <x:f>ROUND(C92*D92*(1-E92),0)</x:f>
        <x:v>4456.0</x:v>
      </x:c>
      <x:c r="G92" s="5">
        <x:f>SUM(B92:B92)</x:f>
        <x:v>300.0</x:v>
      </x:c>
      <x:c r="H92" s="5">
        <x:f>F92+G92</x:f>
        <x:v>4756.0</x:v>
      </x:c>
      <x:c r="I92" s="5">
        <x:f>ROUND(H92*$M$4,0)</x:f>
        <x:v>476.0</x:v>
      </x:c>
      <x:c r="J92" s="5">
        <x:f>H92+I92</x:f>
        <x:v>5232.0</x:v>
      </x:c>
      <x:c r="K92" s="2"/>
      <x:c r="L92" s="2"/>
      <x:c r="M92" s="2"/>
    </x:row>
    <x:row r="93" ht="22" customHeight="1">
      <x:c r="A93" s="8" t="str">
        <x:v>000086</x:v>
      </x:c>
      <x:c r="B93" s="8" t="n">
        <x:v>400</x:v>
      </x:c>
      <x:c r="C93" s="5" t="n">
        <x:v>3</x:v>
      </x:c>
      <x:c r="D93" s="5" t="n">
        <x:v>2362</x:v>
      </x:c>
      <x:c r="E93" s="6" t="n">
        <x:v>0.1</x:v>
      </x:c>
      <x:c r="F93" s="5">
        <x:f>ROUND(C93*D93*(1-E93),0)</x:f>
        <x:v>6377.0</x:v>
      </x:c>
      <x:c r="G93" s="5">
        <x:f>SUM(B93:B93)</x:f>
        <x:v>400.0</x:v>
      </x:c>
      <x:c r="H93" s="5">
        <x:f>F93+G93</x:f>
        <x:v>6777.0</x:v>
      </x:c>
      <x:c r="I93" s="5">
        <x:f>ROUND(H93*$M$4,0)</x:f>
        <x:v>678.0</x:v>
      </x:c>
      <x:c r="J93" s="5">
        <x:f>H93+I93</x:f>
        <x:v>7455.0</x:v>
      </x:c>
      <x:c r="K93" s="2"/>
      <x:c r="L93" s="2"/>
      <x:c r="M93" s="2"/>
    </x:row>
    <x:row r="94" ht="22" customHeight="1">
      <x:c r="A94" s="8" t="str">
        <x:v>000087</x:v>
      </x:c>
      <x:c r="B94" s="8">
        <x:v>500</x:v>
      </x:c>
      <x:c r="C94" s="5" t="n">
        <x:v>4</x:v>
      </x:c>
      <x:c r="D94" s="5" t="n">
        <x:v>2379</x:v>
      </x:c>
      <x:c r="E94" s="6" t="n">
        <x:v>0.15</x:v>
      </x:c>
      <x:c r="F94" s="5">
        <x:f>ROUND(C94*D94*(1-E94),0)</x:f>
        <x:v>8089.0</x:v>
      </x:c>
      <x:c r="G94" s="5">
        <x:f>SUM(B94:B94)</x:f>
        <x:v>500.0</x:v>
      </x:c>
      <x:c r="H94" s="5">
        <x:f>F94+G94</x:f>
        <x:v>8589.0</x:v>
      </x:c>
      <x:c r="I94" s="5">
        <x:f>ROUND(H94*$M$4,0)</x:f>
        <x:v>859.0</x:v>
      </x:c>
      <x:c r="J94" s="5">
        <x:f>H94+I94</x:f>
        <x:v>9448.0</x:v>
      </x:c>
      <x:c r="K94" s="2"/>
      <x:c r="L94" s="2"/>
      <x:c r="M94" s="2"/>
    </x:row>
    <x:row r="95" ht="22" customHeight="1">
      <x:c r="A95" s="8" t="str">
        <x:v>000088</x:v>
      </x:c>
      <x:c r="B95" s="8" t="n">
        <x:v>-500</x:v>
      </x:c>
      <x:c r="C95" s="5" t="n">
        <x:v>5</x:v>
      </x:c>
      <x:c r="D95" s="5" t="n">
        <x:v>2396</x:v>
      </x:c>
      <x:c r="E95" s="6" t="n">
        <x:v>0</x:v>
      </x:c>
      <x:c r="F95" s="5">
        <x:f>ROUND(C95*D95*(1-E95),0)</x:f>
        <x:v>11980.0</x:v>
      </x:c>
      <x:c r="G95" s="5">
        <x:f>SUM(B95:B95)</x:f>
        <x:v>-500.0</x:v>
      </x:c>
      <x:c r="H95" s="5">
        <x:f>F95+G95</x:f>
        <x:v>11480.0</x:v>
      </x:c>
      <x:c r="I95" s="5">
        <x:f>ROUND(H95*$M$4,0)</x:f>
        <x:v>1148.0</x:v>
      </x:c>
      <x:c r="J95" s="5">
        <x:f>H95+I95</x:f>
        <x:v>12628.0</x:v>
      </x:c>
      <x:c r="K95" s="2"/>
      <x:c r="L95" s="2"/>
      <x:c r="M95" s="2"/>
    </x:row>
    <x:row r="96" ht="22" customHeight="1">
      <x:c r="A96" s="8" t="str">
        <x:v>000089</x:v>
      </x:c>
      <x:c r="B96" s="8" t="n">
        <x:v>-400</x:v>
      </x:c>
      <x:c r="C96" s="5" t="n">
        <x:v>6</x:v>
      </x:c>
      <x:c r="D96" s="5" t="n">
        <x:v>2413</x:v>
      </x:c>
      <x:c r="E96" s="6" t="n">
        <x:v>0.05</x:v>
      </x:c>
      <x:c r="F96" s="5">
        <x:f>ROUND(C96*D96*(1-E96),0)</x:f>
        <x:v>13754.0</x:v>
      </x:c>
      <x:c r="G96" s="5">
        <x:f>SUM(B96:B96)</x:f>
        <x:v>-400.0</x:v>
      </x:c>
      <x:c r="H96" s="5">
        <x:f>F96+G96</x:f>
        <x:v>13354.0</x:v>
      </x:c>
      <x:c r="I96" s="5">
        <x:f>ROUND(H96*$M$4,0)</x:f>
        <x:v>1335.0</x:v>
      </x:c>
      <x:c r="J96" s="5">
        <x:f>H96+I96</x:f>
        <x:v>14689.0</x:v>
      </x:c>
      <x:c r="K96" s="2"/>
      <x:c r="L96" s="2"/>
      <x:c r="M96" s="2"/>
    </x:row>
    <x:row r="97" ht="22" customHeight="1">
      <x:c r="A97" s="8" t="str">
        <x:v>000090</x:v>
      </x:c>
      <x:c r="B97" s="8" t="n">
        <x:v>-300</x:v>
      </x:c>
      <x:c r="C97" s="5" t="n">
        <x:v>7</x:v>
      </x:c>
      <x:c r="D97" s="5" t="n">
        <x:v>2430</x:v>
      </x:c>
      <x:c r="E97" s="6" t="n">
        <x:v>0.1</x:v>
      </x:c>
      <x:c r="F97" s="5">
        <x:f>ROUND(C97*D97*(1-E97),0)</x:f>
        <x:v>15309.0</x:v>
      </x:c>
      <x:c r="G97" s="5">
        <x:f>SUM(B97:B97)</x:f>
        <x:v>-300.0</x:v>
      </x:c>
      <x:c r="H97" s="5">
        <x:f>F97+G97</x:f>
        <x:v>15009.0</x:v>
      </x:c>
      <x:c r="I97" s="5">
        <x:f>ROUND(H97*$M$4,0)</x:f>
        <x:v>1501.0</x:v>
      </x:c>
      <x:c r="J97" s="5">
        <x:f>H97+I97</x:f>
        <x:v>16510.0</x:v>
      </x:c>
      <x:c r="K97" s="2"/>
      <x:c r="L97" s="2"/>
      <x:c r="M97" s="2"/>
    </x:row>
    <x:row r="98" ht="22" customHeight="1">
      <x:c r="A98" s="8" t="str">
        <x:v>000091</x:v>
      </x:c>
      <x:c r="B98" s="8" t="n">
        <x:v>-200</x:v>
      </x:c>
      <x:c r="C98" s="5" t="n">
        <x:v>1</x:v>
      </x:c>
      <x:c r="D98" s="5" t="n">
        <x:v>2447</x:v>
      </x:c>
      <x:c r="E98" s="6" t="n">
        <x:v>0.15</x:v>
      </x:c>
      <x:c r="F98" s="5">
        <x:f>ROUND(C98*D98*(1-E98),0)</x:f>
        <x:v>2080.0</x:v>
      </x:c>
      <x:c r="G98" s="5">
        <x:f>SUM(B98:B98)</x:f>
        <x:v>-200.0</x:v>
      </x:c>
      <x:c r="H98" s="5">
        <x:f>F98+G98</x:f>
        <x:v>1880.0</x:v>
      </x:c>
      <x:c r="I98" s="5">
        <x:f>ROUND(H98*$M$4,0)</x:f>
        <x:v>188.0</x:v>
      </x:c>
      <x:c r="J98" s="5">
        <x:f>H98+I98</x:f>
        <x:v>2068.0</x:v>
      </x:c>
      <x:c r="K98" s="2"/>
      <x:c r="L98" s="2"/>
      <x:c r="M98" s="2"/>
    </x:row>
    <x:row r="99" ht="22" customHeight="1">
      <x:c r="A99" s="8" t="str">
        <x:v>000092</x:v>
      </x:c>
      <x:c r="B99" s="8" t="n">
        <x:v>-100</x:v>
      </x:c>
      <x:c r="C99" s="5" t="n">
        <x:v>2</x:v>
      </x:c>
      <x:c r="D99" s="5" t="n">
        <x:v>2464</x:v>
      </x:c>
      <x:c r="E99" s="6" t="n">
        <x:v>0</x:v>
      </x:c>
      <x:c r="F99" s="5">
        <x:f>ROUND(C99*D99*(1-E99),0)</x:f>
        <x:v>4928.0</x:v>
      </x:c>
      <x:c r="G99" s="5">
        <x:f>SUM(B99:B99)</x:f>
        <x:v>-100.0</x:v>
      </x:c>
      <x:c r="H99" s="5">
        <x:f>F99+G99</x:f>
        <x:v>4828.0</x:v>
      </x:c>
      <x:c r="I99" s="5">
        <x:f>ROUND(H99*$M$4,0)</x:f>
        <x:v>483.0</x:v>
      </x:c>
      <x:c r="J99" s="5">
        <x:f>H99+I99</x:f>
        <x:v>5311.0</x:v>
      </x:c>
      <x:c r="K99" s="2"/>
      <x:c r="L99" s="2"/>
      <x:c r="M99" s="2"/>
    </x:row>
    <x:row r="100" ht="22" customHeight="1">
      <x:c r="A100" s="8" t="str">
        <x:v>000093</x:v>
      </x:c>
      <x:c r="B100" s="8" t="n">
        <x:v>0</x:v>
      </x:c>
      <x:c r="C100" s="5" t="n">
        <x:v>3</x:v>
      </x:c>
      <x:c r="D100" s="5" t="n">
        <x:v>2481</x:v>
      </x:c>
      <x:c r="E100" s="6" t="n">
        <x:v>0.05</x:v>
      </x:c>
      <x:c r="F100" s="5">
        <x:f>ROUND(C100*D100*(1-E100),0)</x:f>
        <x:v>7071.0</x:v>
      </x:c>
      <x:c r="G100" s="5">
        <x:f>SUM(B100:B100)</x:f>
        <x:v>0.0</x:v>
      </x:c>
      <x:c r="H100" s="5">
        <x:f>F100+G100</x:f>
        <x:v>7071.0</x:v>
      </x:c>
      <x:c r="I100" s="5">
        <x:f>ROUND(H100*$M$4,0)</x:f>
        <x:v>707.0</x:v>
      </x:c>
      <x:c r="J100" s="5">
        <x:f>H100+I100</x:f>
        <x:v>7778.0</x:v>
      </x:c>
      <x:c r="K100" s="2"/>
      <x:c r="L100" s="2"/>
      <x:c r="M100" s="2"/>
    </x:row>
    <x:row r="101" ht="22" customHeight="1">
      <x:c r="A101" s="8" t="str">
        <x:v>000094</x:v>
      </x:c>
      <x:c r="B101" s="8" t="n">
        <x:v>100</x:v>
      </x:c>
      <x:c r="C101" s="5" t="n">
        <x:v>4</x:v>
      </x:c>
      <x:c r="D101" s="5" t="n">
        <x:v>2498</x:v>
      </x:c>
      <x:c r="E101" s="6" t="n">
        <x:v>0.1</x:v>
      </x:c>
      <x:c r="F101" s="5">
        <x:f>ROUND(C101*D101*(1-E101),0)</x:f>
        <x:v>8993.0</x:v>
      </x:c>
      <x:c r="G101" s="5">
        <x:f>SUM(B101:B101)</x:f>
        <x:v>100.0</x:v>
      </x:c>
      <x:c r="H101" s="5">
        <x:f>F101+G101</x:f>
        <x:v>9093.0</x:v>
      </x:c>
      <x:c r="I101" s="5">
        <x:f>ROUND(H101*$M$4,0)</x:f>
        <x:v>909.0</x:v>
      </x:c>
      <x:c r="J101" s="5">
        <x:f>H101+I101</x:f>
        <x:v>10002.0</x:v>
      </x:c>
      <x:c r="K101" s="2"/>
      <x:c r="L101" s="2"/>
      <x:c r="M101" s="2"/>
    </x:row>
    <x:row r="102" ht="22" customHeight="1">
      <x:c r="A102" s="8" t="str">
        <x:v>000095</x:v>
      </x:c>
      <x:c r="B102" s="8" t="n">
        <x:v>200</x:v>
      </x:c>
      <x:c r="C102" s="5" t="n">
        <x:v>5</x:v>
      </x:c>
      <x:c r="D102" s="5" t="n">
        <x:v>2515</x:v>
      </x:c>
      <x:c r="E102" s="6" t="n">
        <x:v>0.15</x:v>
      </x:c>
      <x:c r="F102" s="5">
        <x:f>ROUND(C102*D102*(1-E102),0)</x:f>
        <x:v>10689.0</x:v>
      </x:c>
      <x:c r="G102" s="5">
        <x:f>SUM(B102:B102)</x:f>
        <x:v>200.0</x:v>
      </x:c>
      <x:c r="H102" s="5">
        <x:f>F102+G102</x:f>
        <x:v>10889.0</x:v>
      </x:c>
      <x:c r="I102" s="5">
        <x:f>ROUND(H102*$M$4,0)</x:f>
        <x:v>1089.0</x:v>
      </x:c>
      <x:c r="J102" s="5">
        <x:f>H102+I102</x:f>
        <x:v>11978.0</x:v>
      </x:c>
      <x:c r="K102" s="2"/>
      <x:c r="L102" s="2"/>
      <x:c r="M102" s="2"/>
    </x:row>
    <x:row r="103" ht="22" customHeight="1">
      <x:c r="A103" s="8" t="str">
        <x:v>000096</x:v>
      </x:c>
      <x:c r="B103" s="8" t="n">
        <x:v>300</x:v>
      </x:c>
      <x:c r="C103" s="5" t="n">
        <x:v>6</x:v>
      </x:c>
      <x:c r="D103" s="5" t="n">
        <x:v>2532</x:v>
      </x:c>
      <x:c r="E103" s="6" t="n">
        <x:v>0</x:v>
      </x:c>
      <x:c r="F103" s="5">
        <x:f>ROUND(C103*D103*(1-E103),0)</x:f>
        <x:v>15192.0</x:v>
      </x:c>
      <x:c r="G103" s="5">
        <x:f>SUM(B103:B103)</x:f>
        <x:v>300.0</x:v>
      </x:c>
      <x:c r="H103" s="5">
        <x:f>F103+G103</x:f>
        <x:v>15492.0</x:v>
      </x:c>
      <x:c r="I103" s="5">
        <x:f>ROUND(H103*$M$4,0)</x:f>
        <x:v>1549.0</x:v>
      </x:c>
      <x:c r="J103" s="5">
        <x:f>H103+I103</x:f>
        <x:v>17041.0</x:v>
      </x:c>
      <x:c r="K103" s="2"/>
      <x:c r="L103" s="2"/>
      <x:c r="M103" s="2"/>
    </x:row>
    <x:row r="104" ht="22" customHeight="1">
      <x:c r="A104" s="8" t="str">
        <x:v>000097</x:v>
      </x:c>
      <x:c r="B104" s="8" t="n">
        <x:v>400</x:v>
      </x:c>
      <x:c r="C104" s="5" t="n">
        <x:v>7</x:v>
      </x:c>
      <x:c r="D104" s="5" t="n">
        <x:v>2549</x:v>
      </x:c>
      <x:c r="E104" s="6" t="n">
        <x:v>0.05</x:v>
      </x:c>
      <x:c r="F104" s="5">
        <x:f>ROUND(C104*D104*(1-E104),0)</x:f>
        <x:v>16951.0</x:v>
      </x:c>
      <x:c r="G104" s="5">
        <x:f>SUM(B104:B104)</x:f>
        <x:v>400.0</x:v>
      </x:c>
      <x:c r="H104" s="5">
        <x:f>F104+G104</x:f>
        <x:v>17351.0</x:v>
      </x:c>
      <x:c r="I104" s="5">
        <x:f>ROUND(H104*$M$4,0)</x:f>
        <x:v>1735.0</x:v>
      </x:c>
      <x:c r="J104" s="5">
        <x:f>H104+I104</x:f>
        <x:v>19086.0</x:v>
      </x:c>
      <x:c r="K104" s="2"/>
      <x:c r="L104" s="2"/>
      <x:c r="M104" s="2"/>
    </x:row>
    <x:row r="105" ht="22" customHeight="1">
      <x:c r="A105" s="8" t="str">
        <x:v>000098</x:v>
      </x:c>
      <x:c r="B105" s="8" t="n">
        <x:v>500</x:v>
      </x:c>
      <x:c r="C105" s="5" t="n">
        <x:v>1</x:v>
      </x:c>
      <x:c r="D105" s="5" t="n">
        <x:v>2566</x:v>
      </x:c>
      <x:c r="E105" s="6" t="n">
        <x:v>0.1</x:v>
      </x:c>
      <x:c r="F105" s="5">
        <x:f>ROUND(C105*D105*(1-E105),0)</x:f>
        <x:v>2309.0</x:v>
      </x:c>
      <x:c r="G105" s="5">
        <x:f>SUM(B105:B105)</x:f>
        <x:v>500.0</x:v>
      </x:c>
      <x:c r="H105" s="5">
        <x:f>F105+G105</x:f>
        <x:v>2809.0</x:v>
      </x:c>
      <x:c r="I105" s="5">
        <x:f>ROUND(H105*$M$4,0)</x:f>
        <x:v>281.0</x:v>
      </x:c>
      <x:c r="J105" s="5">
        <x:f>H105+I105</x:f>
        <x:v>3090.0</x:v>
      </x:c>
      <x:c r="K105" s="2"/>
      <x:c r="L105" s="2"/>
      <x:c r="M105" s="2"/>
    </x:row>
    <x:row r="106" ht="22" customHeight="1">
      <x:c r="A106" s="8" t="str">
        <x:v>000099</x:v>
      </x:c>
      <x:c r="B106" s="8" t="n">
        <x:v>-500</x:v>
      </x:c>
      <x:c r="C106" s="5" t="n">
        <x:v>2</x:v>
      </x:c>
      <x:c r="D106" s="5" t="n">
        <x:v>2583</x:v>
      </x:c>
      <x:c r="E106" s="6" t="n">
        <x:v>0.15</x:v>
      </x:c>
      <x:c r="F106" s="5">
        <x:f>ROUND(C106*D106*(1-E106),0)</x:f>
        <x:v>4391.0</x:v>
      </x:c>
      <x:c r="G106" s="5">
        <x:f>SUM(B106:B106)</x:f>
        <x:v>-500.0</x:v>
      </x:c>
      <x:c r="H106" s="5">
        <x:f>F106+G106</x:f>
        <x:v>3891.0</x:v>
      </x:c>
      <x:c r="I106" s="5">
        <x:f>ROUND(H106*$M$4,0)</x:f>
        <x:v>389.0</x:v>
      </x:c>
      <x:c r="J106" s="5">
        <x:f>H106+I106</x:f>
        <x:v>4280.0</x:v>
      </x:c>
      <x:c r="K106" s="2"/>
      <x:c r="L106" s="2"/>
      <x:c r="M106" s="2"/>
    </x:row>
    <x:row r="107" ht="22" customHeight="1">
      <x:c r="A107" s="8" t="str">
        <x:v>000100</x:v>
      </x:c>
      <x:c r="B107" s="8" t="n">
        <x:v>-400</x:v>
      </x:c>
      <x:c r="C107" s="5" t="n">
        <x:v>3</x:v>
      </x:c>
      <x:c r="D107" s="5" t="n">
        <x:v>2600</x:v>
      </x:c>
      <x:c r="E107" s="6" t="n">
        <x:v>0</x:v>
      </x:c>
      <x:c r="F107" s="5"/>
      <x:c r="G107" s="5">
        <x:f>SUM(B107:B107)</x:f>
        <x:v>-400.0</x:v>
      </x:c>
      <x:c r="H107" s="5">
        <x:f>F107+G107</x:f>
        <x:v>-400.0</x:v>
      </x:c>
      <x:c r="I107" s="5">
        <x:f>ROUND(H107*$M$4,0)</x:f>
        <x:v>-40.0</x:v>
      </x:c>
      <x:c r="J107" s="5">
        <x:f>H107+I107</x:f>
        <x:v>-440.0</x:v>
      </x:c>
      <x:c r="K107" s="2"/>
      <x:c r="L107" s="2"/>
      <x:c r="M107" s="2"/>
    </x:row>
    <x:row r="108" ht="22" customHeight="1">
      <x:c r="A108" s="8" t="str">
        <x:v>000101</x:v>
      </x:c>
      <x:c r="B108" s="8" t="n">
        <x:v>-300</x:v>
      </x:c>
      <x:c r="C108" s="5" t="n">
        <x:v>4</x:v>
      </x:c>
      <x:c r="D108" s="5" t="n">
        <x:v>2617</x:v>
      </x:c>
      <x:c r="E108" s="6" t="n">
        <x:v>0.05</x:v>
      </x:c>
      <x:c r="F108" s="5">
        <x:f>ROUND(C108*D108*(1-E108),0)</x:f>
        <x:v>9945.0</x:v>
      </x:c>
      <x:c r="G108" s="5">
        <x:f>SUM(B108:B108)</x:f>
        <x:v>-300.0</x:v>
      </x:c>
      <x:c r="H108" s="5">
        <x:f>F108+G108</x:f>
        <x:v>9645.0</x:v>
      </x:c>
      <x:c r="I108" s="5">
        <x:f>ROUND(H108*$M$4,0)</x:f>
        <x:v>965.0</x:v>
      </x:c>
      <x:c r="J108" s="5">
        <x:f>H108+I108</x:f>
        <x:v>10610.0</x:v>
      </x:c>
      <x:c r="K108" s="2"/>
      <x:c r="L108" s="2"/>
      <x:c r="M108" s="2"/>
    </x:row>
    <x:row r="109" ht="22" customHeight="1">
      <x:c r="A109" s="8" t="str">
        <x:v>000102</x:v>
      </x:c>
      <x:c r="B109" s="8" t="n">
        <x:v>-200</x:v>
      </x:c>
      <x:c r="C109" s="5" t="n">
        <x:v>5</x:v>
      </x:c>
      <x:c r="D109" s="5" t="n">
        <x:v>2634</x:v>
      </x:c>
      <x:c r="E109" s="6" t="n">
        <x:v>0.1</x:v>
      </x:c>
      <x:c r="F109" s="5">
        <x:f>ROUND(C109*D109*(1-E109),0)</x:f>
        <x:v>11853.0</x:v>
      </x:c>
      <x:c r="G109" s="5">
        <x:f>SUM(B109:B109)</x:f>
        <x:v>-200.0</x:v>
      </x:c>
      <x:c r="H109" s="5">
        <x:f>F109+G109</x:f>
        <x:v>11653.0</x:v>
      </x:c>
      <x:c r="I109" s="5">
        <x:f>ROUND(H109*$M$4,0)</x:f>
        <x:v>1165.0</x:v>
      </x:c>
      <x:c r="J109" s="5">
        <x:f>H109+I109</x:f>
        <x:v>12818.0</x:v>
      </x:c>
      <x:c r="K109" s="2"/>
      <x:c r="L109" s="2"/>
      <x:c r="M109" s="2"/>
    </x:row>
    <x:row r="110" ht="22" customHeight="1">
      <x:c r="A110" s="8" t="str">
        <x:v>000103</x:v>
      </x:c>
      <x:c r="B110" s="8" t="n">
        <x:v>-100</x:v>
      </x:c>
      <x:c r="C110" s="5" t="n">
        <x:v>6</x:v>
      </x:c>
      <x:c r="D110" s="5" t="n">
        <x:v>2651</x:v>
      </x:c>
      <x:c r="E110" s="6" t="n">
        <x:v>0.15</x:v>
      </x:c>
      <x:c r="F110" s="5">
        <x:f>ROUND(C110*D110*(1-E110),0)</x:f>
        <x:v>13520.0</x:v>
      </x:c>
      <x:c r="G110" s="5">
        <x:f>SUM(B110:B110)</x:f>
        <x:v>-100.0</x:v>
      </x:c>
      <x:c r="H110" s="5">
        <x:f>F110+G110</x:f>
        <x:v>13420.0</x:v>
      </x:c>
      <x:c r="I110" s="5">
        <x:f>ROUND(H110*$M$4,0)</x:f>
        <x:v>1342.0</x:v>
      </x:c>
      <x:c r="J110" s="5">
        <x:f>H110+I110</x:f>
        <x:v>14762.0</x:v>
      </x:c>
      <x:c r="K110" s="2"/>
      <x:c r="L110" s="2"/>
      <x:c r="M110" s="2"/>
    </x:row>
    <x:row r="111" ht="22" customHeight="1">
      <x:c r="A111" s="8" t="str">
        <x:v>000104</x:v>
      </x:c>
      <x:c r="B111" s="8">
        <x:v>3000</x:v>
      </x:c>
      <x:c r="C111" s="5" t="n">
        <x:v>7</x:v>
      </x:c>
      <x:c r="D111" s="5" t="n">
        <x:v>2668</x:v>
      </x:c>
      <x:c r="E111" s="6" t="n">
        <x:v>0</x:v>
      </x:c>
      <x:c r="F111" s="5">
        <x:f>ROUND(C111*D111*(1-E111),0)</x:f>
        <x:v>18676.0</x:v>
      </x:c>
      <x:c r="G111" s="5">
        <x:f>SUM(B111:B111)</x:f>
        <x:v>3000.0</x:v>
      </x:c>
      <x:c r="H111" s="5">
        <x:f>F111+G111</x:f>
        <x:v>21676.0</x:v>
      </x:c>
      <x:c r="I111" s="5">
        <x:f>ROUND(H111*$M$4,0)</x:f>
        <x:v>2168.0</x:v>
      </x:c>
      <x:c r="J111" s="5">
        <x:f>H111+I111</x:f>
        <x:v>23844.0</x:v>
      </x:c>
      <x:c r="K111" s="2"/>
      <x:c r="L111" s="2"/>
      <x:c r="M111" s="2"/>
    </x:row>
    <x:row r="112" ht="22" customHeight="1">
      <x:c r="A112" s="8" t="str">
        <x:v>000105</x:v>
      </x:c>
      <x:c r="B112" s="8" t="n">
        <x:v>100</x:v>
      </x:c>
      <x:c r="C112" s="5" t="n">
        <x:v>1</x:v>
      </x:c>
      <x:c r="D112" s="5" t="n">
        <x:v>2685</x:v>
      </x:c>
      <x:c r="E112" s="6" t="n">
        <x:v>0.05</x:v>
      </x:c>
      <x:c r="F112" s="5">
        <x:f>ROUND(C112*D112*(1-E112),0)</x:f>
        <x:v>2551.0</x:v>
      </x:c>
      <x:c r="G112" s="5">
        <x:f>SUM(B112:B112)</x:f>
        <x:v>100.0</x:v>
      </x:c>
      <x:c r="H112" s="5">
        <x:f>F112+G112</x:f>
        <x:v>2651.0</x:v>
      </x:c>
      <x:c r="I112" s="5">
        <x:f>ROUND(H112*$M$4,0)</x:f>
        <x:v>265.0</x:v>
      </x:c>
      <x:c r="J112" s="5">
        <x:f>H112+I112</x:f>
        <x:v>2916.0</x:v>
      </x:c>
      <x:c r="K112" s="2"/>
      <x:c r="L112" s="2"/>
      <x:c r="M112" s="2"/>
    </x:row>
    <x:row r="113" ht="22" customHeight="1">
      <x:c r="A113" s="8" t="str">
        <x:v>000106</x:v>
      </x:c>
      <x:c r="B113" s="8" t="n">
        <x:v>200</x:v>
      </x:c>
      <x:c r="C113" s="5" t="n">
        <x:v>2</x:v>
      </x:c>
      <x:c r="D113" s="5" t="n">
        <x:v>2702</x:v>
      </x:c>
      <x:c r="E113" s="6" t="n">
        <x:v>0.1</x:v>
      </x:c>
      <x:c r="F113" s="5">
        <x:f>ROUND(C113*D113*(1-E113),0)</x:f>
        <x:v>4864.0</x:v>
      </x:c>
      <x:c r="G113" s="5">
        <x:f>SUM(B113:B113)</x:f>
        <x:v>200.0</x:v>
      </x:c>
      <x:c r="H113" s="5">
        <x:f>F113+G113</x:f>
        <x:v>5064.0</x:v>
      </x:c>
      <x:c r="I113" s="5">
        <x:f>ROUND(H113*$M$4,0)</x:f>
        <x:v>506.0</x:v>
      </x:c>
      <x:c r="J113" s="5">
        <x:f>H113+I113</x:f>
        <x:v>5570.0</x:v>
      </x:c>
      <x:c r="K113" s="2"/>
      <x:c r="L113" s="2"/>
      <x:c r="M113" s="2"/>
    </x:row>
    <x:row r="114" ht="22" customHeight="1">
      <x:c r="A114" s="8" t="str">
        <x:v>000107</x:v>
      </x:c>
      <x:c r="B114" s="8" t="n">
        <x:v>300</x:v>
      </x:c>
      <x:c r="C114" s="5" t="n">
        <x:v>3</x:v>
      </x:c>
      <x:c r="D114" s="5" t="n">
        <x:v>2719</x:v>
      </x:c>
      <x:c r="E114" s="6" t="n">
        <x:v>0.15</x:v>
      </x:c>
      <x:c r="F114" s="5">
        <x:f>ROUND(C114*D114*(1-E114),0)</x:f>
        <x:v>6933.0</x:v>
      </x:c>
      <x:c r="G114" s="5">
        <x:f>SUM(B114:B114)</x:f>
        <x:v>300.0</x:v>
      </x:c>
      <x:c r="H114" s="5">
        <x:f>F114+G114</x:f>
        <x:v>7233.0</x:v>
      </x:c>
      <x:c r="I114" s="5">
        <x:f>ROUND(H114*$M$4,0)</x:f>
        <x:v>723.0</x:v>
      </x:c>
      <x:c r="J114" s="5">
        <x:f>H114+I114</x:f>
        <x:v>7956.0</x:v>
      </x:c>
      <x:c r="K114" s="2"/>
      <x:c r="L114" s="2"/>
      <x:c r="M114" s="2"/>
    </x:row>
    <x:row r="115" ht="22" customHeight="1">
      <x:c r="A115" s="8" t="str">
        <x:v>000108</x:v>
      </x:c>
      <x:c r="B115" s="8" t="n">
        <x:v>400</x:v>
      </x:c>
      <x:c r="C115" s="5" t="n">
        <x:v>4</x:v>
      </x:c>
      <x:c r="D115" s="5" t="n">
        <x:v>2736</x:v>
      </x:c>
      <x:c r="E115" s="6" t="n">
        <x:v>0</x:v>
      </x:c>
      <x:c r="F115" s="5">
        <x:f>ROUND(C115*D115*(1-E115),0)</x:f>
        <x:v>10944.0</x:v>
      </x:c>
      <x:c r="G115" s="5">
        <x:f>SUM(B115:B115)</x:f>
        <x:v>400.0</x:v>
      </x:c>
      <x:c r="H115" s="5">
        <x:f>F115+G115</x:f>
        <x:v>11344.0</x:v>
      </x:c>
      <x:c r="I115" s="5">
        <x:f>ROUND(H115*$M$4,0)</x:f>
        <x:v>1134.0</x:v>
      </x:c>
      <x:c r="J115" s="5">
        <x:f>H115+I115</x:f>
        <x:v>12478.0</x:v>
      </x:c>
      <x:c r="K115" s="2"/>
      <x:c r="L115" s="2"/>
      <x:c r="M115" s="2"/>
    </x:row>
    <x:row r="116" ht="22" customHeight="1">
      <x:c r="A116" s="8" t="str">
        <x:v>000109</x:v>
      </x:c>
      <x:c r="B116" s="8" t="n">
        <x:v>500</x:v>
      </x:c>
      <x:c r="C116" s="5" t="n">
        <x:v>5</x:v>
      </x:c>
      <x:c r="D116" s="5" t="n">
        <x:v>2753</x:v>
      </x:c>
      <x:c r="E116" s="6" t="n">
        <x:v>0.05</x:v>
      </x:c>
      <x:c r="F116" s="5">
        <x:f>ROUND(C116*D116*(1-E116),0)</x:f>
        <x:v>13077.0</x:v>
      </x:c>
      <x:c r="G116" s="5">
        <x:f>SUM(B116:B116)</x:f>
        <x:v>500.0</x:v>
      </x:c>
      <x:c r="H116" s="5">
        <x:f>F116+G116</x:f>
        <x:v>13577.0</x:v>
      </x:c>
      <x:c r="I116" s="5">
        <x:f>ROUND(H116*$M$4,0)</x:f>
        <x:v>1358.0</x:v>
      </x:c>
      <x:c r="J116" s="5">
        <x:f>H116+I116</x:f>
        <x:v>14935.0</x:v>
      </x:c>
      <x:c r="K116" s="2"/>
      <x:c r="L116" s="2"/>
      <x:c r="M116" s="2"/>
    </x:row>
    <x:row r="117" ht="22" customHeight="1">
      <x:c r="A117" s="8" t="str">
        <x:v>000110</x:v>
      </x:c>
      <x:c r="B117" s="8" t="n">
        <x:v>-500</x:v>
      </x:c>
      <x:c r="C117" s="5" t="n">
        <x:v>6</x:v>
      </x:c>
      <x:c r="D117" s="5" t="n">
        <x:v>2770</x:v>
      </x:c>
      <x:c r="E117" s="6" t="n">
        <x:v>0.1</x:v>
      </x:c>
      <x:c r="F117" s="5">
        <x:f>ROUND(C117*D117*(1-E117),0)</x:f>
        <x:v>14958.0</x:v>
      </x:c>
      <x:c r="G117" s="5">
        <x:f>SUM(B117:B117)</x:f>
        <x:v>-500.0</x:v>
      </x:c>
      <x:c r="H117" s="5">
        <x:f>F117+G117</x:f>
        <x:v>14458.0</x:v>
      </x:c>
      <x:c r="I117" s="5">
        <x:f>ROUND(H117*$M$4,0)</x:f>
        <x:v>1446.0</x:v>
      </x:c>
      <x:c r="J117" s="5">
        <x:f>H117+I117</x:f>
        <x:v>15904.0</x:v>
      </x:c>
      <x:c r="K117" s="2"/>
      <x:c r="L117" s="2"/>
      <x:c r="M117" s="2"/>
    </x:row>
    <x:row r="118" ht="22" customHeight="1">
      <x:c r="A118" s="8" t="str">
        <x:v>000111</x:v>
      </x:c>
      <x:c r="B118" s="8" t="n">
        <x:v>-400</x:v>
      </x:c>
      <x:c r="C118" s="5" t="n">
        <x:v>7</x:v>
      </x:c>
      <x:c r="D118" s="5" t="n">
        <x:v>2787</x:v>
      </x:c>
      <x:c r="E118" s="6" t="n">
        <x:v>0.15</x:v>
      </x:c>
      <x:c r="F118" s="5">
        <x:f>ROUND(C118*D118*(1-E118),0)</x:f>
        <x:v>16583.0</x:v>
      </x:c>
      <x:c r="G118" s="5">
        <x:f>SUM(B118:B118)</x:f>
        <x:v>-400.0</x:v>
      </x:c>
      <x:c r="H118" s="5">
        <x:f>F118+G118</x:f>
        <x:v>16183.0</x:v>
      </x:c>
      <x:c r="I118" s="5">
        <x:f>ROUND(H118*$M$4,0)</x:f>
        <x:v>1618.0</x:v>
      </x:c>
      <x:c r="J118" s="5">
        <x:f>H118+I118</x:f>
        <x:v>17801.0</x:v>
      </x:c>
      <x:c r="K118" s="2"/>
      <x:c r="L118" s="2"/>
      <x:c r="M118" s="2"/>
    </x:row>
    <x:row r="119" ht="22" customHeight="1">
      <x:c r="A119" s="8" t="str">
        <x:v>000112</x:v>
      </x:c>
      <x:c r="B119" s="8" t="n">
        <x:v>-300</x:v>
      </x:c>
      <x:c r="C119" s="5" t="n">
        <x:v>1</x:v>
      </x:c>
      <x:c r="D119" s="5" t="n">
        <x:v>2804</x:v>
      </x:c>
      <x:c r="E119" s="6" t="n">
        <x:v>0</x:v>
      </x:c>
      <x:c r="F119" s="5">
        <x:f>ROUND(C119*D119*(1-E119),0)</x:f>
        <x:v>2804.0</x:v>
      </x:c>
      <x:c r="G119" s="5">
        <x:f>SUM(B119:B119)</x:f>
        <x:v>-300.0</x:v>
      </x:c>
      <x:c r="H119" s="5">
        <x:f>F119+G119</x:f>
        <x:v>2504.0</x:v>
      </x:c>
      <x:c r="I119" s="5">
        <x:f>ROUND(H119*$M$4,0)</x:f>
        <x:v>250.0</x:v>
      </x:c>
      <x:c r="J119" s="5">
        <x:f>H119+I119</x:f>
        <x:v>2754.0</x:v>
      </x:c>
      <x:c r="K119" s="2"/>
      <x:c r="L119" s="2"/>
      <x:c r="M119" s="2"/>
    </x:row>
    <x:row r="120" ht="22" customHeight="1">
      <x:c r="A120" s="8" t="str">
        <x:v>000113</x:v>
      </x:c>
      <x:c r="B120" s="8" t="n">
        <x:v>-200</x:v>
      </x:c>
      <x:c r="C120" s="5" t="n">
        <x:v>2</x:v>
      </x:c>
      <x:c r="D120" s="5" t="n">
        <x:v>2821</x:v>
      </x:c>
      <x:c r="E120" s="6" t="n">
        <x:v>0.05</x:v>
      </x:c>
      <x:c r="F120" s="5">
        <x:f>ROUND(C120*D120*(1-E120),0)</x:f>
        <x:v>5360.0</x:v>
      </x:c>
      <x:c r="G120" s="5">
        <x:f>SUM(B120:B120)</x:f>
        <x:v>-200.0</x:v>
      </x:c>
      <x:c r="H120" s="5">
        <x:f>F120+G120</x:f>
        <x:v>5160.0</x:v>
      </x:c>
      <x:c r="I120" s="5">
        <x:f>ROUND(H120*$M$4,0)</x:f>
        <x:v>516.0</x:v>
      </x:c>
      <x:c r="J120" s="5">
        <x:f>H120+I120</x:f>
        <x:v>5676.0</x:v>
      </x:c>
      <x:c r="K120" s="2"/>
      <x:c r="L120" s="2"/>
      <x:c r="M120" s="2"/>
    </x:row>
    <x:row r="121" ht="22" customHeight="1">
      <x:c r="A121" s="8" t="str">
        <x:v>000114</x:v>
      </x:c>
      <x:c r="B121" s="8" t="n">
        <x:v>-100</x:v>
      </x:c>
      <x:c r="C121" s="5" t="n">
        <x:v>3</x:v>
      </x:c>
      <x:c r="D121" s="5" t="n">
        <x:v>2838</x:v>
      </x:c>
      <x:c r="E121" s="6" t="n">
        <x:v>0.1</x:v>
      </x:c>
      <x:c r="F121" s="5">
        <x:f>ROUND(C121*D121*(1-E121),0)</x:f>
        <x:v>7663.0</x:v>
      </x:c>
      <x:c r="G121" s="5">
        <x:f>SUM(B121:B121)</x:f>
        <x:v>-100.0</x:v>
      </x:c>
      <x:c r="H121" s="5">
        <x:f>F121+G121</x:f>
        <x:v>7563.0</x:v>
      </x:c>
      <x:c r="I121" s="5">
        <x:f>ROUND(H121*$M$4,0)</x:f>
        <x:v>756.0</x:v>
      </x:c>
      <x:c r="J121" s="5">
        <x:f>H121+I121</x:f>
        <x:v>8319.0</x:v>
      </x:c>
      <x:c r="K121" s="2"/>
      <x:c r="L121" s="2"/>
      <x:c r="M121" s="2"/>
    </x:row>
    <x:row r="122" ht="22" customHeight="1">
      <x:c r="A122" s="8" t="str">
        <x:v>000115</x:v>
      </x:c>
      <x:c r="B122" s="8" t="n">
        <x:v>0</x:v>
      </x:c>
      <x:c r="C122" s="5" t="n">
        <x:v>4</x:v>
      </x:c>
      <x:c r="D122" s="5" t="n">
        <x:v>2855</x:v>
      </x:c>
      <x:c r="E122" s="6" t="n">
        <x:v>0.15</x:v>
      </x:c>
      <x:c r="F122" s="5">
        <x:f>ROUND(C122*D122*(1-E122),0)</x:f>
        <x:v>9707.0</x:v>
      </x:c>
      <x:c r="G122" s="5">
        <x:f>SUM(B122:B122)</x:f>
        <x:v>0.0</x:v>
      </x:c>
      <x:c r="H122" s="5">
        <x:f>F122+G122</x:f>
        <x:v>9707.0</x:v>
      </x:c>
      <x:c r="I122" s="5">
        <x:f>ROUND(H122*$M$4,0)</x:f>
        <x:v>971.0</x:v>
      </x:c>
      <x:c r="J122" s="5">
        <x:f>H122+I122</x:f>
        <x:v>10678.0</x:v>
      </x:c>
      <x:c r="K122" s="2"/>
      <x:c r="L122" s="2"/>
      <x:c r="M122" s="2"/>
    </x:row>
    <x:row r="123" ht="22" customHeight="1">
      <x:c r="A123" s="8" t="str">
        <x:v>000116</x:v>
      </x:c>
      <x:c r="B123" s="8" t="n">
        <x:v>100</x:v>
      </x:c>
      <x:c r="C123" s="5" t="n">
        <x:v>5</x:v>
      </x:c>
      <x:c r="D123" s="5" t="n">
        <x:v>2872</x:v>
      </x:c>
      <x:c r="E123" s="6" t="n">
        <x:v>0</x:v>
      </x:c>
      <x:c r="F123" s="5">
        <x:f>ROUND(C123*D123*(1-E123),0)</x:f>
        <x:v>14360.0</x:v>
      </x:c>
      <x:c r="G123" s="5">
        <x:f>SUM(B123:B123)</x:f>
        <x:v>100.0</x:v>
      </x:c>
      <x:c r="H123" s="5">
        <x:f>F123+G123</x:f>
        <x:v>14460.0</x:v>
      </x:c>
      <x:c r="I123" s="5">
        <x:f>ROUND(H123*$M$4,0)</x:f>
        <x:v>1446.0</x:v>
      </x:c>
      <x:c r="J123" s="5">
        <x:f>H123+I123</x:f>
        <x:v>15906.0</x:v>
      </x:c>
      <x:c r="K123" s="2"/>
      <x:c r="L123" s="2"/>
      <x:c r="M123" s="2"/>
    </x:row>
    <x:row r="124" ht="22" customHeight="1">
      <x:c r="A124" s="8" t="str">
        <x:v>000117</x:v>
      </x:c>
      <x:c r="B124" s="8" t="n">
        <x:v>200</x:v>
      </x:c>
      <x:c r="C124" s="5" t="n">
        <x:v>6</x:v>
      </x:c>
      <x:c r="D124" s="5" t="n">
        <x:v>2889</x:v>
      </x:c>
      <x:c r="E124" s="6" t="n">
        <x:v>0.05</x:v>
      </x:c>
      <x:c r="F124" s="5">
        <x:f>ROUND(C124*D124*(1-E124),0)</x:f>
        <x:v>16467.0</x:v>
      </x:c>
      <x:c r="G124" s="5">
        <x:f>SUM(B124:B124)</x:f>
        <x:v>200.0</x:v>
      </x:c>
      <x:c r="H124" s="5">
        <x:f>F124+G124</x:f>
        <x:v>16667.0</x:v>
      </x:c>
      <x:c r="I124" s="5">
        <x:f>ROUND(H124*$M$4,0)</x:f>
        <x:v>1667.0</x:v>
      </x:c>
      <x:c r="J124" s="5">
        <x:f>H124+I124</x:f>
        <x:v>18334.0</x:v>
      </x:c>
      <x:c r="K124" s="2"/>
      <x:c r="L124" s="2"/>
      <x:c r="M124" s="2"/>
    </x:row>
    <x:row r="125" ht="22" customHeight="1">
      <x:c r="A125" s="8" t="str">
        <x:v>000118</x:v>
      </x:c>
      <x:c r="B125" s="8" t="n">
        <x:v>300</x:v>
      </x:c>
      <x:c r="C125" s="5" t="n">
        <x:v>7</x:v>
      </x:c>
      <x:c r="D125" s="5" t="n">
        <x:v>2906</x:v>
      </x:c>
      <x:c r="E125" s="6" t="n">
        <x:v>0.1</x:v>
      </x:c>
      <x:c r="F125" s="5">
        <x:f>ROUND(C125*D125*(1-E125),0)</x:f>
        <x:v>18308.0</x:v>
      </x:c>
      <x:c r="G125" s="5">
        <x:f>SUM(B125:B125)</x:f>
        <x:v>300.0</x:v>
      </x:c>
      <x:c r="H125" s="5">
        <x:f>F125+G125</x:f>
        <x:v>18608.0</x:v>
      </x:c>
      <x:c r="I125" s="5">
        <x:f>ROUND(H125*$M$4,0)</x:f>
        <x:v>1861.0</x:v>
      </x:c>
      <x:c r="J125" s="5">
        <x:f>H125+I125</x:f>
        <x:v>20469.0</x:v>
      </x:c>
      <x:c r="K125" s="2"/>
      <x:c r="L125" s="2"/>
      <x:c r="M125" s="2"/>
    </x:row>
    <x:row r="126" ht="22" customHeight="1">
      <x:c r="A126" s="8" t="str">
        <x:v>000119</x:v>
      </x:c>
      <x:c r="B126" s="8" t="n">
        <x:v>400</x:v>
      </x:c>
      <x:c r="C126" s="5" t="n">
        <x:v>1</x:v>
      </x:c>
      <x:c r="D126" s="5" t="n">
        <x:v>2923</x:v>
      </x:c>
      <x:c r="E126" s="6" t="n">
        <x:v>0.15</x:v>
      </x:c>
      <x:c r="F126" s="5">
        <x:f>ROUND(C126*D126*(1-E126),0)</x:f>
        <x:v>2485.0</x:v>
      </x:c>
      <x:c r="G126" s="5">
        <x:f>SUM(B126:B126)</x:f>
        <x:v>400.0</x:v>
      </x:c>
      <x:c r="H126" s="5">
        <x:f>F126+G126</x:f>
        <x:v>2885.0</x:v>
      </x:c>
      <x:c r="I126" s="5">
        <x:f>ROUND(H126*$M$4,0)</x:f>
        <x:v>289.0</x:v>
      </x:c>
      <x:c r="J126" s="5">
        <x:f>H126+I126</x:f>
        <x:v>3174.0</x:v>
      </x:c>
      <x:c r="K126" s="2"/>
      <x:c r="L126" s="2"/>
      <x:c r="M126" s="2"/>
    </x:row>
    <x:row r="127" ht="22" customHeight="1">
      <x:c r="A127" s="8" t="str">
        <x:v>000120</x:v>
      </x:c>
      <x:c r="B127" s="8" t="n">
        <x:v>500</x:v>
      </x:c>
      <x:c r="C127" s="5" t="n">
        <x:v>2</x:v>
      </x:c>
      <x:c r="D127" s="5" t="n">
        <x:v>2940</x:v>
      </x:c>
      <x:c r="E127" s="6" t="n">
        <x:v>0</x:v>
      </x:c>
      <x:c r="F127" s="5">
        <x:f>ROUND(C127*D127*(1-E127),0)</x:f>
        <x:v>5880.0</x:v>
      </x:c>
      <x:c r="G127" s="5">
        <x:f>SUM(B127:B127)</x:f>
        <x:v>500.0</x:v>
      </x:c>
      <x:c r="H127" s="5">
        <x:f>F127+G127</x:f>
        <x:v>6380.0</x:v>
      </x:c>
      <x:c r="I127" s="5">
        <x:f>ROUND(H127*$M$4,0)</x:f>
        <x:v>638.0</x:v>
      </x:c>
      <x:c r="J127" s="5">
        <x:f>H127+I127</x:f>
        <x:v>7018.0</x:v>
      </x:c>
      <x:c r="K127" s="2"/>
      <x:c r="L127" s="2"/>
      <x:c r="M127" s="2"/>
    </x:row>
    <x:row r="128" ht="22" customHeight="1">
      <x:c r="A128" s="8"/>
      <x:c r="B128" s="8"/>
      <x:c r="C128" s="5"/>
      <x:c r="D128" s="5"/>
      <x:c r="E128" s="6"/>
      <x:c r="F128" s="5"/>
      <x:c r="G128" s="5"/>
      <x:c r="H128" s="5"/>
      <x:c r="I128" s="5"/>
      <x:c r="J128" s="5"/>
      <x:c r="K128" s="2"/>
      <x:c r="L128" s="2"/>
      <x:c r="M128" s="2"/>
    </x:row>
    <x:row r="129" ht="22" customHeight="1">
      <x:c r="A129" s="8"/>
      <x:c r="B129" s="8"/>
      <x:c r="C129" s="5"/>
      <x:c r="D129" s="5"/>
      <x:c r="E129" s="6"/>
      <x:c r="F129" s="5"/>
      <x:c r="G129" s="5"/>
      <x:c r="H129" s="5"/>
      <x:c r="I129" s="5"/>
      <x:c r="J129" s="5"/>
      <x:c r="K129" s="2"/>
      <x:c r="L129" s="2"/>
      <x:c r="M129" s="2"/>
    </x:row>
    <x:row r="130" ht="22" customHeight="1">
      <x:c r="A130" s="12" t="str">
        <x:v>합계</x:v>
      </x:c>
      <x:c r="B130" s="12"/>
      <x:c r="C130" s="13"/>
      <x:c r="D130" s="13"/>
      <x:c r="E130" s="14"/>
      <x:c r="F130" s="13">
        <x:f>SUM(F8:F127)</x:f>
        <x:v>836071.0</x:v>
      </x:c>
      <x:c r="G130" s="13">
        <x:f>SUM(G8:G127)</x:f>
        <x:v>1127049.0</x:v>
      </x:c>
      <x:c r="H130" s="13">
        <x:f>SUM(H8:H127)</x:f>
        <x:v>1963120.0</x:v>
      </x:c>
      <x:c r="I130" s="13">
        <x:f>SUM(I8:I127)</x:f>
        <x:v>196316.0</x:v>
      </x:c>
      <x:c r="J130" s="13">
        <x:f>SUM(J8:J127)</x:f>
        <x:v>2159436.0</x:v>
      </x:c>
      <x:c r="K130" s="2"/>
      <x:c r="L130" s="2"/>
      <x:c r="M13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17" hidden="0" customWidth="1"/>
    <x:col min="3" max="3" width="55" hidden="0" customWidth="1"/>
  </x:cols>
  <x:sheetData>
    <x:row r="1" ht="22" customHeight="1">
      <x:c r="A1" s="2"/>
      <x:c r="B1" s="2"/>
      <x:c r="C1" s="2"/>
    </x:row>
    <x:row r="2" ht="22" customHeight="1">
      <x:c r="A2" s="15" t="str">
        <x:v>보존 대조 합성 데이터</x:v>
      </x:c>
      <x:c r="B2" s="2"/>
      <x:c r="C2" s="2"/>
    </x:row>
    <x:row r="3" ht="22" customHeight="1">
      <x:c r="A3" s="2"/>
      <x:c r="B3" s="2"/>
      <x:c r="C3" s="2"/>
    </x:row>
    <x:row r="4" ht="22" customHeight="1">
      <x:c r="A4" s="2"/>
      <x:c r="B4" s="2"/>
      <x:c r="C4" s="2"/>
    </x:row>
    <x:row r="5" ht="30" customHeight="1">
      <x:c r="A5" s="4" t="str">
        <x:v>식별자</x:v>
      </x:c>
      <x:c r="B5" s="4" t="str">
        <x:v>표기</x:v>
      </x:c>
      <x:c r="C5" s="4" t="str">
        <x:v>설명</x:v>
      </x:c>
    </x:row>
    <x:row r="6" ht="22" customHeight="1">
      <x:c r="A6" s="2" t="str">
        <x:v>00000006</x:v>
      </x:c>
      <x:c r="B6" s="2" t="str">
        <x:v>2026-09-07</x:v>
      </x:c>
      <x:c r="C6" s="2" t="str">
        <x:v>지점 1 / 한글·쉼표, 따옴표 "보존"</x:v>
      </x:c>
    </x:row>
    <x:row r="7" ht="22" customHeight="1">
      <x:c r="A7" s="2" t="str">
        <x:v>00000007</x:v>
      </x:c>
      <x:c r="B7" s="2" t="str">
        <x:v>2026-09-08</x:v>
      </x:c>
      <x:c r="C7" s="2" t="str">
        <x:v>지점 2 / 한글·쉼표, 따옴표 "보존"</x:v>
      </x:c>
    </x:row>
    <x:row r="8" ht="22" customHeight="1">
      <x:c r="A8" s="2" t="str">
        <x:v>00000008</x:v>
      </x:c>
      <x:c r="B8" s="2" t="str">
        <x:v>2026-09-09</x:v>
      </x:c>
      <x:c r="C8" s="2" t="str">
        <x:v>지점 3 / 한글·쉼표, 따옴표 "보존"</x:v>
      </x:c>
    </x:row>
    <x:row r="9" ht="22" customHeight="1">
      <x:c r="A9" s="2" t="str">
        <x:v>00000009</x:v>
      </x:c>
      <x:c r="B9" s="2" t="str">
        <x:v>2026-09-10</x:v>
      </x:c>
      <x:c r="C9" s="2" t="str">
        <x:v>지점 4 / 한글·쉼표, 따옴표 "보존"</x:v>
      </x:c>
    </x:row>
    <x:row r="10" ht="22" customHeight="1">
      <x:c r="A10" s="2" t="str">
        <x:v>00000010</x:v>
      </x:c>
      <x:c r="B10" s="2" t="str">
        <x:v>2026-09-11</x:v>
      </x:c>
      <x:c r="C10" s="2" t="str">
        <x:v>지점 0 / 한글·쉼표, 따옴표 "보존"</x:v>
      </x:c>
    </x:row>
    <x:row r="11" ht="22" customHeight="1">
      <x:c r="A11" s="2" t="str">
        <x:v>00000011</x:v>
      </x:c>
      <x:c r="B11" s="2" t="str">
        <x:v>2026-09-12</x:v>
      </x:c>
      <x:c r="C11" s="2" t="str">
        <x:v>지점 1 / 한글·쉼표, 따옴표 "보존"</x:v>
      </x:c>
    </x:row>
    <x:row r="12" ht="22" customHeight="1">
      <x:c r="A12" s="2" t="str">
        <x:v>00000012</x:v>
      </x:c>
      <x:c r="B12" s="2" t="str">
        <x:v>2026-09-13</x:v>
      </x:c>
      <x:c r="C12" s="2" t="str">
        <x:v>지점 2 / 한글·쉼표, 따옴표 "보존"</x:v>
      </x:c>
    </x:row>
    <x:row r="13" ht="22" customHeight="1">
      <x:c r="A13" s="2" t="str">
        <x:v>00000013</x:v>
      </x:c>
      <x:c r="B13" s="2" t="str">
        <x:v>2026-09-14</x:v>
      </x:c>
      <x:c r="C13" s="2" t="str">
        <x:v>지점 3 / 한글·쉼표, 따옴표 "보존"</x:v>
      </x:c>
    </x:row>
    <x:row r="14" ht="22" customHeight="1">
      <x:c r="A14" s="2" t="str">
        <x:v>00000014</x:v>
      </x:c>
      <x:c r="B14" s="2" t="str">
        <x:v>2026-09-15</x:v>
      </x:c>
      <x:c r="C14" s="2" t="str">
        <x:v>지점 4 / 한글·쉼표, 따옴표 "보존"</x:v>
      </x:c>
    </x:row>
    <x:row r="15" ht="22" customHeight="1">
      <x:c r="A15" s="2" t="str">
        <x:v>00000015</x:v>
      </x:c>
      <x:c r="B15" s="2" t="str">
        <x:v>2026-09-16</x:v>
      </x:c>
      <x:c r="C15" s="2" t="str">
        <x:v>지점 0 / 한글·쉼표, 따옴표 "보존"</x:v>
      </x:c>
    </x:row>
    <x:row r="16" ht="22" customHeight="1">
      <x:c r="A16" s="2" t="str">
        <x:v>00000016</x:v>
      </x:c>
      <x:c r="B16" s="2" t="str">
        <x:v>2026-09-17</x:v>
      </x:c>
      <x:c r="C16" s="2" t="str">
        <x:v>지점 1 / 한글·쉼표, 따옴표 "보존"</x:v>
      </x:c>
    </x:row>
    <x:row r="17" ht="22" customHeight="1">
      <x:c r="A17" s="2" t="str">
        <x:v>00000017</x:v>
      </x:c>
      <x:c r="B17" s="2" t="str">
        <x:v>2026-09-18</x:v>
      </x:c>
      <x:c r="C17" s="2" t="str">
        <x:v>지점 2 / 한글·쉼표, 따옴표 "보존"</x:v>
      </x:c>
    </x:row>
    <x:row r="18" ht="22" customHeight="1">
      <x:c r="A18" s="2" t="str">
        <x:v>00000018</x:v>
      </x:c>
      <x:c r="B18" s="2" t="str">
        <x:v>2026-09-19</x:v>
      </x:c>
      <x:c r="C18" s="2" t="str">
        <x:v>지점 3 / 한글·쉼표, 따옴표 "보존"</x:v>
      </x:c>
    </x:row>
    <x:row r="19" ht="22" customHeight="1">
      <x:c r="A19" s="2" t="str">
        <x:v>00000019</x:v>
      </x:c>
      <x:c r="B19" s="2" t="str">
        <x:v>2026-09-20</x:v>
      </x:c>
      <x:c r="C19" s="2" t="str">
        <x:v>지점 4 / 한글·쉼표, 따옴표 "보존"</x:v>
      </x:c>
    </x:row>
    <x:row r="20" ht="22" customHeight="1">
      <x:c r="A20" s="2" t="str">
        <x:v>00000020</x:v>
      </x:c>
      <x:c r="B20" s="2" t="str">
        <x:v>2026-09-21</x:v>
      </x:c>
      <x:c r="C20" s="2" t="str">
        <x:v>지점 0 / 한글·쉼표, 따옴표 "보존"</x:v>
      </x:c>
    </x:row>
    <x:row r="21" ht="22" customHeight="1">
      <x:c r="A21" s="2" t="str">
        <x:v>00000021</x:v>
      </x:c>
      <x:c r="B21" s="2" t="str">
        <x:v>2026-09-22</x:v>
      </x:c>
      <x:c r="C21" s="2" t="str">
        <x:v>지점 1 / 한글·쉼표, 따옴표 "보존"</x:v>
      </x:c>
    </x:row>
    <x:row r="22" ht="22" customHeight="1">
      <x:c r="A22" s="2" t="str">
        <x:v>00000022</x:v>
      </x:c>
      <x:c r="B22" s="2" t="str">
        <x:v>2026-09-23</x:v>
      </x:c>
      <x:c r="C22" s="2" t="str">
        <x:v>지점 2 / 한글·쉼표, 따옴표 "보존"</x:v>
      </x:c>
    </x:row>
    <x:row r="23" ht="22" customHeight="1">
      <x:c r="A23" s="2" t="str">
        <x:v>00000023</x:v>
      </x:c>
      <x:c r="B23" s="2" t="str">
        <x:v>2026-09-24</x:v>
      </x:c>
      <x:c r="C23" s="2" t="str">
        <x:v>지점 3 / 한글·쉼표, 따옴표 "보존"</x:v>
      </x:c>
    </x:row>
    <x:row r="24" ht="22" customHeight="1">
      <x:c r="A24" s="2" t="str">
        <x:v>00000024</x:v>
      </x:c>
      <x:c r="B24" s="2" t="str">
        <x:v>2026-09-25</x:v>
      </x:c>
      <x:c r="C24" s="2" t="str">
        <x:v>지점 4 / 한글·쉼표, 따옴표 "보존"</x:v>
      </x:c>
    </x:row>
    <x:row r="25" ht="22" customHeight="1">
      <x:c r="A25" s="2" t="str">
        <x:v>00000025</x:v>
      </x:c>
      <x:c r="B25" s="2" t="str">
        <x:v>2026-09-26</x:v>
      </x:c>
      <x:c r="C25" s="2" t="str">
        <x:v>지점 0 / 한글·쉼표, 따옴표 "보존"</x:v>
      </x:c>
    </x:row>
    <x:row r="26" ht="22" customHeight="1">
      <x:c r="A26" s="2" t="str">
        <x:v>00000026</x:v>
      </x:c>
      <x:c r="B26" s="2" t="str">
        <x:v>2026-09-27</x:v>
      </x:c>
      <x:c r="C26" s="2" t="str">
        <x:v>지점 1 / 한글·쉼표, 따옴표 "보존"</x:v>
      </x:c>
    </x:row>
    <x:row r="27" ht="22" customHeight="1">
      <x:c r="A27" s="2" t="str">
        <x:v>00000027</x:v>
      </x:c>
      <x:c r="B27" s="2" t="str">
        <x:v>2026-09-28</x:v>
      </x:c>
      <x:c r="C27" s="2" t="str">
        <x:v>지점 2 / 한글·쉼표, 따옴표 "보존"</x:v>
      </x:c>
    </x:row>
    <x:row r="28" ht="22" customHeight="1">
      <x:c r="A28" s="2" t="str">
        <x:v>00000028</x:v>
      </x:c>
      <x:c r="B28" s="2" t="str">
        <x:v>2026-09-01</x:v>
      </x:c>
      <x:c r="C28" s="2" t="str">
        <x:v>지점 3 / 한글·쉼표, 따옴표 "보존"</x:v>
      </x:c>
    </x:row>
    <x:row r="29" ht="22" customHeight="1">
      <x:c r="A29" s="2" t="str">
        <x:v>00000029</x:v>
      </x:c>
      <x:c r="B29" s="2" t="str">
        <x:v>2026-09-02</x:v>
      </x:c>
      <x:c r="C29" s="2" t="str">
        <x:v>지점 4 / 한글·쉼표, 따옴표 "보존"</x:v>
      </x:c>
    </x:row>
    <x:row r="30" ht="22" customHeight="1">
      <x:c r="A30" s="2" t="str">
        <x:v>00000030</x:v>
      </x:c>
      <x:c r="B30" s="2" t="str">
        <x:v>2026-09-03</x:v>
      </x:c>
      <x:c r="C30" s="2" t="str">
        <x:v>지점 0 / 한글·쉼표, 따옴표 "보존"</x:v>
      </x:c>
    </x:row>
    <x:row r="31" ht="22" customHeight="1">
      <x:c r="A31" s="2" t="str">
        <x:v>00000031</x:v>
      </x:c>
      <x:c r="B31" s="2" t="str">
        <x:v>2026-09-04</x:v>
      </x:c>
      <x:c r="C31" s="2" t="str">
        <x:v>지점 1 / 한글·쉼표, 따옴표 "보존"</x:v>
      </x:c>
    </x:row>
    <x:row r="32" ht="22" customHeight="1">
      <x:c r="A32" s="2" t="str">
        <x:v>00000032</x:v>
      </x:c>
      <x:c r="B32" s="2" t="str">
        <x:v>2026-09-05</x:v>
      </x:c>
      <x:c r="C32" s="2" t="str">
        <x:v>지점 2 / 한글·쉼표, 따옴표 "보존"</x:v>
      </x:c>
    </x:row>
    <x:row r="33" ht="22" customHeight="1">
      <x:c r="A33" s="2" t="str">
        <x:v>00000033</x:v>
      </x:c>
      <x:c r="B33" s="2" t="str">
        <x:v>2026-09-06</x:v>
      </x:c>
      <x:c r="C33" s="2" t="str">
        <x:v>지점 3 / 한글·쉼표, 따옴표 "보존"</x:v>
      </x:c>
    </x:row>
    <x:row r="34" ht="22" customHeight="1">
      <x:c r="A34" s="2" t="str">
        <x:v>00000034</x:v>
      </x:c>
      <x:c r="B34" s="2" t="str">
        <x:v>2026-09-07</x:v>
      </x:c>
      <x:c r="C34" s="2" t="str">
        <x:v>지점 4 / 한글·쉼표, 따옴표 "보존"</x:v>
      </x:c>
    </x:row>
    <x:row r="35" ht="22" customHeight="1">
      <x:c r="A35" s="2" t="str">
        <x:v>00000035</x:v>
      </x:c>
      <x:c r="B35" s="2" t="str">
        <x:v>2026-09-08</x:v>
      </x:c>
      <x:c r="C35" s="2" t="str">
        <x:v>지점 0 / 한글·쉼표, 따옴표 "보존"</x:v>
      </x:c>
    </x:row>
    <x:row r="36" ht="22" customHeight="1">
      <x:c r="A36" s="2" t="str">
        <x:v>00000036</x:v>
      </x:c>
      <x:c r="B36" s="2" t="str">
        <x:v>2026-09-09</x:v>
      </x:c>
      <x:c r="C36" s="2" t="str">
        <x:v>지점 1 / 한글·쉼표, 따옴표 "보존"</x:v>
      </x:c>
    </x:row>
    <x:row r="37" ht="22" customHeight="1">
      <x:c r="A37" s="2" t="str">
        <x:v>00000037</x:v>
      </x:c>
      <x:c r="B37" s="2" t="str">
        <x:v>2026-09-10</x:v>
      </x:c>
      <x:c r="C37" s="2" t="str">
        <x:v>지점 2 / 한글·쉼표, 따옴표 "보존"</x:v>
      </x:c>
    </x:row>
    <x:row r="38" ht="22" customHeight="1">
      <x:c r="A38" s="2" t="str">
        <x:v>00000038</x:v>
      </x:c>
      <x:c r="B38" s="2" t="str">
        <x:v>2026-09-11</x:v>
      </x:c>
      <x:c r="C38" s="2" t="str">
        <x:v>지점 3 / 한글·쉼표, 따옴표 "보존"</x:v>
      </x:c>
    </x:row>
    <x:row r="39" ht="22" customHeight="1">
      <x:c r="A39" s="2" t="str">
        <x:v>00000039</x:v>
      </x:c>
      <x:c r="B39" s="2" t="str">
        <x:v>2026-09-12</x:v>
      </x:c>
      <x:c r="C39" s="2" t="str">
        <x:v>지점 4 / 한글·쉼표, 따옴표 "보존"</x:v>
      </x:c>
    </x:row>
    <x:row r="40" ht="22" customHeight="1">
      <x:c r="A40" s="2" t="str">
        <x:v>00000040</x:v>
      </x:c>
      <x:c r="B40" s="2" t="str">
        <x:v>2026-09-13</x:v>
      </x:c>
      <x:c r="C40" s="2" t="str">
        <x:v>지점 0 / 한글·쉼표, 따옴표 "보존"</x:v>
      </x:c>
    </x:row>
    <x:row r="41" ht="22" customHeight="1">
      <x:c r="A41" s="2" t="str">
        <x:v>00000041</x:v>
      </x:c>
      <x:c r="B41" s="2" t="str">
        <x:v>2026-09-14</x:v>
      </x:c>
      <x:c r="C41" s="2" t="str">
        <x:v>지점 1 / 한글·쉼표, 따옴표 "보존"</x:v>
      </x:c>
    </x:row>
    <x:row r="42" ht="22" customHeight="1">
      <x:c r="A42" s="2" t="str">
        <x:v>00000042</x:v>
      </x:c>
      <x:c r="B42" s="2" t="str">
        <x:v>2026-09-15</x:v>
      </x:c>
      <x:c r="C42" s="2" t="str">
        <x:v>지점 2 / 한글·쉼표, 따옴표 "보존"</x:v>
      </x:c>
    </x:row>
    <x:row r="43" ht="22" customHeight="1">
      <x:c r="A43" s="2" t="str">
        <x:v>00000043</x:v>
      </x:c>
      <x:c r="B43" s="2" t="str">
        <x:v>2026-09-16</x:v>
      </x:c>
      <x:c r="C43" s="2" t="str">
        <x:v>지점 3 / 한글·쉼표, 따옴표 "보존"</x:v>
      </x:c>
    </x:row>
    <x:row r="44" ht="22" customHeight="1">
      <x:c r="A44" s="2" t="str">
        <x:v>00000044</x:v>
      </x:c>
      <x:c r="B44" s="2" t="str">
        <x:v>2026-09-17</x:v>
      </x:c>
      <x:c r="C44" s="2" t="str">
        <x:v>지점 4 / 한글·쉼표, 따옴표 "보존"</x:v>
      </x:c>
    </x:row>
    <x:row r="45" ht="22" customHeight="1">
      <x:c r="A45" s="2" t="str">
        <x:v>00000045</x:v>
      </x:c>
      <x:c r="B45" s="2" t="str">
        <x:v>2026-09-18</x:v>
      </x:c>
      <x:c r="C45" s="2" t="str">
        <x:v>지점 0 / 한글·쉼표, 따옴표 "보존"</x:v>
      </x:c>
    </x:row>
    <x:row r="46" ht="22" customHeight="1">
      <x:c r="A46" s="2" t="str">
        <x:v>00000046</x:v>
      </x:c>
      <x:c r="B46" s="2" t="str">
        <x:v>2026-09-19</x:v>
      </x:c>
      <x:c r="C46" s="2" t="str">
        <x:v>지점 1 / 한글·쉼표, 따옴표 "보존"</x:v>
      </x:c>
    </x:row>
    <x:row r="47" ht="22" customHeight="1">
      <x:c r="A47" s="2" t="str">
        <x:v>00000047</x:v>
      </x:c>
      <x:c r="B47" s="2" t="str">
        <x:v>2026-09-20</x:v>
      </x:c>
      <x:c r="C47" s="2" t="str">
        <x:v>지점 2 / 한글·쉼표, 따옴표 "보존"</x:v>
      </x:c>
    </x:row>
    <x:row r="48" ht="22" customHeight="1">
      <x:c r="A48" s="2" t="str">
        <x:v>00000048</x:v>
      </x:c>
      <x:c r="B48" s="2" t="str">
        <x:v>2026-09-21</x:v>
      </x:c>
      <x:c r="C48" s="2" t="str">
        <x:v>지점 3 / 한글·쉼표, 따옴표 "보존"</x:v>
      </x:c>
    </x:row>
    <x:row r="49" ht="22" customHeight="1">
      <x:c r="A49" s="2" t="str">
        <x:v>00000049</x:v>
      </x:c>
      <x:c r="B49" s="2" t="str">
        <x:v>2026-09-22</x:v>
      </x:c>
      <x:c r="C49" s="2" t="str">
        <x:v>지점 4 / 한글·쉼표, 따옴표 "보존"</x:v>
      </x:c>
    </x:row>
    <x:row r="50" ht="22" customHeight="1">
      <x:c r="A50" s="2" t="str">
        <x:v>00000050</x:v>
      </x:c>
      <x:c r="B50" s="2" t="str">
        <x:v>2026-09-23</x:v>
      </x:c>
      <x:c r="C50" s="2" t="str">
        <x:v>지점 0 / 한글·쉼표, 따옴표 "보존"</x:v>
      </x:c>
    </x:row>
    <x:row r="51" ht="22" customHeight="1">
      <x:c r="A51" s="2" t="str">
        <x:v>00000051</x:v>
      </x:c>
      <x:c r="B51" s="2" t="str">
        <x:v>2026-09-24</x:v>
      </x:c>
      <x:c r="C51" s="2" t="str">
        <x:v>지점 1 / 한글·쉼표, 따옴표 "보존"</x:v>
      </x:c>
    </x:row>
    <x:row r="52" ht="22" customHeight="1">
      <x:c r="A52" s="2" t="str">
        <x:v>00000052</x:v>
      </x:c>
      <x:c r="B52" s="2" t="str">
        <x:v>2026-09-25</x:v>
      </x:c>
      <x:c r="C52" s="2" t="str">
        <x:v>지점 2 / 한글·쉼표, 따옴표 "보존"</x:v>
      </x:c>
    </x:row>
    <x:row r="53" ht="22" customHeight="1">
      <x:c r="A53" s="2" t="str">
        <x:v>00000053</x:v>
      </x:c>
      <x:c r="B53" s="2" t="str">
        <x:v>2026-09-26</x:v>
      </x:c>
      <x:c r="C53" s="2" t="str">
        <x:v>지점 3 / 한글·쉼표, 따옴표 "보존"</x:v>
      </x:c>
    </x:row>
    <x:row r="54" ht="22" customHeight="1">
      <x:c r="A54" s="2" t="str">
        <x:v>00000054</x:v>
      </x:c>
      <x:c r="B54" s="2" t="str">
        <x:v>2026-09-27</x:v>
      </x:c>
      <x:c r="C54" s="2" t="str">
        <x:v>지점 4 / 한글·쉼표, 따옴표 "보존"</x:v>
      </x:c>
    </x:row>
    <x:row r="55" ht="22" customHeight="1">
      <x:c r="A55" s="2" t="str">
        <x:v>00000055</x:v>
      </x:c>
      <x:c r="B55" s="2" t="str">
        <x:v>2026-09-28</x:v>
      </x:c>
      <x:c r="C55" s="2" t="str">
        <x:v>지점 0 / 한글·쉼표, 따옴표 "보존"</x:v>
      </x:c>
    </x:row>
    <x:row r="56" ht="22" customHeight="1">
      <x:c r="A56" s="2" t="str">
        <x:v>00000056</x:v>
      </x:c>
      <x:c r="B56" s="2" t="str">
        <x:v>2026-09-01</x:v>
      </x:c>
      <x:c r="C56" s="2" t="str">
        <x:v>지점 1 / 한글·쉼표, 따옴표 "보존"</x:v>
      </x:c>
    </x:row>
    <x:row r="57" ht="22" customHeight="1">
      <x:c r="A57" s="2" t="str">
        <x:v>00000057</x:v>
      </x:c>
      <x:c r="B57" s="2" t="str">
        <x:v>2026-09-02</x:v>
      </x:c>
      <x:c r="C57" s="2" t="str">
        <x:v>지점 2 / 한글·쉼표, 따옴표 "보존"</x:v>
      </x:c>
    </x:row>
    <x:row r="58" ht="22" customHeight="1">
      <x:c r="A58" s="2" t="str">
        <x:v>00000058</x:v>
      </x:c>
      <x:c r="B58" s="2" t="str">
        <x:v>2026-09-03</x:v>
      </x:c>
      <x:c r="C58" s="2" t="str">
        <x:v>지점 3 / 한글·쉼표, 따옴표 "보존"</x:v>
      </x:c>
    </x:row>
    <x:row r="59" ht="22" customHeight="1">
      <x:c r="A59" s="2" t="str">
        <x:v>00000059</x:v>
      </x:c>
      <x:c r="B59" s="2" t="str">
        <x:v>2026-09-04</x:v>
      </x:c>
      <x:c r="C59" s="2" t="str">
        <x:v>지점 4 / 한글·쉼표, 따옴표 "보존"</x:v>
      </x:c>
    </x:row>
    <x:row r="60" ht="22" customHeight="1">
      <x:c r="A60" s="2" t="str">
        <x:v>00000060</x:v>
      </x:c>
      <x:c r="B60" s="2" t="str">
        <x:v>2026-09-05</x:v>
      </x:c>
      <x:c r="C60" s="2" t="str">
        <x:v>지점 0 / 한글·쉼표, 따옴표 "보존"</x:v>
      </x:c>
    </x:row>
    <x:row r="61" ht="22" customHeight="1">
      <x:c r="A61" s="2" t="str">
        <x:v>00000061</x:v>
      </x:c>
      <x:c r="B61" s="2" t="str">
        <x:v>2026-09-06</x:v>
      </x:c>
      <x:c r="C61" s="2" t="str">
        <x:v>지점 1 / 한글·쉼표, 따옴표 "보존"</x:v>
      </x:c>
    </x:row>
    <x:row r="62" ht="22" customHeight="1">
      <x:c r="A62" s="2" t="str">
        <x:v>00000062</x:v>
      </x:c>
      <x:c r="B62" s="2" t="str">
        <x:v>2026-09-07</x:v>
      </x:c>
      <x:c r="C62" s="2" t="str">
        <x:v>지점 2 / 한글·쉼표, 따옴표 "보존"</x:v>
      </x:c>
    </x:row>
    <x:row r="63" ht="22" customHeight="1">
      <x:c r="A63" s="2" t="str">
        <x:v>00000063</x:v>
      </x:c>
      <x:c r="B63" s="2" t="str">
        <x:v>2026-09-08</x:v>
      </x:c>
      <x:c r="C63" s="2" t="str">
        <x:v>지점 3 / 한글·쉼표, 따옴표 "보존"</x:v>
      </x:c>
    </x:row>
    <x:row r="64" ht="22" customHeight="1">
      <x:c r="A64" s="2" t="str">
        <x:v>00000064</x:v>
      </x:c>
      <x:c r="B64" s="2" t="str">
        <x:v>2026-09-09</x:v>
      </x:c>
      <x:c r="C64" s="2" t="str">
        <x:v>지점 4 / 한글·쉼표, 따옴표 "보존"</x:v>
      </x:c>
    </x:row>
    <x:row r="65" ht="22" customHeight="1">
      <x:c r="A65" s="2" t="str">
        <x:v>00000065</x:v>
      </x:c>
      <x:c r="B65" s="2" t="str">
        <x:v>2026-09-10</x:v>
      </x:c>
      <x:c r="C65" s="2" t="str">
        <x:v>지점 0 / 한글·쉼표, 따옴표 "보존"</x:v>
      </x:c>
    </x:row>
    <x:row r="66" ht="22" customHeight="1">
      <x:c r="A66" s="2" t="str">
        <x:v>00000066</x:v>
      </x:c>
      <x:c r="B66" s="2" t="str">
        <x:v>2026-09-11</x:v>
      </x:c>
      <x:c r="C66" s="2" t="str">
        <x:v>지점 1 / 한글·쉼표, 따옴표 "보존"</x:v>
      </x:c>
    </x:row>
    <x:row r="67" ht="22" customHeight="1">
      <x:c r="A67" s="2" t="str">
        <x:v>00000067</x:v>
      </x:c>
      <x:c r="B67" s="2" t="str">
        <x:v>2026-09-12</x:v>
      </x:c>
      <x:c r="C67" s="2" t="str">
        <x:v>지점 2 / 한글·쉼표, 따옴표 "보존"</x:v>
      </x:c>
    </x:row>
    <x:row r="68" ht="22" customHeight="1">
      <x:c r="A68" s="2" t="str">
        <x:v>00000068</x:v>
      </x:c>
      <x:c r="B68" s="2" t="str">
        <x:v>2026-09-13</x:v>
      </x:c>
      <x:c r="C68" s="2" t="str">
        <x:v>지점 3 / 한글·쉼표, 따옴표 "보존"</x:v>
      </x:c>
    </x:row>
    <x:row r="69" ht="22" customHeight="1">
      <x:c r="A69" s="2" t="str">
        <x:v>00000069</x:v>
      </x:c>
      <x:c r="B69" s="2" t="str">
        <x:v>2026-09-14</x:v>
      </x:c>
      <x:c r="C69" s="2" t="str">
        <x:v>지점 4 / 한글·쉼표, 따옴표 "보존"</x:v>
      </x:c>
    </x:row>
    <x:row r="70" ht="22" customHeight="1">
      <x:c r="A70" s="2" t="str">
        <x:v>00000070</x:v>
      </x:c>
      <x:c r="B70" s="2" t="str">
        <x:v>2026-09-15</x:v>
      </x:c>
      <x:c r="C70" s="2" t="str">
        <x:v>지점 0 / 한글·쉼표, 따옴표 "보존"</x:v>
      </x:c>
    </x:row>
    <x:row r="71" ht="22" customHeight="1">
      <x:c r="A71" s="2" t="str">
        <x:v>00000071</x:v>
      </x:c>
      <x:c r="B71" s="2" t="str">
        <x:v>2026-09-16</x:v>
      </x:c>
      <x:c r="C71" s="2" t="str">
        <x:v>지점 1 / 한글·쉼표, 따옴표 "보존"</x:v>
      </x:c>
    </x:row>
    <x:row r="72" ht="22" customHeight="1">
      <x:c r="A72" s="2" t="str">
        <x:v>00000072</x:v>
      </x:c>
      <x:c r="B72" s="2" t="str">
        <x:v>2026-09-17</x:v>
      </x:c>
      <x:c r="C72" s="2" t="str">
        <x:v>지점 2 / 한글·쉼표, 따옴표 "보존"</x:v>
      </x:c>
    </x:row>
    <x:row r="73" ht="22" customHeight="1">
      <x:c r="A73" s="2" t="str">
        <x:v>00000073</x:v>
      </x:c>
      <x:c r="B73" s="2" t="str">
        <x:v>2026-09-18</x:v>
      </x:c>
      <x:c r="C73" s="2" t="str">
        <x:v>지점 3 / 한글·쉼표, 따옴표 "보존"</x:v>
      </x:c>
    </x:row>
    <x:row r="74" ht="22" customHeight="1">
      <x:c r="A74" s="2" t="str">
        <x:v>00000074</x:v>
      </x:c>
      <x:c r="B74" s="2" t="str">
        <x:v>2026-09-19</x:v>
      </x:c>
      <x:c r="C74" s="2" t="str">
        <x:v>지점 4 / 한글·쉼표, 따옴표 "보존"</x:v>
      </x:c>
    </x:row>
    <x:row r="75" ht="22" customHeight="1">
      <x:c r="A75" s="2" t="str">
        <x:v>00000075</x:v>
      </x:c>
      <x:c r="B75" s="2" t="str">
        <x:v>2026-09-20</x:v>
      </x:c>
      <x:c r="C75" s="2" t="str">
        <x:v>지점 0 / 한글·쉼표, 따옴표 "보존"</x:v>
      </x:c>
    </x:row>
    <x:row r="76" ht="22" customHeight="1">
      <x:c r="A76" s="2" t="str">
        <x:v>00000076</x:v>
      </x:c>
      <x:c r="B76" s="2" t="str">
        <x:v>2026-09-21</x:v>
      </x:c>
      <x:c r="C76" s="2" t="str">
        <x:v>지점 1 / 한글·쉼표, 따옴표 "보존"</x:v>
      </x:c>
    </x:row>
    <x:row r="77" ht="22" customHeight="1">
      <x:c r="A77" s="2" t="str">
        <x:v>00000077</x:v>
      </x:c>
      <x:c r="B77" s="2" t="str">
        <x:v>2026-09-22</x:v>
      </x:c>
      <x:c r="C77" s="2" t="str">
        <x:v>지점 2 / 한글·쉼표, 따옴표 "보존"</x:v>
      </x:c>
    </x:row>
    <x:row r="78" ht="22" customHeight="1">
      <x:c r="A78" s="2" t="str">
        <x:v>00000078</x:v>
      </x:c>
      <x:c r="B78" s="2" t="str">
        <x:v>2026-09-23</x:v>
      </x:c>
      <x:c r="C78" s="2" t="str">
        <x:v>지점 3 / 한글·쉼표, 따옴표 "보존"</x:v>
      </x:c>
    </x:row>
    <x:row r="79" ht="22" customHeight="1">
      <x:c r="A79" s="2" t="str">
        <x:v>00000079</x:v>
      </x:c>
      <x:c r="B79" s="2" t="str">
        <x:v>2026-09-24</x:v>
      </x:c>
      <x:c r="C79" s="2" t="str">
        <x:v>지점 4 / 한글·쉼표, 따옴표 "보존"</x:v>
      </x:c>
    </x:row>
    <x:row r="80" ht="22" customHeight="1">
      <x:c r="A80" s="2" t="str">
        <x:v>00000080</x:v>
      </x:c>
      <x:c r="B80" s="2" t="str">
        <x:v>2026-09-25</x:v>
      </x:c>
      <x:c r="C80" s="2" t="str">
        <x:v>지점 0 / 한글·쉼표, 따옴표 "보존"</x:v>
      </x:c>
    </x:row>
    <x:row r="81" ht="22" customHeight="1">
      <x:c r="A81" s="2" t="str">
        <x:v>00000081</x:v>
      </x:c>
      <x:c r="B81" s="2" t="str">
        <x:v>2026-09-26</x:v>
      </x:c>
      <x:c r="C81" s="2" t="str">
        <x:v>지점 1 / 한글·쉼표, 따옴표 "보존"</x:v>
      </x:c>
    </x:row>
    <x:row r="82" ht="22" customHeight="1">
      <x:c r="A82" s="2" t="str">
        <x:v>00000082</x:v>
      </x:c>
      <x:c r="B82" s="2" t="str">
        <x:v>2026-09-27</x:v>
      </x:c>
      <x:c r="C82" s="2" t="str">
        <x:v>지점 2 / 한글·쉼표, 따옴표 "보존"</x:v>
      </x:c>
    </x:row>
    <x:row r="83" ht="22" customHeight="1">
      <x:c r="A83" s="2" t="str">
        <x:v>00000083</x:v>
      </x:c>
      <x:c r="B83" s="2" t="str">
        <x:v>2026-09-28</x:v>
      </x:c>
      <x:c r="C83" s="2" t="str">
        <x:v>지점 3 / 한글·쉼표, 따옴표 "보존"</x:v>
      </x:c>
    </x:row>
    <x:row r="84" ht="22" customHeight="1">
      <x:c r="A84" s="2" t="str">
        <x:v>00000084</x:v>
      </x:c>
      <x:c r="B84" s="2" t="str">
        <x:v>2026-09-01</x:v>
      </x:c>
      <x:c r="C84" s="2" t="str">
        <x:v>지점 4 / 한글·쉼표, 따옴표 "보존"</x:v>
      </x:c>
    </x:row>
    <x:row r="85" ht="22" customHeight="1">
      <x:c r="A85" s="2" t="str">
        <x:v>00000085</x:v>
      </x:c>
      <x:c r="B85" s="2" t="str">
        <x:v>2026-09-02</x:v>
      </x:c>
      <x:c r="C85" s="2" t="str">
        <x:v>지점 0 / 한글·쉼표, 따옴표 "보존"</x:v>
      </x:c>
    </x:row>
  </x:sheetData>
  <x:pageMargins left="0.7" right="0.7" top="0.75" bottom="0.75" header="0.3" footer="0.3"/>
</x:worksheet>
</file>