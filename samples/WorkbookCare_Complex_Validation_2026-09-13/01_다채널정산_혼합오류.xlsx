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95a17d1bb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널요약" sheetId="1" r:id="Rde1eba3c77fb4d12"/>
    <x:sheet xmlns:r="http://schemas.openxmlformats.org/officeDocument/2006/relationships" name="온라인" sheetId="2" r:id="Rc682a2ba32534a13"/>
    <x:sheet xmlns:r="http://schemas.openxmlformats.org/officeDocument/2006/relationships" name="매장" sheetId="3" r:id="Rf382bf696fd940b6"/>
    <x:sheet xmlns:r="http://schemas.openxmlformats.org/officeDocument/2006/relationships" name="반품" sheetId="4" r:id="R01df51d07dfd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@"/>
  </x:numFmts>
  <x:fonts count="5">
    <x:font>
      <x:sz val="11"/>
      <x:name val="Carlito"/>
    </x:font>
    <x:font>
      <x:sz val="11"/>
      <x:color rgb="FF243447"/>
      <x:name val="Arial"/>
    </x:font>
    <x:font>
      <x:b/>
      <x:sz val="15"/>
      <x:color rgb="FF173654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4"/>
      </x:patternFill>
    </x:fill>
    <x:fill>
      <x:patternFill patternType="solid">
        <x:fgColor rgb="FFFFF2CC"/>
      </x:patternFill>
    </x:fill>
    <x:fill>
      <x:patternFill patternType="solid">
        <x:fgColor rgb="FFE9EF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c0bcaed1f4e57" /><Relationship Type="http://schemas.openxmlformats.org/officeDocument/2006/relationships/theme" Target="/xl/theme/theme1.xml" Id="R04dd84d338f647fa" /><Relationship Type="http://schemas.openxmlformats.org/officeDocument/2006/relationships/sharedStrings" Target="/xl/sharedStrings.xml" Id="R40233a9f145b4a27" /><Relationship Type="http://schemas.openxmlformats.org/officeDocument/2006/relationships/worksheet" Target="/xl/worksheets/sheet1.xml" Id="Rde1eba3c77fb4d12" /><Relationship Type="http://schemas.openxmlformats.org/officeDocument/2006/relationships/worksheet" Target="/xl/worksheets/sheet2.xml" Id="Rc682a2ba32534a13" /><Relationship Type="http://schemas.openxmlformats.org/officeDocument/2006/relationships/worksheet" Target="/xl/worksheets/sheet3.xml" Id="Rf382bf696fd940b6" /><Relationship Type="http://schemas.openxmlformats.org/officeDocument/2006/relationships/worksheet" Target="/xl/worksheets/sheet4.xml" Id="R01df51d07dfd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</x:cols>
  <x:sheetData>
    <x:row r="1" ht="22" customHeight="1">
      <x:c r="A1" s="2"/>
      <x:c r="B1" s="2"/>
    </x:row>
    <x:row r="2" ht="22" customHeight="1">
      <x:c r="A2" s="3" t="str">
        <x:v>다채널 정산 합성 검증</x:v>
      </x:c>
      <x:c r="B2" s="2"/>
    </x:row>
    <x:row r="3" ht="22" customHeight="1">
      <x:c r="A3" s="2"/>
      <x:c r="B3" s="2"/>
    </x:row>
    <x:row r="4" ht="30" customHeight="1">
      <x:c r="A4" s="5" t="str">
        <x:v>채널</x:v>
      </x:c>
      <x:c r="B4" s="5" t="str">
        <x:v>정산액</x:v>
      </x:c>
    </x:row>
    <x:row r="5" ht="22" customHeight="1">
      <x:c r="A5" s="2" t="str">
        <x:v>온라인</x:v>
      </x:c>
      <x:c r="B5" s="2" t="n">
        <x:f>'온라인'!I171</x:f>
        <x:v>1885911</x:v>
      </x:c>
    </x:row>
    <x:row r="6" ht="22" customHeight="1">
      <x:c r="A6" s="2" t="str">
        <x:v>매장</x:v>
      </x:c>
      <x:c r="B6" s="2" t="n">
        <x:f>'매장'!I171</x:f>
        <x:v>1935269</x:v>
      </x:c>
    </x:row>
    <x:row r="7" ht="22" customHeight="1">
      <x:c r="A7" s="2" t="str">
        <x:v>반품</x:v>
      </x:c>
      <x:c r="B7" s="2" t="n">
        <x:f>'반품'!I171</x:f>
        <x:v>1984627</x:v>
      </x:c>
    </x:row>
    <x:row r="8" ht="22" customHeight="1">
      <x:c r="A8" s="2"/>
      <x:c r="B8" s="2"/>
    </x:row>
    <x:row r="9" ht="22" customHeight="1">
      <x:c r="A9" s="2"/>
      <x:c r="B9" s="2"/>
    </x:row>
    <x:row r="10" ht="22" customHeight="1">
      <x:c r="A10" s="2" t="str">
        <x:v>파손 참조</x:v>
      </x:c>
      <x:c r="B10" s="2" t="e">
        <x:f>#REF!</x:f>
        <x:v>#REF!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온라인 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</x:v>
      </x:c>
      <x:c r="M4" s="8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대조세율</x:v>
      </x:c>
      <x:c r="M5" s="8" t="n">
        <x:v>0.2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5" t="str">
        <x:v>거래번호</x:v>
      </x:c>
      <x:c r="B7" s="5" t="str">
        <x:v>구분</x:v>
      </x:c>
      <x:c r="C7" s="5" t="str">
        <x:v>수량</x:v>
      </x:c>
      <x:c r="D7" s="5" t="str">
        <x:v>단가</x:v>
      </x:c>
      <x:c r="E7" s="5" t="str">
        <x:v>공제액</x:v>
      </x:c>
      <x:c r="F7" s="5" t="str">
        <x:v>공급액</x:v>
      </x:c>
      <x:c r="G7" s="5" t="str">
        <x:v>세액</x:v>
      </x:c>
      <x:c r="H7" s="5" t="str">
        <x:v>합산액</x:v>
      </x:c>
      <x:c r="I7" s="5" t="str">
        <x:v>정산액</x:v>
      </x:c>
      <x:c r="J7" s="5" t="str">
        <x:v>단가환산</x:v>
      </x:c>
      <x:c r="K7" s="2"/>
      <x:c r="L7" s="2"/>
      <x:c r="M7" s="2"/>
    </x:row>
    <x:row r="8" ht="22" customHeight="1">
      <x:c r="A8" s="9" t="str">
        <x:v>TXN-1-0001</x:v>
      </x:c>
      <x:c r="B8" s="9" t="str">
        <x:v>일반</x:v>
      </x:c>
      <x:c r="C8" s="6" t="n">
        <x:v>2</x:v>
      </x:c>
      <x:c r="D8" s="6" t="n">
        <x:v>893</x:v>
      </x:c>
      <x:c r="E8" s="6" t="n">
        <x:v>19</x:v>
      </x:c>
      <x:c r="F8" s="6" t="n">
        <x:f>C8*D8</x:f>
        <x:v>1786</x:v>
      </x:c>
      <x:c r="G8" s="6" t="n">
        <x:f>ROUND(F8*$M$4,0)</x:f>
        <x:v>179</x:v>
      </x:c>
      <x:c r="H8" s="6" t="n">
        <x:f>F8+G8</x:f>
        <x:v>1965</x:v>
      </x:c>
      <x:c r="I8" s="6" t="n">
        <x:f>H8-E8</x:f>
        <x:v>1946</x:v>
      </x:c>
      <x:c r="J8" s="6" t="n">
        <x:f>IFERROR(I8/C8,0)</x:f>
        <x:v>973</x:v>
      </x:c>
      <x:c r="K8" s="2"/>
      <x:c r="L8" s="2"/>
      <x:c r="M8" s="2"/>
    </x:row>
    <x:row r="9" ht="22" customHeight="1">
      <x:c r="A9" s="9" t="str">
        <x:v>TXN-1-0002</x:v>
      </x:c>
      <x:c r="B9" s="9" t="str">
        <x:v>일반</x:v>
      </x:c>
      <x:c r="C9" s="6" t="n">
        <x:v>3</x:v>
      </x:c>
      <x:c r="D9" s="6" t="n">
        <x:v>916</x:v>
      </x:c>
      <x:c r="E9" s="6" t="n">
        <x:v>38</x:v>
      </x:c>
      <x:c r="F9" s="6" t="n">
        <x:f>C9*D9</x:f>
        <x:v>2748</x:v>
      </x:c>
      <x:c r="G9" s="6" t="n">
        <x:f>ROUND(F9*$M$4,0)</x:f>
        <x:v>275</x:v>
      </x:c>
      <x:c r="H9" s="6" t="n">
        <x:f>F9+G9</x:f>
        <x:v>3023</x:v>
      </x:c>
      <x:c r="I9" s="6" t="n">
        <x:f>H9-E9</x:f>
        <x:v>2985</x:v>
      </x:c>
      <x:c r="J9" s="6" t="n">
        <x:f>IFERROR(I9/C9,0)</x:f>
        <x:v>995</x:v>
      </x:c>
      <x:c r="K9" s="2"/>
      <x:c r="L9" s="2"/>
      <x:c r="M9" s="2"/>
    </x:row>
    <x:row r="10" ht="22" customHeight="1">
      <x:c r="A10" s="9" t="str">
        <x:v>TXN-1-0003</x:v>
      </x:c>
      <x:c r="B10" s="9" t="str">
        <x:v>일반</x:v>
      </x:c>
      <x:c r="C10" s="6" t="n">
        <x:v>4</x:v>
      </x:c>
      <x:c r="D10" s="6" t="n">
        <x:v>939</x:v>
      </x:c>
      <x:c r="E10" s="6" t="n">
        <x:v>57</x:v>
      </x:c>
      <x:c r="F10" s="6" t="n">
        <x:f>C10*D10</x:f>
        <x:v>3756</x:v>
      </x:c>
      <x:c r="G10" s="6" t="n">
        <x:f>ROUND(F10*$M$4,0)</x:f>
        <x:v>376</x:v>
      </x:c>
      <x:c r="H10" s="6" t="n">
        <x:f>F10+G10</x:f>
        <x:v>4132</x:v>
      </x:c>
      <x:c r="I10" s="6" t="n">
        <x:f>H10-E10</x:f>
        <x:v>4075</x:v>
      </x:c>
      <x:c r="J10" s="6" t="n">
        <x:f>IFERROR(I10/C10,0)</x:f>
        <x:v>1018.75</x:v>
      </x:c>
      <x:c r="K10" s="2"/>
      <x:c r="L10" s="2"/>
      <x:c r="M10" s="2"/>
    </x:row>
    <x:row r="11" ht="22" customHeight="1">
      <x:c r="A11" s="9" t="str">
        <x:v>TXN-1-0004</x:v>
      </x:c>
      <x:c r="B11" s="9" t="str">
        <x:v>일반</x:v>
      </x:c>
      <x:c r="C11" s="6" t="n">
        <x:v>5</x:v>
      </x:c>
      <x:c r="D11" s="6" t="n">
        <x:v>962</x:v>
      </x:c>
      <x:c r="E11" s="6" t="n">
        <x:v>76</x:v>
      </x:c>
      <x:c r="F11" s="6" t="n">
        <x:f>C11*D11</x:f>
        <x:v>4810</x:v>
      </x:c>
      <x:c r="G11" s="6" t="n">
        <x:f>ROUND(F11*$M$4,0)</x:f>
        <x:v>481</x:v>
      </x:c>
      <x:c r="H11" s="6" t="n">
        <x:f>F11+G11</x:f>
        <x:v>5291</x:v>
      </x:c>
      <x:c r="I11" s="6" t="n">
        <x:f>H11-E11</x:f>
        <x:v>5215</x:v>
      </x:c>
      <x:c r="J11" s="6" t="n">
        <x:f>IFERROR(I11/C11,0)</x:f>
        <x:v>1043</x:v>
      </x:c>
      <x:c r="K11" s="2"/>
      <x:c r="L11" s="2"/>
      <x:c r="M11" s="2"/>
    </x:row>
    <x:row r="12" ht="22" customHeight="1">
      <x:c r="A12" s="9" t="str">
        <x:v>TXN-1-0005</x:v>
      </x:c>
      <x:c r="B12" s="9" t="str">
        <x:v>일반</x:v>
      </x:c>
      <x:c r="C12" s="6" t="n">
        <x:v>6</x:v>
      </x:c>
      <x:c r="D12" s="6" t="n">
        <x:v>985</x:v>
      </x:c>
      <x:c r="E12" s="6" t="n">
        <x:v>0</x:v>
      </x:c>
      <x:c r="F12" s="6" t="n">
        <x:f>C12*D12</x:f>
        <x:v>5910</x:v>
      </x:c>
      <x:c r="G12" s="6" t="n">
        <x:f>ROUND(F12*$M$4,0)</x:f>
        <x:v>591</x:v>
      </x:c>
      <x:c r="H12" s="6" t="n">
        <x:f>F12+G12</x:f>
        <x:v>6501</x:v>
      </x:c>
      <x:c r="I12" s="6" t="n">
        <x:f>H12-E12</x:f>
        <x:v>6501</x:v>
      </x:c>
      <x:c r="J12" s="6" t="n">
        <x:f>IFERROR(I12/C12,0)</x:f>
        <x:v>1083.5</x:v>
      </x:c>
      <x:c r="K12" s="2"/>
      <x:c r="L12" s="2"/>
      <x:c r="M12" s="2"/>
    </x:row>
    <x:row r="13" ht="22" customHeight="1">
      <x:c r="A13" s="9" t="str">
        <x:v>TXN-1-0006</x:v>
      </x:c>
      <x:c r="B13" s="9" t="str">
        <x:v>일반</x:v>
      </x:c>
      <x:c r="C13" s="6" t="n">
        <x:v>7</x:v>
      </x:c>
      <x:c r="D13" s="6" t="n">
        <x:v>1008</x:v>
      </x:c>
      <x:c r="E13" s="6" t="n">
        <x:v>19</x:v>
      </x:c>
      <x:c r="F13" s="6" t="n">
        <x:f>C13*D13</x:f>
        <x:v>7056</x:v>
      </x:c>
      <x:c r="G13" s="6" t="n">
        <x:f>ROUND(F13*$M$4,0)</x:f>
        <x:v>706</x:v>
      </x:c>
      <x:c r="H13" s="6" t="n">
        <x:f>F13+G13</x:f>
        <x:v>7762</x:v>
      </x:c>
      <x:c r="I13" s="6" t="n">
        <x:f>H13-E13</x:f>
        <x:v>7743</x:v>
      </x:c>
      <x:c r="J13" s="6" t="n">
        <x:f>IFERROR(I13/C13,0)</x:f>
        <x:v>1106.142857142857</x:v>
      </x:c>
      <x:c r="K13" s="2"/>
      <x:c r="L13" s="2"/>
      <x:c r="M13" s="2"/>
    </x:row>
    <x:row r="14" ht="22" customHeight="1">
      <x:c r="A14" s="9" t="str">
        <x:v>TXN-1-0007</x:v>
      </x:c>
      <x:c r="B14" s="9" t="str">
        <x:v>일반</x:v>
      </x:c>
      <x:c r="C14" s="6" t="n">
        <x:v>1</x:v>
      </x:c>
      <x:c r="D14" s="6" t="n">
        <x:v>1031</x:v>
      </x:c>
      <x:c r="E14" s="6" t="n">
        <x:v>38</x:v>
      </x:c>
      <x:c r="F14" s="6" t="n">
        <x:f>C14*D14</x:f>
        <x:v>1031</x:v>
      </x:c>
      <x:c r="G14" s="6" t="n">
        <x:f>ROUND(F14*$M$4,0)</x:f>
        <x:v>103</x:v>
      </x:c>
      <x:c r="H14" s="6" t="n">
        <x:f>F14+G14</x:f>
        <x:v>1134</x:v>
      </x:c>
      <x:c r="I14" s="6" t="n">
        <x:f>H14-E14</x:f>
        <x:v>1096</x:v>
      </x:c>
      <x:c r="J14" s="6" t="n">
        <x:f>IFERROR(I14/C14,0)</x:f>
        <x:v>1096</x:v>
      </x:c>
      <x:c r="K14" s="2"/>
      <x:c r="L14" s="2"/>
      <x:c r="M14" s="2"/>
    </x:row>
    <x:row r="15" ht="22" customHeight="1">
      <x:c r="A15" s="9" t="str">
        <x:v>TXN-1-0008</x:v>
      </x:c>
      <x:c r="B15" s="9" t="str">
        <x:v>일반</x:v>
      </x:c>
      <x:c r="C15" s="6" t="n">
        <x:v>2</x:v>
      </x:c>
      <x:c r="D15" s="6" t="n">
        <x:v>1054</x:v>
      </x:c>
      <x:c r="E15" s="6" t="n">
        <x:v>57</x:v>
      </x:c>
      <x:c r="F15" s="6" t="n">
        <x:f>C15*D15</x:f>
        <x:v>2108</x:v>
      </x:c>
      <x:c r="G15" s="6" t="n">
        <x:f>ROUND(F15*$M$4,0)</x:f>
        <x:v>211</x:v>
      </x:c>
      <x:c r="H15" s="6" t="n">
        <x:f>F15+G15</x:f>
        <x:v>2319</x:v>
      </x:c>
      <x:c r="I15" s="6" t="n">
        <x:f>H15-E15</x:f>
        <x:v>2262</x:v>
      </x:c>
      <x:c r="J15" s="6" t="n">
        <x:f>IFERROR(I15/C15,0)</x:f>
        <x:v>1131</x:v>
      </x:c>
      <x:c r="K15" s="2"/>
      <x:c r="L15" s="2"/>
      <x:c r="M15" s="2"/>
    </x:row>
    <x:row r="16" ht="22" customHeight="1">
      <x:c r="A16" s="9" t="str">
        <x:v>TXN-1-0009</x:v>
      </x:c>
      <x:c r="B16" s="9" t="str">
        <x:v>일반</x:v>
      </x:c>
      <x:c r="C16" s="6" t="n">
        <x:v>3</x:v>
      </x:c>
      <x:c r="D16" s="6" t="n">
        <x:v>1077</x:v>
      </x:c>
      <x:c r="E16" s="6" t="n">
        <x:v>76</x:v>
      </x:c>
      <x:c r="F16" s="6" t="n">
        <x:f>C16*D16</x:f>
        <x:v>3231</x:v>
      </x:c>
      <x:c r="G16" s="6" t="n">
        <x:f>ROUND(F16*$M$4,0)</x:f>
        <x:v>323</x:v>
      </x:c>
      <x:c r="H16" s="6" t="n">
        <x:f>F16+G16</x:f>
        <x:v>3554</x:v>
      </x:c>
      <x:c r="I16" s="6" t="n">
        <x:f>H16-E16</x:f>
        <x:v>3478</x:v>
      </x:c>
      <x:c r="J16" s="6" t="n">
        <x:f>IFERROR(I16/C16,0)</x:f>
        <x:v>1159.3333333333333</x:v>
      </x:c>
      <x:c r="K16" s="2"/>
      <x:c r="L16" s="2"/>
      <x:c r="M16" s="2"/>
    </x:row>
    <x:row r="17" ht="22" customHeight="1">
      <x:c r="A17" s="9" t="str">
        <x:v>TXN-1-0010</x:v>
      </x:c>
      <x:c r="B17" s="9" t="str">
        <x:v>일반</x:v>
      </x:c>
      <x:c r="C17" s="6" t="n">
        <x:v>4</x:v>
      </x:c>
      <x:c r="D17" s="6" t="n">
        <x:v>1100</x:v>
      </x:c>
      <x:c r="E17" s="6" t="n">
        <x:v>0</x:v>
      </x:c>
      <x:c r="F17" s="6" t="n">
        <x:f>C17*D17</x:f>
        <x:v>4400</x:v>
      </x:c>
      <x:c r="G17" s="6" t="n">
        <x:f>ROUND(F17*$M$4,0)</x:f>
        <x:v>440</x:v>
      </x:c>
      <x:c r="H17" s="6" t="n">
        <x:f>F17+G17</x:f>
        <x:v>4840</x:v>
      </x:c>
      <x:c r="I17" s="6" t="n">
        <x:f>H17-E17</x:f>
        <x:v>4840</x:v>
      </x:c>
      <x:c r="J17" s="6" t="n">
        <x:f>IFERROR(I17/C17,0)</x:f>
        <x:v>1210</x:v>
      </x:c>
      <x:c r="K17" s="2"/>
      <x:c r="L17" s="2"/>
      <x:c r="M17" s="2"/>
    </x:row>
    <x:row r="18" ht="22" customHeight="1">
      <x:c r="A18" s="9" t="str">
        <x:v>TXN-1-0011</x:v>
      </x:c>
      <x:c r="B18" s="9" t="str">
        <x:v>일반</x:v>
      </x:c>
      <x:c r="C18" s="6" t="n">
        <x:v>5</x:v>
      </x:c>
      <x:c r="D18" s="6" t="n">
        <x:v>1123</x:v>
      </x:c>
      <x:c r="E18" s="6" t="n">
        <x:v>19</x:v>
      </x:c>
      <x:c r="F18" s="6" t="n">
        <x:f>C18*D18</x:f>
        <x:v>5615</x:v>
      </x:c>
      <x:c r="G18" s="6" t="n">
        <x:f>ROUND(F18*$M$4,0)</x:f>
        <x:v>562</x:v>
      </x:c>
      <x:c r="H18" s="6" t="n">
        <x:f>F18+G18</x:f>
        <x:v>6177</x:v>
      </x:c>
      <x:c r="I18" s="6" t="n">
        <x:f>H18-E18</x:f>
        <x:v>6158</x:v>
      </x:c>
      <x:c r="J18" s="6" t="n">
        <x:f>IFERROR(I18/C18,0)</x:f>
        <x:v>1231.6</x:v>
      </x:c>
      <x:c r="K18" s="2"/>
      <x:c r="L18" s="2"/>
      <x:c r="M18" s="2"/>
    </x:row>
    <x:row r="19" ht="22" customHeight="1">
      <x:c r="A19" s="9" t="str">
        <x:v>TXN-1-0012</x:v>
      </x:c>
      <x:c r="B19" s="9" t="str">
        <x:v>일반</x:v>
      </x:c>
      <x:c r="C19" s="6" t="n">
        <x:v>6</x:v>
      </x:c>
      <x:c r="D19" s="6" t="n">
        <x:v>1146</x:v>
      </x:c>
      <x:c r="E19" s="6" t="n">
        <x:v>38</x:v>
      </x:c>
      <x:c r="F19" s="6" t="n">
        <x:f>C19*D19</x:f>
        <x:v>6876</x:v>
      </x:c>
      <x:c r="G19" s="6" t="n">
        <x:f>ROUND(F19*$M$4,0)</x:f>
        <x:v>688</x:v>
      </x:c>
      <x:c r="H19" s="6" t="n">
        <x:f>F19+G19</x:f>
        <x:v>7564</x:v>
      </x:c>
      <x:c r="I19" s="6" t="n">
        <x:f>H19-E19</x:f>
        <x:v>7526</x:v>
      </x:c>
      <x:c r="J19" s="6" t="n">
        <x:f>IFERROR(I19/C19,0)</x:f>
        <x:v>1254.3333333333333</x:v>
      </x:c>
      <x:c r="K19" s="2"/>
      <x:c r="L19" s="2"/>
      <x:c r="M19" s="2"/>
    </x:row>
    <x:row r="20" ht="22" customHeight="1">
      <x:c r="A20" s="9" t="str">
        <x:v>TXN-1-0013</x:v>
      </x:c>
      <x:c r="B20" s="9" t="str">
        <x:v>일반</x:v>
      </x:c>
      <x:c r="C20" s="6" t="n">
        <x:v>7</x:v>
      </x:c>
      <x:c r="D20" s="6" t="n">
        <x:v>1169</x:v>
      </x:c>
      <x:c r="E20" s="6" t="n">
        <x:v>57</x:v>
      </x:c>
      <x:c r="F20" s="6" t="n">
        <x:f>C20*D20</x:f>
        <x:v>8183</x:v>
      </x:c>
      <x:c r="G20" s="6" t="n">
        <x:f>ROUND(F20*$M$4,0)</x:f>
        <x:v>818</x:v>
      </x:c>
      <x:c r="H20" s="6" t="n">
        <x:f>F20+G20</x:f>
        <x:v>9001</x:v>
      </x:c>
      <x:c r="I20" s="6" t="n">
        <x:f>H20-E20</x:f>
        <x:v>8944</x:v>
      </x:c>
      <x:c r="J20" s="6" t="n">
        <x:f>IFERROR(I20/C20,0)</x:f>
        <x:v>1277.7142857142858</x:v>
      </x:c>
      <x:c r="K20" s="2"/>
      <x:c r="L20" s="2"/>
      <x:c r="M20" s="2"/>
    </x:row>
    <x:row r="21" ht="22" customHeight="1">
      <x:c r="A21" s="9" t="str">
        <x:v>TXN-1-0014</x:v>
      </x:c>
      <x:c r="B21" s="9" t="str">
        <x:v>일반</x:v>
      </x:c>
      <x:c r="C21" s="6" t="n">
        <x:v>1</x:v>
      </x:c>
      <x:c r="D21" s="6" t="n">
        <x:v>1192</x:v>
      </x:c>
      <x:c r="E21" s="6" t="n">
        <x:v>76</x:v>
      </x:c>
      <x:c r="F21" s="6" t="n">
        <x:f>C21*D21</x:f>
        <x:v>1192</x:v>
      </x:c>
      <x:c r="G21" s="6" t="n">
        <x:f>ROUND(F21*$M$4,0)</x:f>
        <x:v>119</x:v>
      </x:c>
      <x:c r="H21" s="6" t="n">
        <x:f>F21+G21</x:f>
        <x:v>1311</x:v>
      </x:c>
      <x:c r="I21" s="6" t="n">
        <x:f>H21-E21</x:f>
        <x:v>1235</x:v>
      </x:c>
      <x:c r="J21" s="6" t="n">
        <x:f>IFERROR(I21/C21,0)</x:f>
        <x:v>1235</x:v>
      </x:c>
      <x:c r="K21" s="2"/>
      <x:c r="L21" s="2"/>
      <x:c r="M21" s="2"/>
    </x:row>
    <x:row r="22" ht="22" customHeight="1">
      <x:c r="A22" s="9" t="str">
        <x:v>TXN-1-0015</x:v>
      </x:c>
      <x:c r="B22" s="9" t="str">
        <x:v>일반</x:v>
      </x:c>
      <x:c r="C22" s="6" t="n">
        <x:v>2</x:v>
      </x:c>
      <x:c r="D22" s="6" t="n">
        <x:v>1215</x:v>
      </x:c>
      <x:c r="E22" s="6" t="n">
        <x:v>0</x:v>
      </x:c>
      <x:c r="F22" s="6" t="n">
        <x:f>C22*D21</x:f>
        <x:v>2384</x:v>
      </x:c>
      <x:c r="G22" s="6" t="n">
        <x:f>ROUND(F22*$M$4,0)</x:f>
        <x:v>238</x:v>
      </x:c>
      <x:c r="H22" s="6" t="n">
        <x:f>F22+G22</x:f>
        <x:v>2622</x:v>
      </x:c>
      <x:c r="I22" s="6" t="n">
        <x:f>H22-E22</x:f>
        <x:v>2622</x:v>
      </x:c>
      <x:c r="J22" s="6" t="n">
        <x:f>IFERROR(I22/C22,0)</x:f>
        <x:v>1311</x:v>
      </x:c>
      <x:c r="K22" s="2"/>
      <x:c r="L22" s="2"/>
      <x:c r="M22" s="2"/>
    </x:row>
    <x:row r="23" ht="22" customHeight="1">
      <x:c r="A23" s="9" t="str">
        <x:v>TXN-1-0016</x:v>
      </x:c>
      <x:c r="B23" s="9" t="str">
        <x:v>일반</x:v>
      </x:c>
      <x:c r="C23" s="6" t="n">
        <x:v>3</x:v>
      </x:c>
      <x:c r="D23" s="6" t="n">
        <x:v>1238</x:v>
      </x:c>
      <x:c r="E23" s="6" t="n">
        <x:v>19</x:v>
      </x:c>
      <x:c r="F23" s="6" t="n">
        <x:f>C23*D23</x:f>
        <x:v>3714</x:v>
      </x:c>
      <x:c r="G23" s="6" t="n">
        <x:f>ROUND(F23*$M$4,0)</x:f>
        <x:v>371</x:v>
      </x:c>
      <x:c r="H23" s="6" t="n">
        <x:f>F23+G23</x:f>
        <x:v>4085</x:v>
      </x:c>
      <x:c r="I23" s="6" t="n">
        <x:f>H23-E23</x:f>
        <x:v>4066</x:v>
      </x:c>
      <x:c r="J23" s="6" t="n">
        <x:f>IFERROR(I23/C23,0)</x:f>
        <x:v>1355.3333333333333</x:v>
      </x:c>
      <x:c r="K23" s="2"/>
      <x:c r="L23" s="2"/>
      <x:c r="M23" s="2"/>
    </x:row>
    <x:row r="24" ht="22" customHeight="1">
      <x:c r="A24" s="9" t="str">
        <x:v>TXN-1-0017</x:v>
      </x:c>
      <x:c r="B24" s="9" t="str">
        <x:v>일반</x:v>
      </x:c>
      <x:c r="C24" s="6" t="n">
        <x:v>4</x:v>
      </x:c>
      <x:c r="D24" s="6" t="n">
        <x:v>1261</x:v>
      </x:c>
      <x:c r="E24" s="6" t="n">
        <x:v>38</x:v>
      </x:c>
      <x:c r="F24" s="6" t="n">
        <x:f>C24*D24</x:f>
        <x:v>5044</x:v>
      </x:c>
      <x:c r="G24" s="6" t="n">
        <x:f>ROUND(F24*$M$4,0)</x:f>
        <x:v>504</x:v>
      </x:c>
      <x:c r="H24" s="6" t="n">
        <x:f>F24+G24</x:f>
        <x:v>5548</x:v>
      </x:c>
      <x:c r="I24" s="6" t="n">
        <x:f>H24-E24</x:f>
        <x:v>5510</x:v>
      </x:c>
      <x:c r="J24" s="6" t="n">
        <x:f>IFERROR(I24/C24,0)</x:f>
        <x:v>1377.5</x:v>
      </x:c>
      <x:c r="K24" s="2"/>
      <x:c r="L24" s="2"/>
      <x:c r="M24" s="2"/>
    </x:row>
    <x:row r="25" ht="22" customHeight="1">
      <x:c r="A25" s="9" t="str">
        <x:v>TXN-1-0018</x:v>
      </x:c>
      <x:c r="B25" s="9" t="str">
        <x:v>일반</x:v>
      </x:c>
      <x:c r="C25" s="6" t="n">
        <x:v>5</x:v>
      </x:c>
      <x:c r="D25" s="6" t="n">
        <x:v>1284</x:v>
      </x:c>
      <x:c r="E25" s="6" t="n">
        <x:v>57</x:v>
      </x:c>
      <x:c r="F25" s="6" t="n">
        <x:f>C25*D25</x:f>
        <x:v>6420</x:v>
      </x:c>
      <x:c r="G25" s="6" t="n">
        <x:f>ROUND(F25*$M$4,0)</x:f>
        <x:v>642</x:v>
      </x:c>
      <x:c r="H25" s="6" t="n">
        <x:f>F25+G25</x:f>
        <x:v>7062</x:v>
      </x:c>
      <x:c r="I25" s="6" t="n">
        <x:f>H25-E25</x:f>
        <x:v>7005</x:v>
      </x:c>
      <x:c r="J25" s="6" t="n">
        <x:f>IFERROR(I25/C25,0)</x:f>
        <x:v>1401</x:v>
      </x:c>
      <x:c r="K25" s="2"/>
      <x:c r="L25" s="2"/>
      <x:c r="M25" s="2"/>
    </x:row>
    <x:row r="26" ht="22" customHeight="1">
      <x:c r="A26" s="9" t="str">
        <x:v>TXN-1-0019</x:v>
      </x:c>
      <x:c r="B26" s="9" t="str">
        <x:v>일반</x:v>
      </x:c>
      <x:c r="C26" s="6" t="n">
        <x:v>6</x:v>
      </x:c>
      <x:c r="D26" s="6" t="n">
        <x:v>1307</x:v>
      </x:c>
      <x:c r="E26" s="6" t="n">
        <x:v>76</x:v>
      </x:c>
      <x:c r="F26" s="6" t="n">
        <x:f>C26*D26</x:f>
        <x:v>7842</x:v>
      </x:c>
      <x:c r="G26" s="6" t="n">
        <x:f>ROUND(F26*$M$4,0)</x:f>
        <x:v>784</x:v>
      </x:c>
      <x:c r="H26" s="6" t="n">
        <x:f>F26+G26</x:f>
        <x:v>8626</x:v>
      </x:c>
      <x:c r="I26" s="6" t="n">
        <x:f>H26-E26</x:f>
        <x:v>8550</x:v>
      </x:c>
      <x:c r="J26" s="6" t="n">
        <x:f>IFERROR(I26/C26,0)</x:f>
        <x:v>1425</x:v>
      </x:c>
      <x:c r="K26" s="2"/>
      <x:c r="L26" s="2"/>
      <x:c r="M26" s="2"/>
    </x:row>
    <x:row r="27" ht="22" customHeight="1">
      <x:c r="A27" s="9" t="str">
        <x:v>TXN-1-0020</x:v>
      </x:c>
      <x:c r="B27" s="9" t="str">
        <x:v>일반</x:v>
      </x:c>
      <x:c r="C27" s="6" t="n">
        <x:v>7</x:v>
      </x:c>
      <x:c r="D27" s="6" t="n">
        <x:v>1330</x:v>
      </x:c>
      <x:c r="E27" s="6" t="n">
        <x:v>0</x:v>
      </x:c>
      <x:c r="F27" s="6" t="n">
        <x:f>C27*D27</x:f>
        <x:v>9310</x:v>
      </x:c>
      <x:c r="G27" s="6" t="n">
        <x:f>ROUND(F27*$M$4,0)</x:f>
        <x:v>931</x:v>
      </x:c>
      <x:c r="H27" s="6" t="n">
        <x:f>F27+G27</x:f>
        <x:v>10241</x:v>
      </x:c>
      <x:c r="I27" s="6" t="n">
        <x:f>H27-E27</x:f>
        <x:v>10241</x:v>
      </x:c>
      <x:c r="J27" s="6" t="n">
        <x:f>IFERROR(I27/C27,0)</x:f>
        <x:v>1463</x:v>
      </x:c>
      <x:c r="K27" s="2"/>
      <x:c r="L27" s="2"/>
      <x:c r="M27" s="2"/>
    </x:row>
    <x:row r="28" ht="22" customHeight="1">
      <x:c r="A28" s="9" t="str">
        <x:v>TXN-1-0021</x:v>
      </x:c>
      <x:c r="B28" s="9" t="str">
        <x:v>일반</x:v>
      </x:c>
      <x:c r="C28" s="6" t="n">
        <x:v>1</x:v>
      </x:c>
      <x:c r="D28" s="6" t="n">
        <x:v>1353</x:v>
      </x:c>
      <x:c r="E28" s="6" t="n">
        <x:v>19</x:v>
      </x:c>
      <x:c r="F28" s="6" t="n">
        <x:f>C28*D28</x:f>
        <x:v>1353</x:v>
      </x:c>
      <x:c r="G28" s="6" t="n">
        <x:f>ROUND(F28*$M$4,0)</x:f>
        <x:v>135</x:v>
      </x:c>
      <x:c r="H28" s="6" t="n">
        <x:f>F28+G28</x:f>
        <x:v>1488</x:v>
      </x:c>
      <x:c r="I28" s="6" t="n">
        <x:f>H28-E28</x:f>
        <x:v>1469</x:v>
      </x:c>
      <x:c r="J28" s="6" t="n">
        <x:f>IFERROR(I28/C28,0)</x:f>
        <x:v>1469</x:v>
      </x:c>
      <x:c r="K28" s="2"/>
      <x:c r="L28" s="2"/>
      <x:c r="M28" s="2"/>
    </x:row>
    <x:row r="29" ht="22" customHeight="1">
      <x:c r="A29" s="9" t="str">
        <x:v>TXN-1-0022</x:v>
      </x:c>
      <x:c r="B29" s="9" t="str">
        <x:v>일반</x:v>
      </x:c>
      <x:c r="C29" s="6" t="n">
        <x:v>2</x:v>
      </x:c>
      <x:c r="D29" s="6" t="n">
        <x:v>1376</x:v>
      </x:c>
      <x:c r="E29" s="6" t="n">
        <x:v>38</x:v>
      </x:c>
      <x:c r="F29" s="6" t="n">
        <x:f>C29*D29</x:f>
        <x:v>2752</x:v>
      </x:c>
      <x:c r="G29" s="6" t="n">
        <x:f>ROUND(F29*$M$4,0)</x:f>
        <x:v>275</x:v>
      </x:c>
      <x:c r="H29" s="6" t="n">
        <x:f>F29+G29</x:f>
        <x:v>3027</x:v>
      </x:c>
      <x:c r="I29" s="6" t="n">
        <x:f>H29-E29</x:f>
        <x:v>2989</x:v>
      </x:c>
      <x:c r="J29" s="6" t="n">
        <x:f>IFERROR(I29/C29,0)</x:f>
        <x:v>1494.5</x:v>
      </x:c>
      <x:c r="K29" s="2"/>
      <x:c r="L29" s="2"/>
      <x:c r="M29" s="2"/>
    </x:row>
    <x:row r="30" ht="22" customHeight="1">
      <x:c r="A30" s="9" t="str">
        <x:v>TXN-1-0023</x:v>
      </x:c>
      <x:c r="B30" s="9" t="str">
        <x:v>일반</x:v>
      </x:c>
      <x:c r="C30" s="6" t="n">
        <x:v>3</x:v>
      </x:c>
      <x:c r="D30" s="6" t="n">
        <x:v>1399</x:v>
      </x:c>
      <x:c r="E30" s="6" t="n">
        <x:v>57</x:v>
      </x:c>
      <x:c r="F30" s="6" t="n">
        <x:f>C30*D30</x:f>
        <x:v>4197</x:v>
      </x:c>
      <x:c r="G30" s="6" t="n">
        <x:f>ROUND(F30*$M$4,0)</x:f>
        <x:v>420</x:v>
      </x:c>
      <x:c r="H30" s="6" t="n">
        <x:f>F30+G30</x:f>
        <x:v>4617</x:v>
      </x:c>
      <x:c r="I30" s="6" t="n">
        <x:f>H30-E30</x:f>
        <x:v>4560</x:v>
      </x:c>
      <x:c r="J30" s="6" t="n">
        <x:f>IFERROR(I30/C30,0)</x:f>
        <x:v>1520</x:v>
      </x:c>
      <x:c r="K30" s="2"/>
      <x:c r="L30" s="2"/>
      <x:c r="M30" s="2"/>
    </x:row>
    <x:row r="31" ht="22" customHeight="1">
      <x:c r="A31" s="9" t="str">
        <x:v>TXN-1-0024</x:v>
      </x:c>
      <x:c r="B31" s="9" t="str">
        <x:v>일반</x:v>
      </x:c>
      <x:c r="C31" s="6" t="n">
        <x:v>4</x:v>
      </x:c>
      <x:c r="D31" s="6" t="n">
        <x:v>1422</x:v>
      </x:c>
      <x:c r="E31" s="6" t="n">
        <x:v>76</x:v>
      </x:c>
      <x:c r="F31" s="6" t="n">
        <x:f>C31*D31</x:f>
        <x:v>5688</x:v>
      </x:c>
      <x:c r="G31" s="6" t="n">
        <x:f>ROUND(F31*$M$4,0)</x:f>
        <x:v>569</x:v>
      </x:c>
      <x:c r="H31" s="6" t="n">
        <x:f>F31+G31</x:f>
        <x:v>6257</x:v>
      </x:c>
      <x:c r="I31" s="6" t="n">
        <x:f>H31-E31</x:f>
        <x:v>6181</x:v>
      </x:c>
      <x:c r="J31" s="6" t="n">
        <x:f>IFERROR(I31/C31,0)</x:f>
        <x:v>1545.25</x:v>
      </x:c>
      <x:c r="K31" s="2"/>
      <x:c r="L31" s="2"/>
      <x:c r="M31" s="2"/>
    </x:row>
    <x:row r="32" ht="22" customHeight="1">
      <x:c r="A32" s="9" t="str">
        <x:v>TXN-1-0025</x:v>
      </x:c>
      <x:c r="B32" s="9" t="str">
        <x:v>일반</x:v>
      </x:c>
      <x:c r="C32" s="6" t="n">
        <x:v>5</x:v>
      </x:c>
      <x:c r="D32" s="6" t="n">
        <x:v>1445</x:v>
      </x:c>
      <x:c r="E32" s="6" t="n">
        <x:v>0</x:v>
      </x:c>
      <x:c r="F32" s="6" t="n">
        <x:f>C32*D32</x:f>
        <x:v>7225</x:v>
      </x:c>
      <x:c r="G32" s="6" t="n">
        <x:f>ROUND(F32*$M$4,0)</x:f>
        <x:v>723</x:v>
      </x:c>
      <x:c r="H32" s="6" t="n">
        <x:f>F32+G32</x:f>
        <x:v>7948</x:v>
      </x:c>
      <x:c r="I32" s="6" t="n">
        <x:f>H32-E32</x:f>
        <x:v>7948</x:v>
      </x:c>
      <x:c r="J32" s="6" t="n">
        <x:f>IFERROR(I32/C32,0)</x:f>
        <x:v>1589.6</x:v>
      </x:c>
      <x:c r="K32" s="2"/>
      <x:c r="L32" s="2"/>
      <x:c r="M32" s="2"/>
    </x:row>
    <x:row r="33" ht="22" customHeight="1">
      <x:c r="A33" s="9" t="str">
        <x:v>TXN-1-0026</x:v>
      </x:c>
      <x:c r="B33" s="9" t="str">
        <x:v>일반</x:v>
      </x:c>
      <x:c r="C33" s="6" t="n">
        <x:v>6</x:v>
      </x:c>
      <x:c r="D33" s="6" t="n">
        <x:v>1468</x:v>
      </x:c>
      <x:c r="E33" s="6" t="n">
        <x:v>19</x:v>
      </x:c>
      <x:c r="F33" s="6" t="n">
        <x:f>C33*D33</x:f>
        <x:v>8808</x:v>
      </x:c>
      <x:c r="G33" s="6" t="n">
        <x:f>ROUND(F33*$M$4,0)</x:f>
        <x:v>881</x:v>
      </x:c>
      <x:c r="H33" s="6" t="n">
        <x:f>F33+G33</x:f>
        <x:v>9689</x:v>
      </x:c>
      <x:c r="I33" s="6" t="n">
        <x:f>H33-E33</x:f>
        <x:v>9670</x:v>
      </x:c>
      <x:c r="J33" s="6" t="n">
        <x:f>IFERROR(I33/C33,0)</x:f>
        <x:v>1611.6666666666667</x:v>
      </x:c>
      <x:c r="K33" s="2"/>
      <x:c r="L33" s="2"/>
      <x:c r="M33" s="2"/>
    </x:row>
    <x:row r="34" ht="22" customHeight="1">
      <x:c r="A34" s="9" t="str">
        <x:v>TXN-1-0027</x:v>
      </x:c>
      <x:c r="B34" s="9" t="str">
        <x:v>일반</x:v>
      </x:c>
      <x:c r="C34" s="6" t="n">
        <x:v>7</x:v>
      </x:c>
      <x:c r="D34" s="6" t="n">
        <x:v>1491</x:v>
      </x:c>
      <x:c r="E34" s="6" t="n">
        <x:v>38</x:v>
      </x:c>
      <x:c r="F34" s="6" t="n">
        <x:f>C34*D34</x:f>
        <x:v>10437</x:v>
      </x:c>
      <x:c r="G34" s="6" t="n">
        <x:f>ROUND(F34*$M$4,0)</x:f>
        <x:v>1044</x:v>
      </x:c>
      <x:c r="H34" s="6" t="n">
        <x:f>F34+G34</x:f>
        <x:v>11481</x:v>
      </x:c>
      <x:c r="I34" s="6" t="n">
        <x:f>H34-E34</x:f>
        <x:v>11443</x:v>
      </x:c>
      <x:c r="J34" s="6" t="n">
        <x:f>IFERROR(I34/C34,0)</x:f>
        <x:v>1634.7142857142858</x:v>
      </x:c>
      <x:c r="K34" s="2"/>
      <x:c r="L34" s="2"/>
      <x:c r="M34" s="2"/>
    </x:row>
    <x:row r="35" ht="22" customHeight="1">
      <x:c r="A35" s="9" t="str">
        <x:v>TXN-1-0028</x:v>
      </x:c>
      <x:c r="B35" s="9" t="str">
        <x:v>일반</x:v>
      </x:c>
      <x:c r="C35" s="6" t="n">
        <x:v>1</x:v>
      </x:c>
      <x:c r="D35" s="6" t="n">
        <x:v>1514</x:v>
      </x:c>
      <x:c r="E35" s="6" t="n">
        <x:v>57</x:v>
      </x:c>
      <x:c r="F35" s="6" t="n">
        <x:f>C35*D35</x:f>
        <x:v>1514</x:v>
      </x:c>
      <x:c r="G35" s="6" t="n">
        <x:f>ROUND(F35*$M$4,0)</x:f>
        <x:v>151</x:v>
      </x:c>
      <x:c r="H35" s="6" t="n">
        <x:f>F35+G35</x:f>
        <x:v>1665</x:v>
      </x:c>
      <x:c r="I35" s="6" t="n">
        <x:f>H35-E35</x:f>
        <x:v>1608</x:v>
      </x:c>
      <x:c r="J35" s="6" t="n">
        <x:f>IFERROR(I35/C35,0)</x:f>
        <x:v>1608</x:v>
      </x:c>
      <x:c r="K35" s="2"/>
      <x:c r="L35" s="2"/>
      <x:c r="M35" s="2"/>
    </x:row>
    <x:row r="36" ht="22" customHeight="1">
      <x:c r="A36" s="9" t="str">
        <x:v>TXN-1-0029</x:v>
      </x:c>
      <x:c r="B36" s="9" t="str">
        <x:v>일반</x:v>
      </x:c>
      <x:c r="C36" s="6" t="n">
        <x:v>2</x:v>
      </x:c>
      <x:c r="D36" s="6" t="n">
        <x:v>1537</x:v>
      </x:c>
      <x:c r="E36" s="6" t="n">
        <x:v>76</x:v>
      </x:c>
      <x:c r="F36" s="6" t="n">
        <x:f>C36*D36</x:f>
        <x:v>3074</x:v>
      </x:c>
      <x:c r="G36" s="6" t="n">
        <x:f>ROUND(F36*$M$4,0)</x:f>
        <x:v>307</x:v>
      </x:c>
      <x:c r="H36" s="6" t="n">
        <x:f>F36+G36</x:f>
        <x:v>3381</x:v>
      </x:c>
      <x:c r="I36" s="6" t="n">
        <x:f>H36-E36</x:f>
        <x:v>3305</x:v>
      </x:c>
      <x:c r="J36" s="6" t="n">
        <x:f>IFERROR(I36/C36,0)</x:f>
        <x:v>1652.5</x:v>
      </x:c>
      <x:c r="K36" s="2"/>
      <x:c r="L36" s="2"/>
      <x:c r="M36" s="2"/>
    </x:row>
    <x:row r="37" ht="22" customHeight="1">
      <x:c r="A37" s="9" t="str">
        <x:v>TXN-1-0030</x:v>
      </x:c>
      <x:c r="B37" s="9" t="str">
        <x:v>일반</x:v>
      </x:c>
      <x:c r="C37" s="6" t="n">
        <x:v>3</x:v>
      </x:c>
      <x:c r="D37" s="6" t="n">
        <x:v>1560</x:v>
      </x:c>
      <x:c r="E37" s="6" t="n">
        <x:v>0</x:v>
      </x:c>
      <x:c r="F37" s="6" t="n">
        <x:f>C37*D37</x:f>
        <x:v>4680</x:v>
      </x:c>
      <x:c r="G37" s="6" t="n">
        <x:f>ROUND(F37*$M$4,0)</x:f>
        <x:v>468</x:v>
      </x:c>
      <x:c r="H37" s="6" t="n">
        <x:f>F37+G37</x:f>
        <x:v>5148</x:v>
      </x:c>
      <x:c r="I37" s="6" t="n">
        <x:f>H37-E37</x:f>
        <x:v>5148</x:v>
      </x:c>
      <x:c r="J37" s="6" t="n">
        <x:f>IFERROR(I37/C37,0)</x:f>
        <x:v>1716</x:v>
      </x:c>
      <x:c r="K37" s="2"/>
      <x:c r="L37" s="2"/>
      <x:c r="M37" s="2"/>
    </x:row>
    <x:row r="38" ht="22" customHeight="1">
      <x:c r="A38" s="9" t="str">
        <x:v>TXN-1-0031</x:v>
      </x:c>
      <x:c r="B38" s="9" t="str">
        <x:v>일반</x:v>
      </x:c>
      <x:c r="C38" s="6" t="n">
        <x:v>4</x:v>
      </x:c>
      <x:c r="D38" s="6" t="n">
        <x:v>1583</x:v>
      </x:c>
      <x:c r="E38" s="6" t="n">
        <x:v>19</x:v>
      </x:c>
      <x:c r="F38" s="6" t="n">
        <x:f>C38*D38</x:f>
        <x:v>6332</x:v>
      </x:c>
      <x:c r="G38" s="6" t="n">
        <x:f>ROUND(F38*$M$4,0)</x:f>
        <x:v>633</x:v>
      </x:c>
      <x:c r="H38" s="6" t="n">
        <x:f>F38+G38</x:f>
        <x:v>6965</x:v>
      </x:c>
      <x:c r="I38" s="6" t="n">
        <x:f>H38-E38</x:f>
        <x:v>6946</x:v>
      </x:c>
      <x:c r="J38" s="6" t="n">
        <x:f>IFERROR(I38/C38,0)</x:f>
        <x:v>1736.5</x:v>
      </x:c>
      <x:c r="K38" s="2"/>
      <x:c r="L38" s="2"/>
      <x:c r="M38" s="2"/>
    </x:row>
    <x:row r="39" ht="22" customHeight="1">
      <x:c r="A39" s="9" t="str">
        <x:v>TXN-1-0032</x:v>
      </x:c>
      <x:c r="B39" s="9" t="str">
        <x:v>일반</x:v>
      </x:c>
      <x:c r="C39" s="6" t="n">
        <x:v>5</x:v>
      </x:c>
      <x:c r="D39" s="6" t="n">
        <x:v>1606</x:v>
      </x:c>
      <x:c r="E39" s="6" t="n">
        <x:v>38</x:v>
      </x:c>
      <x:c r="F39" s="6" t="n">
        <x:f>C39*D39</x:f>
        <x:v>8030</x:v>
      </x:c>
      <x:c r="G39" s="6" t="n">
        <x:f>ROUND(F39*$M$4,0)</x:f>
        <x:v>803</x:v>
      </x:c>
      <x:c r="H39" s="6" t="n">
        <x:f>F39+G39</x:f>
        <x:v>8833</x:v>
      </x:c>
      <x:c r="I39" s="6" t="n">
        <x:f>H39-E39</x:f>
        <x:v>8795</x:v>
      </x:c>
      <x:c r="J39" s="6" t="n">
        <x:f>IFERROR(I39/C39,0)</x:f>
        <x:v>1759</x:v>
      </x:c>
      <x:c r="K39" s="2"/>
      <x:c r="L39" s="2"/>
      <x:c r="M39" s="2"/>
    </x:row>
    <x:row r="40" ht="22" customHeight="1">
      <x:c r="A40" s="9" t="str">
        <x:v>TXN-1-0033</x:v>
      </x:c>
      <x:c r="B40" s="9" t="str">
        <x:v>수동 조정</x:v>
      </x:c>
      <x:c r="C40" s="6" t="n">
        <x:v>6</x:v>
      </x:c>
      <x:c r="D40" s="6" t="n">
        <x:v>1629</x:v>
      </x:c>
      <x:c r="E40" s="6" t="n">
        <x:v>57</x:v>
      </x:c>
      <x:c r="F40" s="6" t="n">
        <x:f>C40*D40+100</x:f>
        <x:v>9874</x:v>
      </x:c>
      <x:c r="G40" s="6" t="n">
        <x:f>ROUND(F40*$M$4,0)</x:f>
        <x:v>987</x:v>
      </x:c>
      <x:c r="H40" s="6" t="n">
        <x:f>F40+G40</x:f>
        <x:v>10861</x:v>
      </x:c>
      <x:c r="I40" s="6" t="n">
        <x:f>H40-E40</x:f>
        <x:v>10804</x:v>
      </x:c>
      <x:c r="J40" s="6" t="n">
        <x:f>IFERROR(I40/C40,0)</x:f>
        <x:v>1800.6666666666667</x:v>
      </x:c>
      <x:c r="K40" s="2"/>
      <x:c r="L40" s="2"/>
      <x:c r="M40" s="2"/>
    </x:row>
    <x:row r="41" ht="22" customHeight="1">
      <x:c r="A41" s="9" t="str">
        <x:v>TXN-1-0034</x:v>
      </x:c>
      <x:c r="B41" s="9" t="str">
        <x:v>일반</x:v>
      </x:c>
      <x:c r="C41" s="6" t="n">
        <x:v>7</x:v>
      </x:c>
      <x:c r="D41" s="6" t="n">
        <x:v>1652</x:v>
      </x:c>
      <x:c r="E41" s="6" t="n">
        <x:v>76</x:v>
      </x:c>
      <x:c r="F41" s="6" t="n">
        <x:f>C41*D41</x:f>
        <x:v>11564</x:v>
      </x:c>
      <x:c r="G41" s="6" t="n">
        <x:f>ROUND(F41*$M$4,0)</x:f>
        <x:v>1156</x:v>
      </x:c>
      <x:c r="H41" s="6" t="n">
        <x:f>F41+G41</x:f>
        <x:v>12720</x:v>
      </x:c>
      <x:c r="I41" s="6" t="n">
        <x:f>H41-E41</x:f>
        <x:v>12644</x:v>
      </x:c>
      <x:c r="J41" s="6" t="n">
        <x:f>IFERROR(I41/C41,0)</x:f>
        <x:v>1806.2857142857142</x:v>
      </x:c>
      <x:c r="K41" s="2"/>
      <x:c r="L41" s="2"/>
      <x:c r="M41" s="2"/>
    </x:row>
    <x:row r="42" ht="22" customHeight="1">
      <x:c r="A42" s="9" t="str">
        <x:v>TXN-1-0035</x:v>
      </x:c>
      <x:c r="B42" s="9" t="str">
        <x:v>일반</x:v>
      </x:c>
      <x:c r="C42" s="6" t="n">
        <x:v>1</x:v>
      </x:c>
      <x:c r="D42" s="6" t="n">
        <x:v>1675</x:v>
      </x:c>
      <x:c r="E42" s="6" t="n">
        <x:v>0</x:v>
      </x:c>
      <x:c r="F42" s="6" t="n">
        <x:f>C42*D42</x:f>
        <x:v>1675</x:v>
      </x:c>
      <x:c r="G42" s="6" t="n">
        <x:f>ROUND(F42*$M$4,0)</x:f>
        <x:v>168</x:v>
      </x:c>
      <x:c r="H42" s="6" t="n">
        <x:f>F42+G42</x:f>
        <x:v>1843</x:v>
      </x:c>
      <x:c r="I42" s="6" t="n">
        <x:f>H42-E42</x:f>
        <x:v>1843</x:v>
      </x:c>
      <x:c r="J42" s="6" t="n">
        <x:f>IFERROR(I42/C42,0)</x:f>
        <x:v>1843</x:v>
      </x:c>
      <x:c r="K42" s="2"/>
      <x:c r="L42" s="2"/>
      <x:c r="M42" s="2"/>
    </x:row>
    <x:row r="43" ht="22" customHeight="1">
      <x:c r="A43" s="9" t="str">
        <x:v>TXN-1-0036</x:v>
      </x:c>
      <x:c r="B43" s="9" t="str">
        <x:v>일반</x:v>
      </x:c>
      <x:c r="C43" s="6" t="n">
        <x:v>2</x:v>
      </x:c>
      <x:c r="D43" s="6" t="n">
        <x:v>1698</x:v>
      </x:c>
      <x:c r="E43" s="6" t="n">
        <x:v>19</x:v>
      </x:c>
      <x:c r="F43" s="6" t="n">
        <x:f>C43*D43</x:f>
        <x:v>3396</x:v>
      </x:c>
      <x:c r="G43" s="6" t="n">
        <x:f>ROUND(F43*$M$4,0)</x:f>
        <x:v>340</x:v>
      </x:c>
      <x:c r="H43" s="6" t="n">
        <x:f>F43+G43</x:f>
        <x:v>3736</x:v>
      </x:c>
      <x:c r="I43" s="6" t="n">
        <x:f>H43-E43</x:f>
        <x:v>3717</x:v>
      </x:c>
      <x:c r="J43" s="6" t="n">
        <x:f>IFERROR(I43/C43,0)</x:f>
        <x:v>1858.5</x:v>
      </x:c>
      <x:c r="K43" s="2"/>
      <x:c r="L43" s="2"/>
      <x:c r="M43" s="2"/>
    </x:row>
    <x:row r="44" ht="22" customHeight="1">
      <x:c r="A44" s="9" t="str">
        <x:v>TXN-1-0037</x:v>
      </x:c>
      <x:c r="B44" s="9" t="str">
        <x:v>일반</x:v>
      </x:c>
      <x:c r="C44" s="6" t="n">
        <x:v>3</x:v>
      </x:c>
      <x:c r="D44" s="6" t="n">
        <x:v>1721</x:v>
      </x:c>
      <x:c r="E44" s="6" t="n">
        <x:v>38</x:v>
      </x:c>
      <x:c r="F44" s="6" t="n">
        <x:f>C44*D44</x:f>
        <x:v>5163</x:v>
      </x:c>
      <x:c r="G44" s="6" t="n">
        <x:f>ROUND(F44*$M$4,0)</x:f>
        <x:v>516</x:v>
      </x:c>
      <x:c r="H44" s="6" t="n">
        <x:f>F44+G44</x:f>
        <x:v>5679</x:v>
      </x:c>
      <x:c r="I44" s="6" t="n">
        <x:f>H44-E44</x:f>
        <x:v>5641</x:v>
      </x:c>
      <x:c r="J44" s="6" t="n">
        <x:f>IFERROR(I44/C44,0)</x:f>
        <x:v>1880.3333333333333</x:v>
      </x:c>
      <x:c r="K44" s="2"/>
      <x:c r="L44" s="2"/>
      <x:c r="M44" s="2"/>
    </x:row>
    <x:row r="45" ht="22" customHeight="1">
      <x:c r="A45" s="9" t="str">
        <x:v>TXN-1-0038</x:v>
      </x:c>
      <x:c r="B45" s="9" t="str">
        <x:v>일반</x:v>
      </x:c>
      <x:c r="C45" s="6" t="n">
        <x:v>4</x:v>
      </x:c>
      <x:c r="D45" s="6" t="n">
        <x:v>1744</x:v>
      </x:c>
      <x:c r="E45" s="6" t="n">
        <x:v>57</x:v>
      </x:c>
      <x:c r="F45" s="6" t="n">
        <x:f>C45*D45</x:f>
        <x:v>6976</x:v>
      </x:c>
      <x:c r="G45" s="6" t="n">
        <x:f>ROUND(F45*$M$4,0)</x:f>
        <x:v>698</x:v>
      </x:c>
      <x:c r="H45" s="6" t="n">
        <x:f>F45+G45</x:f>
        <x:v>7674</x:v>
      </x:c>
      <x:c r="I45" s="6" t="n">
        <x:f>H45-E45</x:f>
        <x:v>7617</x:v>
      </x:c>
      <x:c r="J45" s="6" t="n">
        <x:f>IFERROR(I45/C45,0)</x:f>
        <x:v>1904.25</x:v>
      </x:c>
      <x:c r="K45" s="2"/>
      <x:c r="L45" s="2"/>
      <x:c r="M45" s="2"/>
    </x:row>
    <x:row r="46" ht="22" customHeight="1">
      <x:c r="A46" s="9" t="str">
        <x:v>TXN-1-0039</x:v>
      </x:c>
      <x:c r="B46" s="9" t="str">
        <x:v>일반</x:v>
      </x:c>
      <x:c r="C46" s="6" t="n">
        <x:v>5</x:v>
      </x:c>
      <x:c r="D46" s="6" t="n">
        <x:v>1767</x:v>
      </x:c>
      <x:c r="E46" s="6" t="n">
        <x:v>76</x:v>
      </x:c>
      <x:c r="F46" s="6" t="n">
        <x:f>C46*D46</x:f>
        <x:v>8835</x:v>
      </x:c>
      <x:c r="G46" s="6" t="n">
        <x:f>ROUND(F46*$M$4,0)</x:f>
        <x:v>884</x:v>
      </x:c>
      <x:c r="H46" s="6" t="n">
        <x:f>F46+G46</x:f>
        <x:v>9719</x:v>
      </x:c>
      <x:c r="I46" s="6" t="n">
        <x:f>H46-E46</x:f>
        <x:v>9643</x:v>
      </x:c>
      <x:c r="J46" s="6" t="n">
        <x:f>IFERROR(I46/C46,0)</x:f>
        <x:v>1928.6</x:v>
      </x:c>
      <x:c r="K46" s="2"/>
      <x:c r="L46" s="2"/>
      <x:c r="M46" s="2"/>
    </x:row>
    <x:row r="47" ht="22" customHeight="1">
      <x:c r="A47" s="9" t="str">
        <x:v>TXN-1-0040</x:v>
      </x:c>
      <x:c r="B47" s="9" t="str">
        <x:v>일반</x:v>
      </x:c>
      <x:c r="C47" s="6" t="n">
        <x:v>6</x:v>
      </x:c>
      <x:c r="D47" s="6" t="n">
        <x:v>1790</x:v>
      </x:c>
      <x:c r="E47" s="6" t="n">
        <x:v>0</x:v>
      </x:c>
      <x:c r="F47" s="6" t="n">
        <x:f>C47*D47</x:f>
        <x:v>10740</x:v>
      </x:c>
      <x:c r="G47" s="6" t="n">
        <x:f>ROUND(F47*$M$4,0)</x:f>
        <x:v>1074</x:v>
      </x:c>
      <x:c r="H47" s="6" t="n">
        <x:f>F47+G47</x:f>
        <x:v>11814</x:v>
      </x:c>
      <x:c r="I47" s="6" t="n">
        <x:f>H47-E47</x:f>
        <x:v>11814</x:v>
      </x:c>
      <x:c r="J47" s="6" t="n">
        <x:f>IFERROR(I47/C47,0)</x:f>
        <x:v>1969</x:v>
      </x:c>
      <x:c r="K47" s="2"/>
      <x:c r="L47" s="2"/>
      <x:c r="M47" s="2"/>
    </x:row>
    <x:row r="48" ht="22" customHeight="1">
      <x:c r="A48" s="9" t="str">
        <x:v>TXN-1-0041</x:v>
      </x:c>
      <x:c r="B48" s="9" t="str">
        <x:v>일반</x:v>
      </x:c>
      <x:c r="C48" s="6" t="n">
        <x:v>7</x:v>
      </x:c>
      <x:c r="D48" s="6" t="n">
        <x:v>1813</x:v>
      </x:c>
      <x:c r="E48" s="6" t="n">
        <x:v>19</x:v>
      </x:c>
      <x:c r="F48" s="6" t="n">
        <x:f>C48*D48</x:f>
        <x:v>12691</x:v>
      </x:c>
      <x:c r="G48" s="6" t="n">
        <x:f>ROUND(F48*$M$4,0)</x:f>
        <x:v>1269</x:v>
      </x:c>
      <x:c r="H48" s="6" t="n">
        <x:f>F48+G48</x:f>
        <x:v>13960</x:v>
      </x:c>
      <x:c r="I48" s="6" t="n">
        <x:f>H48-E48</x:f>
        <x:v>13941</x:v>
      </x:c>
      <x:c r="J48" s="6" t="n">
        <x:f>IFERROR(I48/C48,0)</x:f>
        <x:v>1991.5714285714287</x:v>
      </x:c>
      <x:c r="K48" s="2"/>
      <x:c r="L48" s="2"/>
      <x:c r="M48" s="2"/>
    </x:row>
    <x:row r="49" ht="22" customHeight="1">
      <x:c r="A49" s="9" t="str">
        <x:v>TXN-1-0042</x:v>
      </x:c>
      <x:c r="B49" s="9" t="str">
        <x:v>일반</x:v>
      </x:c>
      <x:c r="C49" s="6" t="n">
        <x:v>1</x:v>
      </x:c>
      <x:c r="D49" s="6" t="n">
        <x:v>1836</x:v>
      </x:c>
      <x:c r="E49" s="6" t="n">
        <x:v>38</x:v>
      </x:c>
      <x:c r="F49" s="6" t="n">
        <x:f>C49*D49</x:f>
        <x:v>1836</x:v>
      </x:c>
      <x:c r="G49" s="6" t="n">
        <x:f>ROUND(F49*$M$4,0)</x:f>
        <x:v>184</x:v>
      </x:c>
      <x:c r="H49" s="6" t="n">
        <x:f>F49+G49</x:f>
        <x:v>2020</x:v>
      </x:c>
      <x:c r="I49" s="6" t="n">
        <x:f>H49-E49</x:f>
        <x:v>1982</x:v>
      </x:c>
      <x:c r="J49" s="6" t="n">
        <x:f>IFERROR(I49/C49,0)</x:f>
        <x:v>1982</x:v>
      </x:c>
      <x:c r="K49" s="2"/>
      <x:c r="L49" s="2"/>
      <x:c r="M49" s="2"/>
    </x:row>
    <x:row r="50" ht="22" customHeight="1">
      <x:c r="A50" s="9" t="str">
        <x:v>TXN-1-0043</x:v>
      </x:c>
      <x:c r="B50" s="9" t="str">
        <x:v>일반</x:v>
      </x:c>
      <x:c r="C50" s="6" t="n">
        <x:v>2</x:v>
      </x:c>
      <x:c r="D50" s="6" t="n">
        <x:v>1859</x:v>
      </x:c>
      <x:c r="E50" s="6" t="n">
        <x:v>57</x:v>
      </x:c>
      <x:c r="F50" s="6" t="n">
        <x:f>C50*D50</x:f>
        <x:v>3718</x:v>
      </x:c>
      <x:c r="G50" s="6" t="n">
        <x:f>ROUND(F50*$M$4,0)</x:f>
        <x:v>372</x:v>
      </x:c>
      <x:c r="H50" s="6" t="n">
        <x:f>F50+G50</x:f>
        <x:v>4090</x:v>
      </x:c>
      <x:c r="I50" s="6" t="n">
        <x:f>H50-E50</x:f>
        <x:v>4033</x:v>
      </x:c>
      <x:c r="J50" s="6" t="n">
        <x:f>IFERROR(I50/C50,0)</x:f>
        <x:v>2016.5</x:v>
      </x:c>
      <x:c r="K50" s="2"/>
      <x:c r="L50" s="2"/>
      <x:c r="M50" s="2"/>
    </x:row>
    <x:row r="51" ht="22" customHeight="1">
      <x:c r="A51" s="9" t="str">
        <x:v>TXN-1-0044</x:v>
      </x:c>
      <x:c r="B51" s="9" t="str">
        <x:v>일반</x:v>
      </x:c>
      <x:c r="C51" s="6" t="n">
        <x:v>3</x:v>
      </x:c>
      <x:c r="D51" s="6" t="n">
        <x:v>1882</x:v>
      </x:c>
      <x:c r="E51" s="6" t="n">
        <x:v>76</x:v>
      </x:c>
      <x:c r="F51" s="6" t="n">
        <x:f>C51*D51</x:f>
        <x:v>5646</x:v>
      </x:c>
      <x:c r="G51" s="6" t="n">
        <x:f>ROUND(F51*$M$4,0)</x:f>
        <x:v>565</x:v>
      </x:c>
      <x:c r="H51" s="6" t="n">
        <x:f>F51+G51</x:f>
        <x:v>6211</x:v>
      </x:c>
      <x:c r="I51" s="6" t="n">
        <x:f>H51-E51</x:f>
        <x:v>6135</x:v>
      </x:c>
      <x:c r="J51" s="6" t="n">
        <x:f>IFERROR(I51/C51,0)</x:f>
        <x:v>2045</x:v>
      </x:c>
      <x:c r="K51" s="2"/>
      <x:c r="L51" s="2"/>
      <x:c r="M51" s="2"/>
    </x:row>
    <x:row r="52" ht="22" customHeight="1">
      <x:c r="A52" s="9" t="str">
        <x:v>TXN-1-0045</x:v>
      </x:c>
      <x:c r="B52" s="9" t="str">
        <x:v>일반</x:v>
      </x:c>
      <x:c r="C52" s="6" t="n">
        <x:v>4</x:v>
      </x:c>
      <x:c r="D52" s="6" t="n">
        <x:v>1905</x:v>
      </x:c>
      <x:c r="E52" s="6" t="n">
        <x:v>0</x:v>
      </x:c>
      <x:c r="F52" s="6" t="n">
        <x:f>C52*D52</x:f>
        <x:v>7620</x:v>
      </x:c>
      <x:c r="G52" s="6" t="n">
        <x:f>ROUND(F52*$M$4,0)</x:f>
        <x:v>762</x:v>
      </x:c>
      <x:c r="H52" s="6" t="n">
        <x:f>F52+G52</x:f>
        <x:v>8382</x:v>
      </x:c>
      <x:c r="I52" s="6" t="n">
        <x:f>H52-E52</x:f>
        <x:v>8382</x:v>
      </x:c>
      <x:c r="J52" s="6" t="n">
        <x:f>IFERROR(I52/C52,0)</x:f>
        <x:v>2095.5</x:v>
      </x:c>
      <x:c r="K52" s="2"/>
      <x:c r="L52" s="2"/>
      <x:c r="M52" s="2"/>
    </x:row>
    <x:row r="53" ht="22" customHeight="1">
      <x:c r="A53" s="9" t="str">
        <x:v>TXN-1-0046</x:v>
      </x:c>
      <x:c r="B53" s="9" t="str">
        <x:v>일반</x:v>
      </x:c>
      <x:c r="C53" s="6" t="n">
        <x:v>5</x:v>
      </x:c>
      <x:c r="D53" s="6" t="n">
        <x:v>1928</x:v>
      </x:c>
      <x:c r="E53" s="6" t="n">
        <x:v>19</x:v>
      </x:c>
      <x:c r="F53" s="6" t="n">
        <x:f>C53*D53</x:f>
        <x:v>9640</x:v>
      </x:c>
      <x:c r="G53" s="6" t="n">
        <x:f>ROUND(F53*$M$4,0)</x:f>
        <x:v>964</x:v>
      </x:c>
      <x:c r="H53" s="6" t="n">
        <x:f>F53+G53</x:f>
        <x:v>10604</x:v>
      </x:c>
      <x:c r="I53" s="6" t="n">
        <x:f>H53-E53</x:f>
        <x:v>10585</x:v>
      </x:c>
      <x:c r="J53" s="6" t="n">
        <x:f>IFERROR(I53/C53,0)</x:f>
        <x:v>2117</x:v>
      </x:c>
      <x:c r="K53" s="2"/>
      <x:c r="L53" s="2"/>
      <x:c r="M53" s="2"/>
    </x:row>
    <x:row r="54" ht="22" customHeight="1">
      <x:c r="A54" s="9" t="str">
        <x:v>TXN-1-0047</x:v>
      </x:c>
      <x:c r="B54" s="9" t="str">
        <x:v>일반</x:v>
      </x:c>
      <x:c r="C54" s="6" t="n">
        <x:v>6</x:v>
      </x:c>
      <x:c r="D54" s="6" t="n">
        <x:v>1951</x:v>
      </x:c>
      <x:c r="E54" s="6" t="n">
        <x:v>38</x:v>
      </x:c>
      <x:c r="F54" s="6" t="n">
        <x:f>C54*D54</x:f>
        <x:v>11706</x:v>
      </x:c>
      <x:c r="G54" s="6" t="n">
        <x:f>ROUND(F54*$M$4,0)</x:f>
        <x:v>1171</x:v>
      </x:c>
      <x:c r="H54" s="6" t="n">
        <x:f>F54+G54</x:f>
        <x:v>12877</x:v>
      </x:c>
      <x:c r="I54" s="6" t="n">
        <x:f>H54-E54</x:f>
        <x:v>12839</x:v>
      </x:c>
      <x:c r="J54" s="6" t="n">
        <x:f>IFERROR(I54/C54,0)</x:f>
        <x:v>2139.8333333333335</x:v>
      </x:c>
      <x:c r="K54" s="2"/>
      <x:c r="L54" s="2"/>
      <x:c r="M54" s="2"/>
    </x:row>
    <x:row r="55" ht="22" customHeight="1">
      <x:c r="A55" s="9" t="str">
        <x:v>TXN-1-0048</x:v>
      </x:c>
      <x:c r="B55" s="9" t="str">
        <x:v>일반</x:v>
      </x:c>
      <x:c r="C55" s="6" t="n">
        <x:v>7</x:v>
      </x:c>
      <x:c r="D55" s="6" t="n">
        <x:v>1974</x:v>
      </x:c>
      <x:c r="E55" s="6" t="n">
        <x:v>57</x:v>
      </x:c>
      <x:c r="F55" s="6" t="n">
        <x:f>C55*D55</x:f>
        <x:v>13818</x:v>
      </x:c>
      <x:c r="G55" s="6" t="n">
        <x:f>ROUND(F55*$M$4,0)</x:f>
        <x:v>1382</x:v>
      </x:c>
      <x:c r="H55" s="6" t="n">
        <x:f>F55+G55</x:f>
        <x:v>15200</x:v>
      </x:c>
      <x:c r="I55" s="6" t="n">
        <x:f>H55-E55</x:f>
        <x:v>15143</x:v>
      </x:c>
      <x:c r="J55" s="6" t="n">
        <x:f>IFERROR(I55/C55,0)</x:f>
        <x:v>2163.285714285714</x:v>
      </x:c>
      <x:c r="K55" s="2"/>
      <x:c r="L55" s="2"/>
      <x:c r="M55" s="2"/>
    </x:row>
    <x:row r="56" ht="22" customHeight="1">
      <x:c r="A56" s="9" t="str">
        <x:v>TXN-1-0049</x:v>
      </x:c>
      <x:c r="B56" s="9" t="str">
        <x:v>일반</x:v>
      </x:c>
      <x:c r="C56" s="6" t="n">
        <x:v>1</x:v>
      </x:c>
      <x:c r="D56" s="6" t="n">
        <x:v>1997</x:v>
      </x:c>
      <x:c r="E56" s="6" t="n">
        <x:v>76</x:v>
      </x:c>
      <x:c r="F56" s="6" t="n">
        <x:f>C56*D56</x:f>
        <x:v>1997</x:v>
      </x:c>
      <x:c r="G56" s="6" t="n">
        <x:f>ROUND(F56*$M$4,0)</x:f>
        <x:v>200</x:v>
      </x:c>
      <x:c r="H56" s="6" t="n">
        <x:f>F56+G56</x:f>
        <x:v>2197</x:v>
      </x:c>
      <x:c r="I56" s="6" t="n">
        <x:f>H56-E56</x:f>
        <x:v>2121</x:v>
      </x:c>
      <x:c r="J56" s="6" t="n">
        <x:f>IFERROR(I56/C56,0)</x:f>
        <x:v>2121</x:v>
      </x:c>
      <x:c r="K56" s="2"/>
      <x:c r="L56" s="2"/>
      <x:c r="M56" s="2"/>
    </x:row>
    <x:row r="57" ht="22" customHeight="1">
      <x:c r="A57" s="9" t="str">
        <x:v>TXN-1-0050</x:v>
      </x:c>
      <x:c r="B57" s="9" t="str">
        <x:v>일반</x:v>
      </x:c>
      <x:c r="C57" s="6" t="n">
        <x:v>2</x:v>
      </x:c>
      <x:c r="D57" s="6" t="n">
        <x:v>2020</x:v>
      </x:c>
      <x:c r="E57" s="6" t="n">
        <x:v>0</x:v>
      </x:c>
      <x:c r="F57" s="6" t="n">
        <x:f>C57*D57</x:f>
        <x:v>4040</x:v>
      </x:c>
      <x:c r="G57" s="6" t="n">
        <x:f>ROUND(F57*$M$4,0)</x:f>
        <x:v>404</x:v>
      </x:c>
      <x:c r="H57" s="6" t="n">
        <x:f>F57+G57</x:f>
        <x:v>4444</x:v>
      </x:c>
      <x:c r="I57" s="6" t="n">
        <x:f>H57-E57</x:f>
        <x:v>4444</x:v>
      </x:c>
      <x:c r="J57" s="6" t="n">
        <x:f>IFERROR(I57/C57,0)</x:f>
        <x:v>2222</x:v>
      </x:c>
      <x:c r="K57" s="2"/>
      <x:c r="L57" s="2"/>
      <x:c r="M57" s="2"/>
    </x:row>
    <x:row r="58" ht="22" customHeight="1">
      <x:c r="A58" s="9" t="str">
        <x:v>TXN-1-0051</x:v>
      </x:c>
      <x:c r="B58" s="9" t="str">
        <x:v>일반</x:v>
      </x:c>
      <x:c r="C58" s="6" t="n">
        <x:v>3</x:v>
      </x:c>
      <x:c r="D58" s="6" t="n">
        <x:v>2043</x:v>
      </x:c>
      <x:c r="E58" s="6" t="n">
        <x:v>19</x:v>
      </x:c>
      <x:c r="F58" s="6" t="n">
        <x:f>C58*D58</x:f>
        <x:v>6129</x:v>
      </x:c>
      <x:c r="G58" s="6" t="n">
        <x:f>ROUND(F58*$M$4,0)</x:f>
        <x:v>613</x:v>
      </x:c>
      <x:c r="H58" s="6" t="n">
        <x:f>F58+G58</x:f>
        <x:v>6742</x:v>
      </x:c>
      <x:c r="I58" s="6" t="n">
        <x:f>H58-E58</x:f>
        <x:v>6723</x:v>
      </x:c>
      <x:c r="J58" s="6" t="n">
        <x:f>IFERROR(I58/C58,0)</x:f>
        <x:v>2241</x:v>
      </x:c>
      <x:c r="K58" s="2"/>
      <x:c r="L58" s="2"/>
      <x:c r="M58" s="2"/>
    </x:row>
    <x:row r="59" ht="22" customHeight="1">
      <x:c r="A59" s="9" t="str">
        <x:v>TXN-1-0052</x:v>
      </x:c>
      <x:c r="B59" s="9" t="str">
        <x:v>일반</x:v>
      </x:c>
      <x:c r="C59" s="6" t="n">
        <x:v>4</x:v>
      </x:c>
      <x:c r="D59" s="6" t="n">
        <x:v>2066</x:v>
      </x:c>
      <x:c r="E59" s="6" t="n">
        <x:v>38</x:v>
      </x:c>
      <x:c r="F59" s="6" t="n">
        <x:f>C59*D59</x:f>
        <x:v>8264</x:v>
      </x:c>
      <x:c r="G59" s="6" t="n">
        <x:f>ROUND(F59*$M$4,0)</x:f>
        <x:v>826</x:v>
      </x:c>
      <x:c r="H59" s="6" t="n">
        <x:f>F59+G59</x:f>
        <x:v>9090</x:v>
      </x:c>
      <x:c r="I59" s="6" t="n">
        <x:f>H59-E59</x:f>
        <x:v>9052</x:v>
      </x:c>
      <x:c r="J59" s="6" t="n">
        <x:f>IFERROR(I59/C59,0)</x:f>
        <x:v>2263</x:v>
      </x:c>
      <x:c r="K59" s="2"/>
      <x:c r="L59" s="2"/>
      <x:c r="M59" s="2"/>
    </x:row>
    <x:row r="60" ht="22" customHeight="1">
      <x:c r="A60" s="9" t="str">
        <x:v>TXN-1-0053</x:v>
      </x:c>
      <x:c r="B60" s="9" t="str">
        <x:v>일반</x:v>
      </x:c>
      <x:c r="C60" s="6" t="n">
        <x:v>5</x:v>
      </x:c>
      <x:c r="D60" s="6" t="n">
        <x:v>2089</x:v>
      </x:c>
      <x:c r="E60" s="6" t="n">
        <x:v>57</x:v>
      </x:c>
      <x:c r="F60" s="6" t="n">
        <x:f>C60*D60</x:f>
        <x:v>10445</x:v>
      </x:c>
      <x:c r="G60" s="6" t="n">
        <x:f>ROUND(F60*$M$4,0)</x:f>
        <x:v>1045</x:v>
      </x:c>
      <x:c r="H60" s="6" t="n">
        <x:f>F60+G60</x:f>
        <x:v>11490</x:v>
      </x:c>
      <x:c r="I60" s="6" t="n">
        <x:f>H60-E60</x:f>
        <x:v>11433</x:v>
      </x:c>
      <x:c r="J60" s="6" t="n">
        <x:f>IFERROR(I60/C60,0)</x:f>
        <x:v>2286.6</x:v>
      </x:c>
      <x:c r="K60" s="2"/>
      <x:c r="L60" s="2"/>
      <x:c r="M60" s="2"/>
    </x:row>
    <x:row r="61" ht="22" customHeight="1">
      <x:c r="A61" s="9" t="str">
        <x:v>TXN-1-0054</x:v>
      </x:c>
      <x:c r="B61" s="9" t="str">
        <x:v>일반</x:v>
      </x:c>
      <x:c r="C61" s="6" t="n">
        <x:v>6</x:v>
      </x:c>
      <x:c r="D61" s="6" t="n">
        <x:v>2112</x:v>
      </x:c>
      <x:c r="E61" s="6" t="n">
        <x:v>76</x:v>
      </x:c>
      <x:c r="F61" s="6" t="n">
        <x:f>C61*D61</x:f>
        <x:v>12672</x:v>
      </x:c>
      <x:c r="G61" s="6" t="n">
        <x:f>ROUND(F61*$M$4,0)</x:f>
        <x:v>1267</x:v>
      </x:c>
      <x:c r="H61" s="6" t="n">
        <x:f>F61+G61</x:f>
        <x:v>13939</x:v>
      </x:c>
      <x:c r="I61" s="6" t="n">
        <x:f>H61-E61</x:f>
        <x:v>13863</x:v>
      </x:c>
      <x:c r="J61" s="6" t="n">
        <x:f>IFERROR(I61/C61,0)</x:f>
        <x:v>2310.5</x:v>
      </x:c>
      <x:c r="K61" s="2"/>
      <x:c r="L61" s="2"/>
      <x:c r="M61" s="2"/>
    </x:row>
    <x:row r="62" ht="22" customHeight="1">
      <x:c r="A62" s="9" t="str">
        <x:v>TXN-1-0055</x:v>
      </x:c>
      <x:c r="B62" s="9" t="str">
        <x:v>일반</x:v>
      </x:c>
      <x:c r="C62" s="6" t="n">
        <x:v>7</x:v>
      </x:c>
      <x:c r="D62" s="6" t="n">
        <x:v>2135</x:v>
      </x:c>
      <x:c r="E62" s="6" t="n">
        <x:v>0</x:v>
      </x:c>
      <x:c r="F62" s="6" t="n">
        <x:f>C62*D62</x:f>
        <x:v>14945</x:v>
      </x:c>
      <x:c r="G62" s="6" t="n">
        <x:f>ROUND(F62*$M$4,0)</x:f>
        <x:v>1495</x:v>
      </x:c>
      <x:c r="H62" s="6" t="n">
        <x:f>F62+G62</x:f>
        <x:v>16440</x:v>
      </x:c>
      <x:c r="I62" s="6" t="n">
        <x:f>H62-E62</x:f>
        <x:v>16440</x:v>
      </x:c>
      <x:c r="J62" s="6" t="n">
        <x:f>IFERROR(I62/C62,0)</x:f>
        <x:v>2348.5714285714284</x:v>
      </x:c>
      <x:c r="K62" s="2"/>
      <x:c r="L62" s="2"/>
      <x:c r="M62" s="2"/>
    </x:row>
    <x:row r="63" ht="22" customHeight="1">
      <x:c r="A63" s="9" t="str">
        <x:v>TXN-1-0056</x:v>
      </x:c>
      <x:c r="B63" s="9" t="str">
        <x:v>일반</x:v>
      </x:c>
      <x:c r="C63" s="6" t="n">
        <x:v>1</x:v>
      </x:c>
      <x:c r="D63" s="6" t="n">
        <x:v>2158</x:v>
      </x:c>
      <x:c r="E63" s="6" t="n">
        <x:v>19</x:v>
      </x:c>
      <x:c r="F63" s="6" t="n">
        <x:f>C63*D63</x:f>
        <x:v>2158</x:v>
      </x:c>
      <x:c r="G63" s="6" t="n">
        <x:f>ROUND(F63*$M$4,0)</x:f>
        <x:v>216</x:v>
      </x:c>
      <x:c r="H63" s="6" t="n">
        <x:f>F63+G63</x:f>
        <x:v>2374</x:v>
      </x:c>
      <x:c r="I63" s="6" t="n">
        <x:f>H63-E63</x:f>
        <x:v>2355</x:v>
      </x:c>
      <x:c r="J63" s="6" t="n">
        <x:f>IFERROR(I63/C63,0)</x:f>
        <x:v>2355</x:v>
      </x:c>
      <x:c r="K63" s="2"/>
      <x:c r="L63" s="2"/>
      <x:c r="M63" s="2"/>
    </x:row>
    <x:row r="64" ht="22" customHeight="1">
      <x:c r="A64" s="9" t="str">
        <x:v>TXN-1-0057</x:v>
      </x:c>
      <x:c r="B64" s="9" t="str">
        <x:v>일반</x:v>
      </x:c>
      <x:c r="C64" s="6" t="n">
        <x:v>2</x:v>
      </x:c>
      <x:c r="D64" s="6" t="n">
        <x:v>2181</x:v>
      </x:c>
      <x:c r="E64" s="6" t="n">
        <x:v>38</x:v>
      </x:c>
      <x:c r="F64" s="6" t="n">
        <x:f>C64*D64</x:f>
        <x:v>4362</x:v>
      </x:c>
      <x:c r="G64" s="6" t="n">
        <x:f>ROUND(F64*$M$4,0)</x:f>
        <x:v>436</x:v>
      </x:c>
      <x:c r="H64" s="6" t="n">
        <x:f>F64+G64</x:f>
        <x:v>4798</x:v>
      </x:c>
      <x:c r="I64" s="6" t="n">
        <x:f>H64-E64</x:f>
        <x:v>4760</x:v>
      </x:c>
      <x:c r="J64" s="6" t="n">
        <x:f>IFERROR(I64/C64,0)</x:f>
        <x:v>2380</x:v>
      </x:c>
      <x:c r="K64" s="2"/>
      <x:c r="L64" s="2"/>
      <x:c r="M64" s="2"/>
    </x:row>
    <x:row r="65" ht="22" customHeight="1">
      <x:c r="A65" s="9" t="str">
        <x:v>TXN-1-0058</x:v>
      </x:c>
      <x:c r="B65" s="9" t="str">
        <x:v>일반</x:v>
      </x:c>
      <x:c r="C65" s="6" t="n">
        <x:v>3</x:v>
      </x:c>
      <x:c r="D65" s="6" t="n">
        <x:v>2204</x:v>
      </x:c>
      <x:c r="E65" s="6" t="n">
        <x:v>57</x:v>
      </x:c>
      <x:c r="F65" s="6" t="n">
        <x:f>C65*D65</x:f>
        <x:v>6612</x:v>
      </x:c>
      <x:c r="G65" s="6" t="n">
        <x:f>ROUND(F65*$M$4,0)</x:f>
        <x:v>661</x:v>
      </x:c>
      <x:c r="H65" s="6" t="n">
        <x:f>F65+G65</x:f>
        <x:v>7273</x:v>
      </x:c>
      <x:c r="I65" s="6" t="n">
        <x:f>H65-E65</x:f>
        <x:v>7216</x:v>
      </x:c>
      <x:c r="J65" s="6" t="n">
        <x:f>IFERROR(I65/C65,0)</x:f>
        <x:v>2405.3333333333335</x:v>
      </x:c>
      <x:c r="K65" s="2"/>
      <x:c r="L65" s="2"/>
      <x:c r="M65" s="2"/>
    </x:row>
    <x:row r="66" ht="22" customHeight="1">
      <x:c r="A66" s="9" t="str">
        <x:v>TXN-1-0059</x:v>
      </x:c>
      <x:c r="B66" s="9" t="str">
        <x:v>일반</x:v>
      </x:c>
      <x:c r="C66" s="6" t="n">
        <x:v>4</x:v>
      </x:c>
      <x:c r="D66" s="6" t="n">
        <x:v>2227</x:v>
      </x:c>
      <x:c r="E66" s="6" t="n">
        <x:v>76</x:v>
      </x:c>
      <x:c r="F66" s="6" t="n">
        <x:f>C66*D66</x:f>
        <x:v>8908</x:v>
      </x:c>
      <x:c r="G66" s="6" t="n">
        <x:f>ROUND(F66*$M$4,0)</x:f>
        <x:v>891</x:v>
      </x:c>
      <x:c r="H66" s="6" t="n">
        <x:f>F66+G66</x:f>
        <x:v>9799</x:v>
      </x:c>
      <x:c r="I66" s="6" t="n">
        <x:f>H66-E66</x:f>
        <x:v>9723</x:v>
      </x:c>
      <x:c r="J66" s="6" t="n">
        <x:f>IFERROR(I66/C66,0)</x:f>
        <x:v>2430.75</x:v>
      </x:c>
      <x:c r="K66" s="2"/>
      <x:c r="L66" s="2"/>
      <x:c r="M66" s="2"/>
    </x:row>
    <x:row r="67" ht="22" customHeight="1">
      <x:c r="A67" s="9" t="str">
        <x:v>TXN-1-0060</x:v>
      </x:c>
      <x:c r="B67" s="9" t="str">
        <x:v>일반</x:v>
      </x:c>
      <x:c r="C67" s="6" t="n">
        <x:v>5</x:v>
      </x:c>
      <x:c r="D67" s="6" t="n">
        <x:v>2250</x:v>
      </x:c>
      <x:c r="E67" s="6" t="n">
        <x:v>0</x:v>
      </x:c>
      <x:c r="F67" s="6" t="n">
        <x:f>C67*D67</x:f>
        <x:v>11250</x:v>
      </x:c>
      <x:c r="G67" s="6" t="n">
        <x:f>ROUND(F67*$M$4,0)</x:f>
        <x:v>1125</x:v>
      </x:c>
      <x:c r="H67" s="6" t="n">
        <x:f>F67+G67</x:f>
        <x:v>12375</x:v>
      </x:c>
      <x:c r="I67" s="6" t="n">
        <x:f>H67-E67</x:f>
        <x:v>12375</x:v>
      </x:c>
      <x:c r="J67" s="6" t="n">
        <x:f>IFERROR(I67/C67,0)</x:f>
        <x:v>2475</x:v>
      </x:c>
      <x:c r="K67" s="2"/>
      <x:c r="L67" s="2"/>
      <x:c r="M67" s="2"/>
    </x:row>
    <x:row r="68" ht="22" customHeight="1">
      <x:c r="A68" s="9" t="str">
        <x:v>TXN-1-0061</x:v>
      </x:c>
      <x:c r="B68" s="9" t="str">
        <x:v>일반</x:v>
      </x:c>
      <x:c r="C68" s="6" t="n">
        <x:v>6</x:v>
      </x:c>
      <x:c r="D68" s="6" t="n">
        <x:v>2273</x:v>
      </x:c>
      <x:c r="E68" s="6" t="n">
        <x:v>19</x:v>
      </x:c>
      <x:c r="F68" s="6" t="n">
        <x:f>C68*D68</x:f>
        <x:v>13638</x:v>
      </x:c>
      <x:c r="G68" s="6" t="n">
        <x:f>ROUND(F68*$M$4,0)</x:f>
        <x:v>1364</x:v>
      </x:c>
      <x:c r="H68" s="6" t="n">
        <x:f>F68+G68</x:f>
        <x:v>15002</x:v>
      </x:c>
      <x:c r="I68" s="6" t="n">
        <x:f>H68-E68</x:f>
        <x:v>14983</x:v>
      </x:c>
      <x:c r="J68" s="6" t="n">
        <x:f>IFERROR(I68/C68,0)</x:f>
        <x:v>2497.1666666666665</x:v>
      </x:c>
      <x:c r="K68" s="2"/>
      <x:c r="L68" s="2"/>
      <x:c r="M68" s="2"/>
    </x:row>
    <x:row r="69" ht="22" customHeight="1">
      <x:c r="A69" s="9" t="str">
        <x:v>TXN-1-0062</x:v>
      </x:c>
      <x:c r="B69" s="9" t="str">
        <x:v>일반</x:v>
      </x:c>
      <x:c r="C69" s="6" t="n">
        <x:v>7</x:v>
      </x:c>
      <x:c r="D69" s="6" t="n">
        <x:v>2296</x:v>
      </x:c>
      <x:c r="E69" s="6" t="n">
        <x:v>38</x:v>
      </x:c>
      <x:c r="F69" s="6" t="n">
        <x:f>C69*D69</x:f>
        <x:v>16072</x:v>
      </x:c>
      <x:c r="G69" s="6" t="n">
        <x:f>ROUND(F69*$M$4,0)</x:f>
        <x:v>1607</x:v>
      </x:c>
      <x:c r="H69" s="6" t="n">
        <x:f>F69+G69</x:f>
        <x:v>17679</x:v>
      </x:c>
      <x:c r="I69" s="6" t="n">
        <x:f>H69-E69</x:f>
        <x:v>17641</x:v>
      </x:c>
      <x:c r="J69" s="6" t="n">
        <x:f>IFERROR(I69/C69,0)</x:f>
        <x:v>2520.1428571428573</x:v>
      </x:c>
      <x:c r="K69" s="2"/>
      <x:c r="L69" s="2"/>
      <x:c r="M69" s="2"/>
    </x:row>
    <x:row r="70" ht="22" customHeight="1">
      <x:c r="A70" s="9" t="str">
        <x:v>TXN-1-0063</x:v>
      </x:c>
      <x:c r="B70" s="9" t="str">
        <x:v>일반</x:v>
      </x:c>
      <x:c r="C70" s="6" t="n">
        <x:v>1</x:v>
      </x:c>
      <x:c r="D70" s="6" t="n">
        <x:v>2319</x:v>
      </x:c>
      <x:c r="E70" s="6" t="n">
        <x:v>57</x:v>
      </x:c>
      <x:c r="F70" s="6" t="n">
        <x:f>C70*D70</x:f>
        <x:v>2319</x:v>
      </x:c>
      <x:c r="G70" s="6" t="n">
        <x:f>ROUND(F70*$M$4,0)</x:f>
        <x:v>232</x:v>
      </x:c>
      <x:c r="H70" s="6" t="n">
        <x:f>F70+G70</x:f>
        <x:v>2551</x:v>
      </x:c>
      <x:c r="I70" s="6" t="n">
        <x:f>H70-E70</x:f>
        <x:v>2494</x:v>
      </x:c>
      <x:c r="J70" s="6" t="n">
        <x:f>IFERROR(I70/C70,0)</x:f>
        <x:v>2494</x:v>
      </x:c>
      <x:c r="K70" s="2"/>
      <x:c r="L70" s="2"/>
      <x:c r="M70" s="2"/>
    </x:row>
    <x:row r="71" ht="22" customHeight="1">
      <x:c r="A71" s="9" t="str">
        <x:v>TXN-1-0064</x:v>
      </x:c>
      <x:c r="B71" s="9" t="str">
        <x:v>일반</x:v>
      </x:c>
      <x:c r="C71" s="6" t="n">
        <x:v>2</x:v>
      </x:c>
      <x:c r="D71" s="6" t="n">
        <x:v>2342</x:v>
      </x:c>
      <x:c r="E71" s="6" t="n">
        <x:v>76</x:v>
      </x:c>
      <x:c r="F71" s="6" t="n">
        <x:f>C71*D71</x:f>
        <x:v>4684</x:v>
      </x:c>
      <x:c r="G71" s="6" t="n">
        <x:f>ROUND(F71*$M$4,0)</x:f>
        <x:v>468</x:v>
      </x:c>
      <x:c r="H71" s="6" t="n">
        <x:f>F71+G71</x:f>
        <x:v>5152</x:v>
      </x:c>
      <x:c r="I71" s="6" t="n">
        <x:f>H71-E71</x:f>
        <x:v>5076</x:v>
      </x:c>
      <x:c r="J71" s="6" t="n">
        <x:f>IFERROR(I71/C71,0)</x:f>
        <x:v>2538</x:v>
      </x:c>
      <x:c r="K71" s="2"/>
      <x:c r="L71" s="2"/>
      <x:c r="M71" s="2"/>
    </x:row>
    <x:row r="72" ht="22" customHeight="1">
      <x:c r="A72" s="9" t="str">
        <x:v>TXN-1-0065</x:v>
      </x:c>
      <x:c r="B72" s="9" t="str">
        <x:v>일반</x:v>
      </x:c>
      <x:c r="C72" s="6" t="n">
        <x:v>3</x:v>
      </x:c>
      <x:c r="D72" s="6" t="n">
        <x:v>2365</x:v>
      </x:c>
      <x:c r="E72" s="6" t="n">
        <x:v>0</x:v>
      </x:c>
      <x:c r="F72" s="6" t="n">
        <x:f>C72*D72</x:f>
        <x:v>7095</x:v>
      </x:c>
      <x:c r="G72" s="6" t="n">
        <x:f>ROUND(F72*$M$4,0)</x:f>
        <x:v>710</x:v>
      </x:c>
      <x:c r="H72" s="6" t="n">
        <x:f>F72+G72</x:f>
        <x:v>7805</x:v>
      </x:c>
      <x:c r="I72" s="6" t="n">
        <x:f>H72-E72</x:f>
        <x:v>7805</x:v>
      </x:c>
      <x:c r="J72" s="6" t="n">
        <x:f>IFERROR(I72/C72,0)</x:f>
        <x:v>2601.6666666666665</x:v>
      </x:c>
      <x:c r="K72" s="2"/>
      <x:c r="L72" s="2"/>
      <x:c r="M72" s="2"/>
    </x:row>
    <x:row r="73" ht="22" customHeight="1">
      <x:c r="A73" s="9" t="str">
        <x:v>TXN-1-0066</x:v>
      </x:c>
      <x:c r="B73" s="9" t="str">
        <x:v>일반</x:v>
      </x:c>
      <x:c r="C73" s="6" t="n">
        <x:v>4</x:v>
      </x:c>
      <x:c r="D73" s="6" t="n">
        <x:v>2388</x:v>
      </x:c>
      <x:c r="E73" s="6" t="n">
        <x:v>19</x:v>
      </x:c>
      <x:c r="F73" s="6" t="n">
        <x:f>C73*D73</x:f>
        <x:v>9552</x:v>
      </x:c>
      <x:c r="G73" s="6" t="n">
        <x:f>ROUND(F73*$M$4,0)</x:f>
        <x:v>955</x:v>
      </x:c>
      <x:c r="H73" s="6" t="n">
        <x:f>F73+G73</x:f>
        <x:v>10507</x:v>
      </x:c>
      <x:c r="I73" s="6" t="n">
        <x:f>H73-E73</x:f>
        <x:v>10488</x:v>
      </x:c>
      <x:c r="J73" s="6" t="n">
        <x:f>IFERROR(I73/C73,0)</x:f>
        <x:v>2622</x:v>
      </x:c>
      <x:c r="K73" s="2"/>
      <x:c r="L73" s="2"/>
      <x:c r="M73" s="2"/>
    </x:row>
    <x:row r="74" ht="22" customHeight="1">
      <x:c r="A74" s="9" t="str">
        <x:v>TXN-1-0067</x:v>
      </x:c>
      <x:c r="B74" s="9" t="str">
        <x:v>일반</x:v>
      </x:c>
      <x:c r="C74" s="6" t="n">
        <x:v>5</x:v>
      </x:c>
      <x:c r="D74" s="6" t="n">
        <x:v>2411</x:v>
      </x:c>
      <x:c r="E74" s="6" t="n">
        <x:v>38</x:v>
      </x:c>
      <x:c r="F74" s="6" t="n">
        <x:f>C74*D74</x:f>
        <x:v>12055</x:v>
      </x:c>
      <x:c r="G74" s="6" t="n">
        <x:f>ROUND(F74*$M$4,0)</x:f>
        <x:v>1206</x:v>
      </x:c>
      <x:c r="H74" s="6" t="n">
        <x:f>F74+G74</x:f>
        <x:v>13261</x:v>
      </x:c>
      <x:c r="I74" s="6" t="n">
        <x:f>H74-E74</x:f>
        <x:v>13223</x:v>
      </x:c>
      <x:c r="J74" s="6" t="n">
        <x:f>IFERROR(I74/C74,0)</x:f>
        <x:v>2644.6</x:v>
      </x:c>
      <x:c r="K74" s="2"/>
      <x:c r="L74" s="2"/>
      <x:c r="M74" s="2"/>
    </x:row>
    <x:row r="75" ht="22" customHeight="1">
      <x:c r="A75" s="9" t="str">
        <x:v>TXN-1-0068</x:v>
      </x:c>
      <x:c r="B75" s="9" t="str">
        <x:v>일반</x:v>
      </x:c>
      <x:c r="C75" s="6" t="n">
        <x:v>6</x:v>
      </x:c>
      <x:c r="D75" s="6" t="n">
        <x:v>2434</x:v>
      </x:c>
      <x:c r="E75" s="6" t="n">
        <x:v>57</x:v>
      </x:c>
      <x:c r="F75" s="6" t="n">
        <x:f>C75*D75</x:f>
        <x:v>14604</x:v>
      </x:c>
      <x:c r="G75" s="6" t="n">
        <x:f>ROUND(F75*$M$4,0)</x:f>
        <x:v>1460</x:v>
      </x:c>
      <x:c r="H75" s="6" t="n">
        <x:f>F75+G75</x:f>
        <x:v>16064</x:v>
      </x:c>
      <x:c r="I75" s="6" t="n">
        <x:f>H75-E75</x:f>
        <x:v>16007</x:v>
      </x:c>
      <x:c r="J75" s="6" t="n">
        <x:f>IFERROR(I75/C75,0)</x:f>
        <x:v>2667.8333333333335</x:v>
      </x:c>
      <x:c r="K75" s="2"/>
      <x:c r="L75" s="2"/>
      <x:c r="M75" s="2"/>
    </x:row>
    <x:row r="76" ht="22" customHeight="1">
      <x:c r="A76" s="9" t="str">
        <x:v>TXN-1-0069</x:v>
      </x:c>
      <x:c r="B76" s="9" t="str">
        <x:v>일반</x:v>
      </x:c>
      <x:c r="C76" s="6" t="n">
        <x:v>7</x:v>
      </x:c>
      <x:c r="D76" s="6" t="n">
        <x:v>2457</x:v>
      </x:c>
      <x:c r="E76" s="6" t="n">
        <x:v>76</x:v>
      </x:c>
      <x:c r="F76" s="6" t="n">
        <x:f>C76*D76</x:f>
        <x:v>17199</x:v>
      </x:c>
      <x:c r="G76" s="6" t="n">
        <x:f>ROUND(F76*$M$5,0)</x:f>
        <x:v>3440</x:v>
      </x:c>
      <x:c r="H76" s="6" t="n">
        <x:f>F76+G76</x:f>
        <x:v>20639</x:v>
      </x:c>
      <x:c r="I76" s="6" t="n">
        <x:f>H76-E76</x:f>
        <x:v>20563</x:v>
      </x:c>
      <x:c r="J76" s="6" t="n">
        <x:f>IFERROR(I76/C76,0)</x:f>
        <x:v>2937.5714285714284</x:v>
      </x:c>
      <x:c r="K76" s="2"/>
      <x:c r="L76" s="2"/>
      <x:c r="M76" s="2"/>
    </x:row>
    <x:row r="77" ht="22" customHeight="1">
      <x:c r="A77" s="9" t="str">
        <x:v>TXN-1-0070</x:v>
      </x:c>
      <x:c r="B77" s="9" t="str">
        <x:v>일반</x:v>
      </x:c>
      <x:c r="C77" s="6" t="n">
        <x:v>1</x:v>
      </x:c>
      <x:c r="D77" s="6" t="n">
        <x:v>2480</x:v>
      </x:c>
      <x:c r="E77" s="6" t="n">
        <x:v>0</x:v>
      </x:c>
      <x:c r="F77" s="6" t="n">
        <x:f>C77*D77</x:f>
        <x:v>2480</x:v>
      </x:c>
      <x:c r="G77" s="6" t="n">
        <x:f>ROUND(F77*$M$4,0)</x:f>
        <x:v>248</x:v>
      </x:c>
      <x:c r="H77" s="6" t="n">
        <x:f>F77+G77</x:f>
        <x:v>2728</x:v>
      </x:c>
      <x:c r="I77" s="6" t="n">
        <x:f>H77-E77</x:f>
        <x:v>2728</x:v>
      </x:c>
      <x:c r="J77" s="6" t="n">
        <x:f>IFERROR(I77/C77,0)</x:f>
        <x:v>2728</x:v>
      </x:c>
      <x:c r="K77" s="2"/>
      <x:c r="L77" s="2"/>
      <x:c r="M77" s="2"/>
    </x:row>
    <x:row r="78" ht="22" customHeight="1">
      <x:c r="A78" s="9" t="str">
        <x:v>TXN-1-0071</x:v>
      </x:c>
      <x:c r="B78" s="9" t="str">
        <x:v>일반</x:v>
      </x:c>
      <x:c r="C78" s="6" t="n">
        <x:v>2</x:v>
      </x:c>
      <x:c r="D78" s="6" t="n">
        <x:v>2503</x:v>
      </x:c>
      <x:c r="E78" s="6" t="n">
        <x:v>19</x:v>
      </x:c>
      <x:c r="F78" s="6" t="n">
        <x:f>C78*D78</x:f>
        <x:v>5006</x:v>
      </x:c>
      <x:c r="G78" s="6" t="n">
        <x:f>ROUND(F78*$M$4,0)</x:f>
        <x:v>501</x:v>
      </x:c>
      <x:c r="H78" s="6" t="n">
        <x:f>F78+G78</x:f>
        <x:v>5507</x:v>
      </x:c>
      <x:c r="I78" s="6" t="n">
        <x:f>H78-E78</x:f>
        <x:v>5488</x:v>
      </x:c>
      <x:c r="J78" s="6" t="n">
        <x:f>IFERROR(I78/C78,0)</x:f>
        <x:v>2744</x:v>
      </x:c>
      <x:c r="K78" s="2"/>
      <x:c r="L78" s="2"/>
      <x:c r="M78" s="2"/>
    </x:row>
    <x:row r="79" ht="22" customHeight="1">
      <x:c r="A79" s="9" t="str">
        <x:v>TXN-1-0072</x:v>
      </x:c>
      <x:c r="B79" s="9" t="str">
        <x:v>일반</x:v>
      </x:c>
      <x:c r="C79" s="6" t="n">
        <x:v>3</x:v>
      </x:c>
      <x:c r="D79" s="6" t="n">
        <x:v>2526</x:v>
      </x:c>
      <x:c r="E79" s="6" t="n">
        <x:v>38</x:v>
      </x:c>
      <x:c r="F79" s="6" t="n">
        <x:f>C79*D79</x:f>
        <x:v>7578</x:v>
      </x:c>
      <x:c r="G79" s="6" t="n">
        <x:f>ROUND(F79*$M$4,0)</x:f>
        <x:v>758</x:v>
      </x:c>
      <x:c r="H79" s="6" t="n">
        <x:f>F79+G79</x:f>
        <x:v>8336</x:v>
      </x:c>
      <x:c r="I79" s="6" t="n">
        <x:f>H79-E79</x:f>
        <x:v>8298</x:v>
      </x:c>
      <x:c r="J79" s="6" t="n">
        <x:f>IFERROR(I79/C79,0)</x:f>
        <x:v>2766</x:v>
      </x:c>
      <x:c r="K79" s="2"/>
      <x:c r="L79" s="2"/>
      <x:c r="M79" s="2"/>
    </x:row>
    <x:row r="80" ht="22" customHeight="1">
      <x:c r="A80" s="9" t="str">
        <x:v>TXN-1-0073</x:v>
      </x:c>
      <x:c r="B80" s="9" t="str">
        <x:v>수동 조정</x:v>
      </x:c>
      <x:c r="C80" s="6" t="n">
        <x:v>4</x:v>
      </x:c>
      <x:c r="D80" s="6" t="n">
        <x:v>2549</x:v>
      </x:c>
      <x:c r="E80" s="6" t="n">
        <x:v>57</x:v>
      </x:c>
      <x:c r="F80" s="6" t="n">
        <x:f>C80*D80</x:f>
        <x:v>10196</x:v>
      </x:c>
      <x:c r="G80" s="6" t="n">
        <x:f>ROUND(F80*$M$4,0)</x:f>
        <x:v>1020</x:v>
      </x:c>
      <x:c r="H80" s="6" t="n">
        <x:f>F80+G80</x:f>
        <x:v>11216</x:v>
      </x:c>
      <x:c r="I80" s="6" t="n">
        <x:f>H80-E80-50</x:f>
        <x:v>11109</x:v>
      </x:c>
      <x:c r="J80" s="6" t="n">
        <x:f>IFERROR(I80/C80,0)</x:f>
        <x:v>2777.25</x:v>
      </x:c>
      <x:c r="K80" s="2"/>
      <x:c r="L80" s="2"/>
      <x:c r="M80" s="2"/>
    </x:row>
    <x:row r="81" ht="22" customHeight="1">
      <x:c r="A81" s="9" t="str">
        <x:v>TXN-1-0074</x:v>
      </x:c>
      <x:c r="B81" s="9" t="str">
        <x:v>일반</x:v>
      </x:c>
      <x:c r="C81" s="6" t="n">
        <x:v>5</x:v>
      </x:c>
      <x:c r="D81" s="6" t="n">
        <x:v>2572</x:v>
      </x:c>
      <x:c r="E81" s="6" t="n">
        <x:v>76</x:v>
      </x:c>
      <x:c r="F81" s="6" t="n">
        <x:f>C81*D81</x:f>
        <x:v>12860</x:v>
      </x:c>
      <x:c r="G81" s="6" t="n">
        <x:f>ROUND(F81*$M$4,0)</x:f>
        <x:v>1286</x:v>
      </x:c>
      <x:c r="H81" s="6" t="n">
        <x:f>F81+G81</x:f>
        <x:v>14146</x:v>
      </x:c>
      <x:c r="I81" s="6" t="n">
        <x:f>H81-E81</x:f>
        <x:v>14070</x:v>
      </x:c>
      <x:c r="J81" s="6" t="n">
        <x:f>IFERROR(I81/C81,0)</x:f>
        <x:v>2814</x:v>
      </x:c>
      <x:c r="K81" s="2"/>
      <x:c r="L81" s="2"/>
      <x:c r="M81" s="2"/>
    </x:row>
    <x:row r="82" ht="22" customHeight="1">
      <x:c r="A82" s="9" t="str">
        <x:v>TXN-1-0075</x:v>
      </x:c>
      <x:c r="B82" s="9" t="str">
        <x:v>일반</x:v>
      </x:c>
      <x:c r="C82" s="6" t="n">
        <x:v>6</x:v>
      </x:c>
      <x:c r="D82" s="6" t="n">
        <x:v>2595</x:v>
      </x:c>
      <x:c r="E82" s="6" t="n">
        <x:v>0</x:v>
      </x:c>
      <x:c r="F82" s="6" t="n">
        <x:f>C82*D82</x:f>
        <x:v>15570</x:v>
      </x:c>
      <x:c r="G82" s="6" t="n">
        <x:f>ROUND(F82*$M$4,0)</x:f>
        <x:v>1557</x:v>
      </x:c>
      <x:c r="H82" s="6" t="n">
        <x:f>F82+G82</x:f>
        <x:v>17127</x:v>
      </x:c>
      <x:c r="I82" s="6" t="n">
        <x:f>H82-E82</x:f>
        <x:v>17127</x:v>
      </x:c>
      <x:c r="J82" s="6" t="n">
        <x:f>IFERROR(I82/C82,0)</x:f>
        <x:v>2854.5</x:v>
      </x:c>
      <x:c r="K82" s="2"/>
      <x:c r="L82" s="2"/>
      <x:c r="M82" s="2"/>
    </x:row>
    <x:row r="83" ht="22" customHeight="1">
      <x:c r="A83" s="9" t="str">
        <x:v>TXN-1-0076</x:v>
      </x:c>
      <x:c r="B83" s="9" t="str">
        <x:v>일반</x:v>
      </x:c>
      <x:c r="C83" s="6" t="n">
        <x:v>7</x:v>
      </x:c>
      <x:c r="D83" s="6" t="n">
        <x:v>2618</x:v>
      </x:c>
      <x:c r="E83" s="6" t="n">
        <x:v>19</x:v>
      </x:c>
      <x:c r="F83" s="6" t="n">
        <x:f>C83*D83</x:f>
        <x:v>18326</x:v>
      </x:c>
      <x:c r="G83" s="6" t="n">
        <x:f>ROUND(F83*$M$4,0)</x:f>
        <x:v>1833</x:v>
      </x:c>
      <x:c r="H83" s="6" t="n">
        <x:f>F83+G83</x:f>
        <x:v>20159</x:v>
      </x:c>
      <x:c r="I83" s="6" t="n">
        <x:f>H83-E83</x:f>
        <x:v>20140</x:v>
      </x:c>
      <x:c r="J83" s="6" t="n">
        <x:f>IFERROR(I83/C83,0)</x:f>
        <x:v>2877.1428571428573</x:v>
      </x:c>
      <x:c r="K83" s="2"/>
      <x:c r="L83" s="2"/>
      <x:c r="M83" s="2"/>
    </x:row>
    <x:row r="84" ht="22" customHeight="1">
      <x:c r="A84" s="9" t="str">
        <x:v>TXN-1-0077</x:v>
      </x:c>
      <x:c r="B84" s="9" t="str">
        <x:v>일반</x:v>
      </x:c>
      <x:c r="C84" s="6" t="n">
        <x:v>1</x:v>
      </x:c>
      <x:c r="D84" s="6" t="n">
        <x:v>2641</x:v>
      </x:c>
      <x:c r="E84" s="6" t="n">
        <x:v>38</x:v>
      </x:c>
      <x:c r="F84" s="6" t="n">
        <x:f>C84*D84</x:f>
        <x:v>2641</x:v>
      </x:c>
      <x:c r="G84" s="6" t="n">
        <x:f>ROUND(F84*$M$4,0)</x:f>
        <x:v>264</x:v>
      </x:c>
      <x:c r="H84" s="6" t="n">
        <x:f>F84+G84</x:f>
        <x:v>2905</x:v>
      </x:c>
      <x:c r="I84" s="6" t="n">
        <x:f>H84-E84</x:f>
        <x:v>2867</x:v>
      </x:c>
      <x:c r="J84" s="6" t="n">
        <x:f>IFERROR(I84/C84,0)</x:f>
        <x:v>2867</x:v>
      </x:c>
      <x:c r="K84" s="2"/>
      <x:c r="L84" s="2"/>
      <x:c r="M84" s="2"/>
    </x:row>
    <x:row r="85" ht="22" customHeight="1">
      <x:c r="A85" s="9" t="str">
        <x:v>TXN-1-0078</x:v>
      </x:c>
      <x:c r="B85" s="9" t="str">
        <x:v>일반</x:v>
      </x:c>
      <x:c r="C85" s="6" t="n">
        <x:v>2</x:v>
      </x:c>
      <x:c r="D85" s="6" t="n">
        <x:v>2664</x:v>
      </x:c>
      <x:c r="E85" s="6" t="n">
        <x:v>57</x:v>
      </x:c>
      <x:c r="F85" s="6" t="n">
        <x:f>C85*D85</x:f>
        <x:v>5328</x:v>
      </x:c>
      <x:c r="G85" s="6" t="n">
        <x:f>ROUND(F85*$M$4,0)</x:f>
        <x:v>533</x:v>
      </x:c>
      <x:c r="H85" s="6" t="n">
        <x:f>F85+G85</x:f>
        <x:v>5861</x:v>
      </x:c>
      <x:c r="I85" s="6" t="n">
        <x:f>H85-E85</x:f>
        <x:v>5804</x:v>
      </x:c>
      <x:c r="J85" s="6" t="n">
        <x:f>IFERROR(I85/C85,0)</x:f>
        <x:v>2902</x:v>
      </x:c>
      <x:c r="K85" s="2"/>
      <x:c r="L85" s="2"/>
      <x:c r="M85" s="2"/>
    </x:row>
    <x:row r="86" ht="22" customHeight="1">
      <x:c r="A86" s="9" t="str">
        <x:v>TXN-1-0079</x:v>
      </x:c>
      <x:c r="B86" s="9" t="str">
        <x:v>일반</x:v>
      </x:c>
      <x:c r="C86" s="6" t="n">
        <x:v>3</x:v>
      </x:c>
      <x:c r="D86" s="6" t="n">
        <x:v>2687</x:v>
      </x:c>
      <x:c r="E86" s="6" t="n">
        <x:v>76</x:v>
      </x:c>
      <x:c r="F86" s="6" t="n">
        <x:f>C86*D86</x:f>
        <x:v>8061</x:v>
      </x:c>
      <x:c r="G86" s="6" t="n">
        <x:f>ROUND(F86*$M$4,0)</x:f>
        <x:v>806</x:v>
      </x:c>
      <x:c r="H86" s="6" t="n">
        <x:f>F86+G86</x:f>
        <x:v>8867</x:v>
      </x:c>
      <x:c r="I86" s="6" t="n">
        <x:f>H86-E86</x:f>
        <x:v>8791</x:v>
      </x:c>
      <x:c r="J86" s="6" t="n">
        <x:f>IFERROR(I86/C86,0)</x:f>
        <x:v>2930.3333333333335</x:v>
      </x:c>
      <x:c r="K86" s="2"/>
      <x:c r="L86" s="2"/>
      <x:c r="M86" s="2"/>
    </x:row>
    <x:row r="87" ht="22" customHeight="1">
      <x:c r="A87" s="9" t="str">
        <x:v>TXN-1-0080</x:v>
      </x:c>
      <x:c r="B87" s="9" t="str">
        <x:v>일반</x:v>
      </x:c>
      <x:c r="C87" s="6" t="n">
        <x:v>4</x:v>
      </x:c>
      <x:c r="D87" s="6" t="n">
        <x:v>2710</x:v>
      </x:c>
      <x:c r="E87" s="6" t="n">
        <x:v>0</x:v>
      </x:c>
      <x:c r="F87" s="6" t="n">
        <x:f>C87*D87</x:f>
        <x:v>10840</x:v>
      </x:c>
      <x:c r="G87" s="6" t="n">
        <x:f>ROUND(F87*$M$4,0)</x:f>
        <x:v>1084</x:v>
      </x:c>
      <x:c r="H87" s="6" t="n">
        <x:f>F87+G87</x:f>
        <x:v>11924</x:v>
      </x:c>
      <x:c r="I87" s="6" t="n">
        <x:f>H87-E87</x:f>
        <x:v>11924</x:v>
      </x:c>
      <x:c r="J87" s="6" t="n">
        <x:f>IFERROR(I87/C87,0)</x:f>
        <x:v>2981</x:v>
      </x:c>
      <x:c r="K87" s="2"/>
      <x:c r="L87" s="2"/>
      <x:c r="M87" s="2"/>
    </x:row>
    <x:row r="88" ht="22" customHeight="1">
      <x:c r="A88" s="9" t="str">
        <x:v>TXN-1-0081</x:v>
      </x:c>
      <x:c r="B88" s="9" t="str">
        <x:v>일반</x:v>
      </x:c>
      <x:c r="C88" s="6" t="n">
        <x:v>5</x:v>
      </x:c>
      <x:c r="D88" s="6" t="n">
        <x:v>2733</x:v>
      </x:c>
      <x:c r="E88" s="6" t="n">
        <x:v>19</x:v>
      </x:c>
      <x:c r="F88" s="6" t="n">
        <x:f>C88*D88</x:f>
        <x:v>13665</x:v>
      </x:c>
      <x:c r="G88" s="6" t="n">
        <x:f>ROUND(F88*$M$4,0)</x:f>
        <x:v>1367</x:v>
      </x:c>
      <x:c r="H88" s="6" t="n">
        <x:f>F88+G88</x:f>
        <x:v>15032</x:v>
      </x:c>
      <x:c r="I88" s="6" t="n">
        <x:f>H88-E88</x:f>
        <x:v>15013</x:v>
      </x:c>
      <x:c r="J88" s="6" t="n">
        <x:f>IFERROR(I88/C88,0)</x:f>
        <x:v>3002.6</x:v>
      </x:c>
      <x:c r="K88" s="2"/>
      <x:c r="L88" s="2"/>
      <x:c r="M88" s="2"/>
    </x:row>
    <x:row r="89" ht="22" customHeight="1">
      <x:c r="A89" s="9" t="str">
        <x:v>TXN-1-0082</x:v>
      </x:c>
      <x:c r="B89" s="9" t="str">
        <x:v>일반</x:v>
      </x:c>
      <x:c r="C89" s="6" t="n">
        <x:v>6</x:v>
      </x:c>
      <x:c r="D89" s="6" t="n">
        <x:v>2756</x:v>
      </x:c>
      <x:c r="E89" s="6" t="n">
        <x:v>38</x:v>
      </x:c>
      <x:c r="F89" s="6" t="n">
        <x:f>C89*D89</x:f>
        <x:v>16536</x:v>
      </x:c>
      <x:c r="G89" s="6" t="n">
        <x:f>ROUND(F89*$M$4,0)</x:f>
        <x:v>1654</x:v>
      </x:c>
      <x:c r="H89" s="6" t="n">
        <x:f>F89+G89</x:f>
        <x:v>18190</x:v>
      </x:c>
      <x:c r="I89" s="6" t="n">
        <x:f>H89-E89</x:f>
        <x:v>18152</x:v>
      </x:c>
      <x:c r="J89" s="6" t="n">
        <x:f>IFERROR(I89/C89,0)</x:f>
        <x:v>3025.3333333333335</x:v>
      </x:c>
      <x:c r="K89" s="2"/>
      <x:c r="L89" s="2"/>
      <x:c r="M89" s="2"/>
    </x:row>
    <x:row r="90" ht="22" customHeight="1">
      <x:c r="A90" s="9" t="str">
        <x:v>TXN-1-0083</x:v>
      </x:c>
      <x:c r="B90" s="9" t="str">
        <x:v>일반</x:v>
      </x:c>
      <x:c r="C90" s="6" t="n">
        <x:v>7</x:v>
      </x:c>
      <x:c r="D90" s="6" t="n">
        <x:v>2779</x:v>
      </x:c>
      <x:c r="E90" s="6" t="n">
        <x:v>57</x:v>
      </x:c>
      <x:c r="F90" s="6" t="n">
        <x:f>C90*D90</x:f>
        <x:v>19453</x:v>
      </x:c>
      <x:c r="G90" s="6" t="n">
        <x:f>ROUND(F90*$M$4,0)</x:f>
        <x:v>1945</x:v>
      </x:c>
      <x:c r="H90" s="6" t="n">
        <x:f>F90+G90</x:f>
        <x:v>21398</x:v>
      </x:c>
      <x:c r="I90" s="6" t="n">
        <x:f>H90-E90</x:f>
        <x:v>21341</x:v>
      </x:c>
      <x:c r="J90" s="6" t="n">
        <x:f>IFERROR(I90/C90,0)</x:f>
        <x:v>3048.714285714286</x:v>
      </x:c>
      <x:c r="K90" s="2"/>
      <x:c r="L90" s="2"/>
      <x:c r="M90" s="2"/>
    </x:row>
    <x:row r="91" ht="22" customHeight="1">
      <x:c r="A91" s="9" t="str">
        <x:v>TXN-1-0084</x:v>
      </x:c>
      <x:c r="B91" s="9" t="str">
        <x:v>일반</x:v>
      </x:c>
      <x:c r="C91" s="6" t="n">
        <x:v>1</x:v>
      </x:c>
      <x:c r="D91" s="6" t="n">
        <x:v>2802</x:v>
      </x:c>
      <x:c r="E91" s="6" t="n">
        <x:v>76</x:v>
      </x:c>
      <x:c r="F91" s="6" t="n">
        <x:f>C91*D91</x:f>
        <x:v>2802</x:v>
      </x:c>
      <x:c r="G91" s="6" t="n">
        <x:f>ROUND(F91*$M$4,0)</x:f>
        <x:v>280</x:v>
      </x:c>
      <x:c r="H91" s="6" t="n">
        <x:f>F91+G91</x:f>
        <x:v>3082</x:v>
      </x:c>
      <x:c r="I91" s="6" t="n">
        <x:f>H91-E91</x:f>
        <x:v>3006</x:v>
      </x:c>
      <x:c r="J91" s="6" t="n">
        <x:f>IFERROR(I91/C91,0)</x:f>
        <x:v>3006</x:v>
      </x:c>
      <x:c r="K91" s="2"/>
      <x:c r="L91" s="2"/>
      <x:c r="M91" s="2"/>
    </x:row>
    <x:row r="92" ht="22" customHeight="1">
      <x:c r="A92" s="9" t="str">
        <x:v>TXN-1-0085</x:v>
      </x:c>
      <x:c r="B92" s="9" t="str">
        <x:v>일반</x:v>
      </x:c>
      <x:c r="C92" s="6" t="n">
        <x:v>2</x:v>
      </x:c>
      <x:c r="D92" s="6" t="n">
        <x:v>2825</x:v>
      </x:c>
      <x:c r="E92" s="6" t="n">
        <x:v>0</x:v>
      </x:c>
      <x:c r="F92" s="6" t="n">
        <x:f>C92*D92</x:f>
        <x:v>5650</x:v>
      </x:c>
      <x:c r="G92" s="6" t="n">
        <x:f>ROUND(F92*$M$4,0)</x:f>
        <x:v>565</x:v>
      </x:c>
      <x:c r="H92" s="6" t="n">
        <x:f>F92+G92</x:f>
        <x:v>6215</x:v>
      </x:c>
      <x:c r="I92" s="6" t="n">
        <x:f>H92-E92</x:f>
        <x:v>6215</x:v>
      </x:c>
      <x:c r="J92" s="6" t="n">
        <x:f>IFERROR(I92/C92,0)</x:f>
        <x:v>3107.5</x:v>
      </x:c>
      <x:c r="K92" s="2"/>
      <x:c r="L92" s="2"/>
      <x:c r="M92" s="2"/>
    </x:row>
    <x:row r="93" ht="22" customHeight="1">
      <x:c r="A93" s="9" t="str">
        <x:v>TXN-1-0086</x:v>
      </x:c>
      <x:c r="B93" s="9" t="str">
        <x:v>일반</x:v>
      </x:c>
      <x:c r="C93" s="6" t="n">
        <x:v>3</x:v>
      </x:c>
      <x:c r="D93" s="6" t="n">
        <x:v>2848</x:v>
      </x:c>
      <x:c r="E93" s="6" t="n">
        <x:v>19</x:v>
      </x:c>
      <x:c r="F93" s="6" t="n">
        <x:f>C93*D93</x:f>
        <x:v>8544</x:v>
      </x:c>
      <x:c r="G93" s="6" t="n">
        <x:f>ROUND(F93*$M$4,0)</x:f>
        <x:v>854</x:v>
      </x:c>
      <x:c r="H93" s="6" t="n">
        <x:f>F93+G93</x:f>
        <x:v>9398</x:v>
      </x:c>
      <x:c r="I93" s="6" t="n">
        <x:f>H93-E93</x:f>
        <x:v>9379</x:v>
      </x:c>
      <x:c r="J93" s="6" t="n">
        <x:f>IFERROR(I93/C93,0)</x:f>
        <x:v>3126.3333333333335</x:v>
      </x:c>
      <x:c r="K93" s="2"/>
      <x:c r="L93" s="2"/>
      <x:c r="M93" s="2"/>
    </x:row>
    <x:row r="94" ht="22" customHeight="1">
      <x:c r="A94" s="9" t="str">
        <x:v>TXN-1-0087</x:v>
      </x:c>
      <x:c r="B94" s="9" t="str">
        <x:v>일반</x:v>
      </x:c>
      <x:c r="C94" s="6" t="n">
        <x:v>4</x:v>
      </x:c>
      <x:c r="D94" s="6" t="n">
        <x:v>2871</x:v>
      </x:c>
      <x:c r="E94" s="6" t="n">
        <x:v>38</x:v>
      </x:c>
      <x:c r="F94" s="6" t="n">
        <x:f>C94*D94</x:f>
        <x:v>11484</x:v>
      </x:c>
      <x:c r="G94" s="6" t="n">
        <x:f>ROUND(F94*$M$4,0)</x:f>
        <x:v>1148</x:v>
      </x:c>
      <x:c r="H94" s="6" t="n">
        <x:f>F94+G94</x:f>
        <x:v>12632</x:v>
      </x:c>
      <x:c r="I94" s="6" t="n">
        <x:f>H94-E94</x:f>
        <x:v>12594</x:v>
      </x:c>
      <x:c r="J94" s="6" t="n">
        <x:f>IFERROR(I94/C94,0)</x:f>
        <x:v>3148.5</x:v>
      </x:c>
      <x:c r="K94" s="2"/>
      <x:c r="L94" s="2"/>
      <x:c r="M94" s="2"/>
    </x:row>
    <x:row r="95" ht="22" customHeight="1">
      <x:c r="A95" s="9" t="str">
        <x:v>TXN-1-0088</x:v>
      </x:c>
      <x:c r="B95" s="9" t="str">
        <x:v>일반</x:v>
      </x:c>
      <x:c r="C95" s="6" t="n">
        <x:v>5</x:v>
      </x:c>
      <x:c r="D95" s="6" t="n">
        <x:v>2894</x:v>
      </x:c>
      <x:c r="E95" s="6" t="n">
        <x:v>57</x:v>
      </x:c>
      <x:c r="F95" s="6" t="n">
        <x:f>C95*D95</x:f>
        <x:v>14470</x:v>
      </x:c>
      <x:c r="G95" s="6" t="n">
        <x:f>ROUND(F95*$M$4,0)</x:f>
        <x:v>1447</x:v>
      </x:c>
      <x:c r="H95" s="6" t="n">
        <x:f>F95+G95</x:f>
        <x:v>15917</x:v>
      </x:c>
      <x:c r="I95" s="6" t="n">
        <x:v>42</x:v>
      </x:c>
      <x:c r="J95" s="6" t="n">
        <x:f>IFERROR(I95/C95,0)</x:f>
        <x:v>8.4</x:v>
      </x:c>
      <x:c r="K95" s="2"/>
      <x:c r="L95" s="2"/>
      <x:c r="M95" s="2"/>
    </x:row>
    <x:row r="96" ht="22" customHeight="1">
      <x:c r="A96" s="9" t="str">
        <x:v>TXN-1-0089</x:v>
      </x:c>
      <x:c r="B96" s="9" t="str">
        <x:v>일반</x:v>
      </x:c>
      <x:c r="C96" s="6" t="n">
        <x:v>6</x:v>
      </x:c>
      <x:c r="D96" s="6" t="n">
        <x:v>2917</x:v>
      </x:c>
      <x:c r="E96" s="6" t="n">
        <x:v>76</x:v>
      </x:c>
      <x:c r="F96" s="6" t="n">
        <x:f>C96*D96</x:f>
        <x:v>17502</x:v>
      </x:c>
      <x:c r="G96" s="6" t="n">
        <x:f>ROUND(F96*$M$4,0)</x:f>
        <x:v>1750</x:v>
      </x:c>
      <x:c r="H96" s="6" t="n">
        <x:f>F96+G96</x:f>
        <x:v>19252</x:v>
      </x:c>
      <x:c r="I96" s="6" t="n">
        <x:f>H96-E96</x:f>
        <x:v>19176</x:v>
      </x:c>
      <x:c r="J96" s="6" t="n">
        <x:f>IFERROR(I96/C96,0)</x:f>
        <x:v>3196</x:v>
      </x:c>
      <x:c r="K96" s="2"/>
      <x:c r="L96" s="2"/>
      <x:c r="M96" s="2"/>
    </x:row>
    <x:row r="97" ht="22" customHeight="1">
      <x:c r="A97" s="9" t="str">
        <x:v>TXN-1-0090</x:v>
      </x:c>
      <x:c r="B97" s="9" t="str">
        <x:v>일반</x:v>
      </x:c>
      <x:c r="C97" s="6" t="n">
        <x:v>7</x:v>
      </x:c>
      <x:c r="D97" s="6" t="n">
        <x:v>2940</x:v>
      </x:c>
      <x:c r="E97" s="6" t="n">
        <x:v>0</x:v>
      </x:c>
      <x:c r="F97" s="6" t="n">
        <x:f>C97*D97</x:f>
        <x:v>20580</x:v>
      </x:c>
      <x:c r="G97" s="6" t="n">
        <x:f>ROUND(F97*$M$4,0)</x:f>
        <x:v>2058</x:v>
      </x:c>
      <x:c r="H97" s="6" t="n">
        <x:f>F97+G97</x:f>
        <x:v>22638</x:v>
      </x:c>
      <x:c r="I97" s="6" t="n">
        <x:f>H97-E97</x:f>
        <x:v>22638</x:v>
      </x:c>
      <x:c r="J97" s="6" t="n">
        <x:f>IFERROR(I97/C97,0)</x:f>
        <x:v>3234</x:v>
      </x:c>
      <x:c r="K97" s="2"/>
      <x:c r="L97" s="2"/>
      <x:c r="M97" s="2"/>
    </x:row>
    <x:row r="98" ht="22" customHeight="1">
      <x:c r="A98" s="9" t="str">
        <x:v>TXN-1-0091</x:v>
      </x:c>
      <x:c r="B98" s="9" t="str">
        <x:v>일반</x:v>
      </x:c>
      <x:c r="C98" s="6" t="n">
        <x:v>1</x:v>
      </x:c>
      <x:c r="D98" s="6" t="n">
        <x:v>2963</x:v>
      </x:c>
      <x:c r="E98" s="6" t="n">
        <x:v>19</x:v>
      </x:c>
      <x:c r="F98" s="6" t="n">
        <x:f>C98*D98</x:f>
        <x:v>2963</x:v>
      </x:c>
      <x:c r="G98" s="6" t="n">
        <x:f>ROUND(F98*$M$4,0)</x:f>
        <x:v>296</x:v>
      </x:c>
      <x:c r="H98" s="6" t="n">
        <x:f>F98+G98</x:f>
        <x:v>3259</x:v>
      </x:c>
      <x:c r="I98" s="6" t="n">
        <x:f>H98-E98</x:f>
        <x:v>3240</x:v>
      </x:c>
      <x:c r="J98" s="6" t="n">
        <x:f>IFERROR(I98/C98,0)</x:f>
        <x:v>3240</x:v>
      </x:c>
      <x:c r="K98" s="2"/>
      <x:c r="L98" s="2"/>
      <x:c r="M98" s="2"/>
    </x:row>
    <x:row r="99" ht="22" customHeight="1">
      <x:c r="A99" s="9" t="str">
        <x:v>TXN-1-0092</x:v>
      </x:c>
      <x:c r="B99" s="9" t="str">
        <x:v>일반</x:v>
      </x:c>
      <x:c r="C99" s="6" t="n">
        <x:v>2</x:v>
      </x:c>
      <x:c r="D99" s="6" t="n">
        <x:v>2986</x:v>
      </x:c>
      <x:c r="E99" s="6" t="n">
        <x:v>38</x:v>
      </x:c>
      <x:c r="F99" s="6" t="n">
        <x:f>C99*D99</x:f>
        <x:v>5972</x:v>
      </x:c>
      <x:c r="G99" s="6" t="n">
        <x:f>ROUND(F99*$M$4,0)</x:f>
        <x:v>597</x:v>
      </x:c>
      <x:c r="H99" s="6" t="n">
        <x:f>F99+G99</x:f>
        <x:v>6569</x:v>
      </x:c>
      <x:c r="I99" s="6" t="n">
        <x:f>H99-E99</x:f>
        <x:v>6531</x:v>
      </x:c>
      <x:c r="J99" s="6" t="n">
        <x:f>IFERROR(I99/C99,0)</x:f>
        <x:v>3265.5</x:v>
      </x:c>
      <x:c r="K99" s="2"/>
      <x:c r="L99" s="2"/>
      <x:c r="M99" s="2"/>
    </x:row>
    <x:row r="100" ht="22" customHeight="1">
      <x:c r="A100" s="9" t="str">
        <x:v>TXN-1-0093</x:v>
      </x:c>
      <x:c r="B100" s="9" t="str">
        <x:v>일반</x:v>
      </x:c>
      <x:c r="C100" s="6" t="n">
        <x:v>3</x:v>
      </x:c>
      <x:c r="D100" s="6" t="n">
        <x:v>3009</x:v>
      </x:c>
      <x:c r="E100" s="6" t="n">
        <x:v>57</x:v>
      </x:c>
      <x:c r="F100" s="6" t="n">
        <x:f>C100*D100</x:f>
        <x:v>9027</x:v>
      </x:c>
      <x:c r="G100" s="6" t="n">
        <x:f>ROUND(F100*$M$4,0)</x:f>
        <x:v>903</x:v>
      </x:c>
      <x:c r="H100" s="6" t="n">
        <x:f>F100+G100</x:f>
        <x:v>9930</x:v>
      </x:c>
      <x:c r="I100" s="6" t="n">
        <x:f>H100-E100</x:f>
        <x:v>9873</x:v>
      </x:c>
      <x:c r="J100" s="6" t="n">
        <x:f>IFERROR(I100/C100,0)</x:f>
        <x:v>3291</x:v>
      </x:c>
      <x:c r="K100" s="2"/>
      <x:c r="L100" s="2"/>
      <x:c r="M100" s="2"/>
    </x:row>
    <x:row r="101" ht="22" customHeight="1">
      <x:c r="A101" s="9" t="str">
        <x:v>TXN-1-0094</x:v>
      </x:c>
      <x:c r="B101" s="9" t="str">
        <x:v>일반</x:v>
      </x:c>
      <x:c r="C101" s="6" t="n">
        <x:v>4</x:v>
      </x:c>
      <x:c r="D101" s="6" t="n">
        <x:v>3032</x:v>
      </x:c>
      <x:c r="E101" s="6" t="n">
        <x:v>76</x:v>
      </x:c>
      <x:c r="F101" s="6" t="n">
        <x:f>C101*D101</x:f>
        <x:v>12128</x:v>
      </x:c>
      <x:c r="G101" s="6" t="n">
        <x:f>ROUND(F101*$M$4,0)</x:f>
        <x:v>1213</x:v>
      </x:c>
      <x:c r="H101" s="6" t="n">
        <x:f>F101+G101</x:f>
        <x:v>13341</x:v>
      </x:c>
      <x:c r="I101" s="6" t="n">
        <x:f>H101-E101</x:f>
        <x:v>13265</x:v>
      </x:c>
      <x:c r="J101" s="6" t="n">
        <x:f>IFERROR(I101/C101,0)</x:f>
        <x:v>3316.25</x:v>
      </x:c>
      <x:c r="K101" s="2"/>
      <x:c r="L101" s="2"/>
      <x:c r="M101" s="2"/>
    </x:row>
    <x:row r="102" ht="22" customHeight="1">
      <x:c r="A102" s="9" t="str">
        <x:v>TXN-1-0095</x:v>
      </x:c>
      <x:c r="B102" s="9" t="str">
        <x:v>일반</x:v>
      </x:c>
      <x:c r="C102" s="6" t="n">
        <x:v>5</x:v>
      </x:c>
      <x:c r="D102" s="6" t="n">
        <x:v>3055</x:v>
      </x:c>
      <x:c r="E102" s="6" t="n">
        <x:v>0</x:v>
      </x:c>
      <x:c r="F102" s="6" t="n">
        <x:f>C102*D102</x:f>
        <x:v>15275</x:v>
      </x:c>
      <x:c r="G102" s="6" t="n">
        <x:f>ROUND(F102*$M$4,0)</x:f>
        <x:v>1528</x:v>
      </x:c>
      <x:c r="H102" s="6" t="n">
        <x:f>F102+G102</x:f>
        <x:v>16803</x:v>
      </x:c>
      <x:c r="I102" s="6" t="n">
        <x:f>H102-E102</x:f>
        <x:v>16803</x:v>
      </x:c>
      <x:c r="J102" s="6" t="n">
        <x:f>IFERROR(I102/C102,0)</x:f>
        <x:v>3360.6</x:v>
      </x:c>
      <x:c r="K102" s="2"/>
      <x:c r="L102" s="2"/>
      <x:c r="M102" s="2"/>
    </x:row>
    <x:row r="103" ht="22" customHeight="1">
      <x:c r="A103" s="9" t="str">
        <x:v>TXN-1-0096</x:v>
      </x:c>
      <x:c r="B103" s="9" t="str">
        <x:v>일반</x:v>
      </x:c>
      <x:c r="C103" s="6" t="n">
        <x:v>6</x:v>
      </x:c>
      <x:c r="D103" s="6" t="n">
        <x:v>3078</x:v>
      </x:c>
      <x:c r="E103" s="6" t="n">
        <x:v>19</x:v>
      </x:c>
      <x:c r="F103" s="6" t="n">
        <x:f>C103*D103</x:f>
        <x:v>18468</x:v>
      </x:c>
      <x:c r="G103" s="6" t="n">
        <x:f>ROUND(F103*$M$4,0)</x:f>
        <x:v>1847</x:v>
      </x:c>
      <x:c r="H103" s="6" t="n">
        <x:f>F103+G103</x:f>
        <x:v>20315</x:v>
      </x:c>
      <x:c r="I103" s="6" t="n">
        <x:f>H103-E103</x:f>
        <x:v>20296</x:v>
      </x:c>
      <x:c r="J103" s="6" t="n">
        <x:f>IFERROR(I103/C103,0)</x:f>
        <x:v>3382.6666666666665</x:v>
      </x:c>
      <x:c r="K103" s="2"/>
      <x:c r="L103" s="2"/>
      <x:c r="M103" s="2"/>
    </x:row>
    <x:row r="104" ht="22" customHeight="1">
      <x:c r="A104" s="9" t="str">
        <x:v>TXN-1-0097</x:v>
      </x:c>
      <x:c r="B104" s="9" t="str">
        <x:v>일반</x:v>
      </x:c>
      <x:c r="C104" s="6" t="n">
        <x:v>7</x:v>
      </x:c>
      <x:c r="D104" s="6" t="n">
        <x:v>3101</x:v>
      </x:c>
      <x:c r="E104" s="6" t="n">
        <x:v>38</x:v>
      </x:c>
      <x:c r="F104" s="6" t="n">
        <x:f>C104*D104</x:f>
        <x:v>21707</x:v>
      </x:c>
      <x:c r="G104" s="6" t="n">
        <x:f>ROUND(F104*$M$4,0)</x:f>
        <x:v>2171</x:v>
      </x:c>
      <x:c r="H104" s="6" t="n">
        <x:f>F104+G104</x:f>
        <x:v>23878</x:v>
      </x:c>
      <x:c r="I104" s="6" t="n">
        <x:f>H104-E104</x:f>
        <x:v>23840</x:v>
      </x:c>
      <x:c r="J104" s="6" t="n">
        <x:f>IFERROR(I104/C104,0)</x:f>
        <x:v>3405.714285714286</x:v>
      </x:c>
      <x:c r="K104" s="2"/>
      <x:c r="L104" s="2"/>
      <x:c r="M104" s="2"/>
    </x:row>
    <x:row r="105" ht="22" customHeight="1">
      <x:c r="A105" s="9" t="str">
        <x:v>TXN-1-0098</x:v>
      </x:c>
      <x:c r="B105" s="9" t="str">
        <x:v>일반</x:v>
      </x:c>
      <x:c r="C105" s="6" t="n">
        <x:v>1</x:v>
      </x:c>
      <x:c r="D105" s="6" t="n">
        <x:v>3124</x:v>
      </x:c>
      <x:c r="E105" s="6" t="n">
        <x:v>57</x:v>
      </x:c>
      <x:c r="F105" s="6" t="n">
        <x:f>C105*D105</x:f>
        <x:v>3124</x:v>
      </x:c>
      <x:c r="G105" s="6" t="n">
        <x:f>ROUND(F105*$M$4,0)</x:f>
        <x:v>312</x:v>
      </x:c>
      <x:c r="H105" s="6" t="n">
        <x:f>F105+G105</x:f>
        <x:v>3436</x:v>
      </x:c>
      <x:c r="I105" s="6" t="n">
        <x:f>H105-E105</x:f>
        <x:v>3379</x:v>
      </x:c>
      <x:c r="J105" s="6" t="n">
        <x:f>IFERROR(I105/C105,0)</x:f>
        <x:v>3379</x:v>
      </x:c>
      <x:c r="K105" s="2"/>
      <x:c r="L105" s="2"/>
      <x:c r="M105" s="2"/>
    </x:row>
    <x:row r="106" ht="22" customHeight="1">
      <x:c r="A106" s="9" t="str">
        <x:v>TXN-1-0099</x:v>
      </x:c>
      <x:c r="B106" s="9" t="str">
        <x:v>일반</x:v>
      </x:c>
      <x:c r="C106" s="6" t="n">
        <x:v>2</x:v>
      </x:c>
      <x:c r="D106" s="6" t="n">
        <x:v>3147</x:v>
      </x:c>
      <x:c r="E106" s="6" t="n">
        <x:v>76</x:v>
      </x:c>
      <x:c r="F106" s="6" t="n">
        <x:f>C106*D106</x:f>
        <x:v>6294</x:v>
      </x:c>
      <x:c r="G106" s="6" t="n">
        <x:f>ROUND(F106*$M$4,0)</x:f>
        <x:v>629</x:v>
      </x:c>
      <x:c r="H106" s="6" t="n">
        <x:f>F106+G106</x:f>
        <x:v>6923</x:v>
      </x:c>
      <x:c r="I106" s="6" t="n">
        <x:f>H106-E106</x:f>
        <x:v>6847</x:v>
      </x:c>
      <x:c r="J106" s="6" t="n">
        <x:f>IFERROR(I106/C106,0)</x:f>
        <x:v>3423.5</x:v>
      </x:c>
      <x:c r="K106" s="2"/>
      <x:c r="L106" s="2"/>
      <x:c r="M106" s="2"/>
    </x:row>
    <x:row r="107" ht="22" customHeight="1">
      <x:c r="A107" s="9" t="str">
        <x:v>TXN-1-0100</x:v>
      </x:c>
      <x:c r="B107" s="9" t="str">
        <x:v>일반</x:v>
      </x:c>
      <x:c r="C107" s="6" t="n">
        <x:v>3</x:v>
      </x:c>
      <x:c r="D107" s="6" t="n">
        <x:v>3170</x:v>
      </x:c>
      <x:c r="E107" s="6" t="n">
        <x:v>0</x:v>
      </x:c>
      <x:c r="F107" s="6" t="n">
        <x:f>C107*D107</x:f>
        <x:v>9510</x:v>
      </x:c>
      <x:c r="G107" s="6" t="n">
        <x:f>ROUND(F107*$M$4,0)</x:f>
        <x:v>951</x:v>
      </x:c>
      <x:c r="H107" s="6" t="n">
        <x:f>F107+G107</x:f>
        <x:v>10461</x:v>
      </x:c>
      <x:c r="I107" s="6" t="n">
        <x:f>H107-E107</x:f>
        <x:v>10461</x:v>
      </x:c>
      <x:c r="J107" s="6" t="n">
        <x:f>IFERROR(I107/C107,0)</x:f>
        <x:v>3487</x:v>
      </x:c>
      <x:c r="K107" s="2"/>
      <x:c r="L107" s="2"/>
      <x:c r="M107" s="2"/>
    </x:row>
    <x:row r="108" ht="22" customHeight="1">
      <x:c r="A108" s="9" t="str">
        <x:v>TXN-1-0101</x:v>
      </x:c>
      <x:c r="B108" s="9" t="str">
        <x:v>일반</x:v>
      </x:c>
      <x:c r="C108" s="6" t="n">
        <x:v>4</x:v>
      </x:c>
      <x:c r="D108" s="6" t="n">
        <x:v>3193</x:v>
      </x:c>
      <x:c r="E108" s="6" t="n">
        <x:v>19</x:v>
      </x:c>
      <x:c r="F108" s="6" t="n">
        <x:f>C108*D108</x:f>
        <x:v>12772</x:v>
      </x:c>
      <x:c r="G108" s="6" t="n">
        <x:f>ROUND(F108*$M$4,0)</x:f>
        <x:v>1277</x:v>
      </x:c>
      <x:c r="H108" s="6" t="n">
        <x:f>F108+G108</x:f>
        <x:v>14049</x:v>
      </x:c>
      <x:c r="I108" s="6" t="n">
        <x:f>H108-E108</x:f>
        <x:v>14030</x:v>
      </x:c>
      <x:c r="J108" s="6" t="n">
        <x:f>IFERROR(I108/C108,0)</x:f>
        <x:v>3507.5</x:v>
      </x:c>
      <x:c r="K108" s="2"/>
      <x:c r="L108" s="2"/>
      <x:c r="M108" s="2"/>
    </x:row>
    <x:row r="109" ht="22" customHeight="1">
      <x:c r="A109" s="9" t="str">
        <x:v>TXN-1-0102</x:v>
      </x:c>
      <x:c r="B109" s="9" t="str">
        <x:v>일반</x:v>
      </x:c>
      <x:c r="C109" s="6" t="n">
        <x:v>5</x:v>
      </x:c>
      <x:c r="D109" s="6" t="n">
        <x:v>3216</x:v>
      </x:c>
      <x:c r="E109" s="6" t="n">
        <x:v>38</x:v>
      </x:c>
      <x:c r="F109" s="6" t="n">
        <x:f>C109*D109</x:f>
        <x:v>16080</x:v>
      </x:c>
      <x:c r="G109" s="6" t="n">
        <x:f>ROUND(F109*$M$4,0)</x:f>
        <x:v>1608</x:v>
      </x:c>
      <x:c r="H109" s="6" t="n">
        <x:f>F109+G109</x:f>
        <x:v>17688</x:v>
      </x:c>
      <x:c r="I109" s="6" t="n">
        <x:f>H109-E109</x:f>
        <x:v>17650</x:v>
      </x:c>
      <x:c r="J109" s="6" t="n">
        <x:f>IFERROR(I109/C109,0)</x:f>
        <x:v>3530</x:v>
      </x:c>
      <x:c r="K109" s="2"/>
      <x:c r="L109" s="2"/>
      <x:c r="M109" s="2"/>
    </x:row>
    <x:row r="110" ht="22" customHeight="1">
      <x:c r="A110" s="9" t="str">
        <x:v>TXN-1-0103</x:v>
      </x:c>
      <x:c r="B110" s="9" t="str">
        <x:v>일반</x:v>
      </x:c>
      <x:c r="C110" s="6" t="n">
        <x:v>6</x:v>
      </x:c>
      <x:c r="D110" s="6" t="n">
        <x:v>3239</x:v>
      </x:c>
      <x:c r="E110" s="6" t="n">
        <x:v>57</x:v>
      </x:c>
      <x:c r="F110" s="6" t="n">
        <x:f>C110*D110</x:f>
        <x:v>19434</x:v>
      </x:c>
      <x:c r="G110" s="6" t="n">
        <x:f>ROUND(F110*$M$4,0)</x:f>
        <x:v>1943</x:v>
      </x:c>
      <x:c r="H110" s="6" t="n">
        <x:f>F110+G110</x:f>
        <x:v>21377</x:v>
      </x:c>
      <x:c r="I110" s="6" t="n">
        <x:f>H110-E110</x:f>
        <x:v>21320</x:v>
      </x:c>
      <x:c r="J110" s="6" t="n">
        <x:f>IFERROR(I110/C110,0)</x:f>
        <x:v>3553.3333333333335</x:v>
      </x:c>
      <x:c r="K110" s="2"/>
      <x:c r="L110" s="2"/>
      <x:c r="M110" s="2"/>
    </x:row>
    <x:row r="111" ht="22" customHeight="1">
      <x:c r="A111" s="9" t="str">
        <x:v>TXN-1-0104</x:v>
      </x:c>
      <x:c r="B111" s="9" t="str">
        <x:v>일반</x:v>
      </x:c>
      <x:c r="C111" s="6" t="n">
        <x:v>7</x:v>
      </x:c>
      <x:c r="D111" s="6" t="n">
        <x:v>3262</x:v>
      </x:c>
      <x:c r="E111" s="6" t="n">
        <x:v>76</x:v>
      </x:c>
      <x:c r="F111" s="6" t="n">
        <x:f>C111*D111</x:f>
        <x:v>22834</x:v>
      </x:c>
      <x:c r="G111" s="6" t="n">
        <x:f>ROUND(F111*$M$4,0)</x:f>
        <x:v>2283</x:v>
      </x:c>
      <x:c r="H111" s="6" t="n">
        <x:f>F111+G111</x:f>
        <x:v>25117</x:v>
      </x:c>
      <x:c r="I111" s="6" t="n">
        <x:f>H111-E111</x:f>
        <x:v>25041</x:v>
      </x:c>
      <x:c r="J111" s="6" t="n">
        <x:f>IFERROR(I111/C111,0)</x:f>
        <x:v>3577.285714285714</x:v>
      </x:c>
      <x:c r="K111" s="2"/>
      <x:c r="L111" s="2"/>
      <x:c r="M111" s="2"/>
    </x:row>
    <x:row r="112" ht="22" customHeight="1">
      <x:c r="A112" s="9" t="str">
        <x:v>TXN-1-0105</x:v>
      </x:c>
      <x:c r="B112" s="9" t="str">
        <x:v>일반</x:v>
      </x:c>
      <x:c r="C112" s="6" t="n">
        <x:v>1</x:v>
      </x:c>
      <x:c r="D112" s="6" t="n">
        <x:v>3285</x:v>
      </x:c>
      <x:c r="E112" s="6" t="n">
        <x:v>0</x:v>
      </x:c>
      <x:c r="F112" s="6" t="n">
        <x:f>C112*D112</x:f>
        <x:v>3285</x:v>
      </x:c>
      <x:c r="G112" s="6" t="n">
        <x:f>ROUND(F112*$M$4,0)</x:f>
        <x:v>329</x:v>
      </x:c>
      <x:c r="H112" s="6" t="n">
        <x:f>F112+G112</x:f>
        <x:v>3614</x:v>
      </x:c>
      <x:c r="I112" s="6" t="n">
        <x:f>H112-E112</x:f>
        <x:v>3614</x:v>
      </x:c>
      <x:c r="J112" s="6" t="n">
        <x:f>IFERROR(I112/C112,0)</x:f>
        <x:v>3614</x:v>
      </x:c>
      <x:c r="K112" s="2"/>
      <x:c r="L112" s="2"/>
      <x:c r="M112" s="2"/>
    </x:row>
    <x:row r="113" ht="22" customHeight="1">
      <x:c r="A113" s="9" t="str">
        <x:v>TXN-1-0106</x:v>
      </x:c>
      <x:c r="B113" s="9" t="str">
        <x:v>일반</x:v>
      </x:c>
      <x:c r="C113" s="6" t="n">
        <x:v>2</x:v>
      </x:c>
      <x:c r="D113" s="6" t="n">
        <x:v>3308</x:v>
      </x:c>
      <x:c r="E113" s="6" t="n">
        <x:v>19</x:v>
      </x:c>
      <x:c r="F113" s="6" t="n">
        <x:f>C113*D113</x:f>
        <x:v>6616</x:v>
      </x:c>
      <x:c r="G113" s="6" t="n">
        <x:f>ROUND(F113*$M$4,0)</x:f>
        <x:v>662</x:v>
      </x:c>
      <x:c r="H113" s="6" t="n">
        <x:f>F113+G113</x:f>
        <x:v>7278</x:v>
      </x:c>
      <x:c r="I113" s="6" t="n">
        <x:f>H113-E113</x:f>
        <x:v>7259</x:v>
      </x:c>
      <x:c r="J113" s="6" t="n">
        <x:f>IFERROR(I113/C113,0)</x:f>
        <x:v>3629.5</x:v>
      </x:c>
      <x:c r="K113" s="2"/>
      <x:c r="L113" s="2"/>
      <x:c r="M113" s="2"/>
    </x:row>
    <x:row r="114" ht="22" customHeight="1">
      <x:c r="A114" s="9" t="str">
        <x:v>TXN-1-0107</x:v>
      </x:c>
      <x:c r="B114" s="9" t="str">
        <x:v>일반</x:v>
      </x:c>
      <x:c r="C114" s="6" t="n">
        <x:v>3</x:v>
      </x:c>
      <x:c r="D114" s="6" t="n">
        <x:v>3331</x:v>
      </x:c>
      <x:c r="E114" s="6" t="n">
        <x:v>38</x:v>
      </x:c>
      <x:c r="F114" s="6" t="n">
        <x:f>C114*D114</x:f>
        <x:v>9993</x:v>
      </x:c>
      <x:c r="G114" s="6" t="n">
        <x:f>ROUND(F114*$M$4,0)</x:f>
        <x:v>999</x:v>
      </x:c>
      <x:c r="H114" s="6" t="n">
        <x:f>F114+G114</x:f>
        <x:v>10992</x:v>
      </x:c>
      <x:c r="I114" s="6" t="n">
        <x:f>H114-E114</x:f>
        <x:v>10954</x:v>
      </x:c>
      <x:c r="J114" s="6" t="n">
        <x:f>IFERROR(I114/C114,0)</x:f>
        <x:v>3651.3333333333335</x:v>
      </x:c>
      <x:c r="K114" s="2"/>
      <x:c r="L114" s="2"/>
      <x:c r="M114" s="2"/>
    </x:row>
    <x:row r="115" ht="22" customHeight="1">
      <x:c r="A115" s="9" t="str">
        <x:v>TXN-1-0108</x:v>
      </x:c>
      <x:c r="B115" s="9" t="str">
        <x:v>일반</x:v>
      </x:c>
      <x:c r="C115" s="6" t="n">
        <x:v>4</x:v>
      </x:c>
      <x:c r="D115" s="6" t="n">
        <x:v>3354</x:v>
      </x:c>
      <x:c r="E115" s="6" t="n">
        <x:v>57</x:v>
      </x:c>
      <x:c r="F115" s="6" t="n">
        <x:f>C115*D115</x:f>
        <x:v>13416</x:v>
      </x:c>
      <x:c r="G115" s="6" t="n">
        <x:f>ROUND(F115*$M$4,0)</x:f>
        <x:v>1342</x:v>
      </x:c>
      <x:c r="H115" s="6" t="n">
        <x:f>F115+G115</x:f>
        <x:v>14758</x:v>
      </x:c>
      <x:c r="I115" s="6" t="n">
        <x:f>H115-E115</x:f>
        <x:v>14701</x:v>
      </x:c>
      <x:c r="J115" s="6" t="n">
        <x:f>IFERROR(I115/C115,0)</x:f>
        <x:v>3675.25</x:v>
      </x:c>
      <x:c r="K115" s="2"/>
      <x:c r="L115" s="2"/>
      <x:c r="M115" s="2"/>
    </x:row>
    <x:row r="116" ht="22" customHeight="1">
      <x:c r="A116" s="9" t="str">
        <x:v>TXN-1-0109</x:v>
      </x:c>
      <x:c r="B116" s="9" t="str">
        <x:v>일반</x:v>
      </x:c>
      <x:c r="C116" s="6" t="n">
        <x:v>5</x:v>
      </x:c>
      <x:c r="D116" s="6" t="n">
        <x:v>3377</x:v>
      </x:c>
      <x:c r="E116" s="6" t="n">
        <x:v>76</x:v>
      </x:c>
      <x:c r="F116" s="6" t="n">
        <x:f>C116*D116</x:f>
        <x:v>16885</x:v>
      </x:c>
      <x:c r="G116" s="6" t="n">
        <x:f>ROUND(F116*$M$4,0)</x:f>
        <x:v>1689</x:v>
      </x:c>
      <x:c r="H116" s="6" t="n">
        <x:f>F116+G116</x:f>
        <x:v>18574</x:v>
      </x:c>
      <x:c r="I116" s="6" t="n">
        <x:f>H116-E116</x:f>
        <x:v>18498</x:v>
      </x:c>
      <x:c r="J116" s="6" t="n">
        <x:f>IFERROR(I116/C116,0)</x:f>
        <x:v>3699.6</x:v>
      </x:c>
      <x:c r="K116" s="2"/>
      <x:c r="L116" s="2"/>
      <x:c r="M116" s="2"/>
    </x:row>
    <x:row r="117" ht="22" customHeight="1">
      <x:c r="A117" s="9" t="str">
        <x:v>TXN-1-0110</x:v>
      </x:c>
      <x:c r="B117" s="9" t="str">
        <x:v>일반</x:v>
      </x:c>
      <x:c r="C117" s="6" t="n">
        <x:v>6</x:v>
      </x:c>
      <x:c r="D117" s="6" t="n">
        <x:v>3400</x:v>
      </x:c>
      <x:c r="E117" s="6" t="n">
        <x:v>0</x:v>
      </x:c>
      <x:c r="F117" s="6" t="n">
        <x:f>C117*D117</x:f>
        <x:v>20400</x:v>
      </x:c>
      <x:c r="G117" s="6" t="n">
        <x:f>ROUND(F117*$M$4,0)</x:f>
        <x:v>2040</x:v>
      </x:c>
      <x:c r="H117" s="6" t="n">
        <x:f>F117+G117</x:f>
        <x:v>22440</x:v>
      </x:c>
      <x:c r="I117" s="6" t="n">
        <x:f>H117-E117</x:f>
        <x:v>22440</x:v>
      </x:c>
      <x:c r="J117" s="6" t="n">
        <x:f>IFERROR(I117/C117,0)</x:f>
        <x:v>3740</x:v>
      </x:c>
      <x:c r="K117" s="2"/>
      <x:c r="L117" s="2"/>
      <x:c r="M117" s="2"/>
    </x:row>
    <x:row r="118" ht="22" customHeight="1">
      <x:c r="A118" s="9" t="str">
        <x:v>TXN-1-0111</x:v>
      </x:c>
      <x:c r="B118" s="9" t="str">
        <x:v>일반</x:v>
      </x:c>
      <x:c r="C118" s="6" t="n">
        <x:v>7</x:v>
      </x:c>
      <x:c r="D118" s="6" t="n">
        <x:v>3423</x:v>
      </x:c>
      <x:c r="E118" s="6" t="n">
        <x:v>19</x:v>
      </x:c>
      <x:c r="F118" s="6" t="n">
        <x:f>C118*D118</x:f>
        <x:v>23961</x:v>
      </x:c>
      <x:c r="G118" s="6" t="n">
        <x:f>ROUND(F118*$M$4,0)</x:f>
        <x:v>2396</x:v>
      </x:c>
      <x:c r="H118" s="6" t="n">
        <x:f>SUM(F118:F118)</x:f>
        <x:v>23961</x:v>
      </x:c>
      <x:c r="I118" s="6" t="n">
        <x:f>H118-E118</x:f>
        <x:v>23942</x:v>
      </x:c>
      <x:c r="J118" s="6" t="n">
        <x:f>IFERROR(I118/C118,0)</x:f>
        <x:v>3420.285714285714</x:v>
      </x:c>
      <x:c r="K118" s="2"/>
      <x:c r="L118" s="2"/>
      <x:c r="M118" s="2"/>
    </x:row>
    <x:row r="119" ht="22" customHeight="1">
      <x:c r="A119" s="9" t="str">
        <x:v>TXN-1-0112</x:v>
      </x:c>
      <x:c r="B119" s="9" t="str">
        <x:v>일반</x:v>
      </x:c>
      <x:c r="C119" s="6" t="n">
        <x:v>1</x:v>
      </x:c>
      <x:c r="D119" s="6" t="n">
        <x:v>3446</x:v>
      </x:c>
      <x:c r="E119" s="6" t="n">
        <x:v>38</x:v>
      </x:c>
      <x:c r="F119" s="6" t="n">
        <x:f>C119*D119</x:f>
        <x:v>3446</x:v>
      </x:c>
      <x:c r="G119" s="6" t="n">
        <x:f>ROUND(F119*$M$4,0)</x:f>
        <x:v>345</x:v>
      </x:c>
      <x:c r="H119" s="6" t="n">
        <x:f>F119+G119</x:f>
        <x:v>3791</x:v>
      </x:c>
      <x:c r="I119" s="6" t="n">
        <x:f>H119-E119</x:f>
        <x:v>3753</x:v>
      </x:c>
      <x:c r="J119" s="6" t="n">
        <x:f>IFERROR(I119/C119,0)</x:f>
        <x:v>3753</x:v>
      </x:c>
      <x:c r="K119" s="2"/>
      <x:c r="L119" s="2"/>
      <x:c r="M119" s="2"/>
    </x:row>
    <x:row r="120" ht="22" customHeight="1">
      <x:c r="A120" s="9" t="str">
        <x:v>TXN-1-0113</x:v>
      </x:c>
      <x:c r="B120" s="9" t="str">
        <x:v>수동 조정</x:v>
      </x:c>
      <x:c r="C120" s="6" t="n">
        <x:v>2</x:v>
      </x:c>
      <x:c r="D120" s="6" t="n">
        <x:v>3469</x:v>
      </x:c>
      <x:c r="E120" s="6" t="n">
        <x:v>57</x:v>
      </x:c>
      <x:c r="F120" s="6" t="n">
        <x:f>C120*D120</x:f>
        <x:v>6938</x:v>
      </x:c>
      <x:c r="G120" s="6" t="n">
        <x:f>ROUND(F120*$M$4,0)</x:f>
        <x:v>694</x:v>
      </x:c>
      <x:c r="H120" s="6" t="n">
        <x:f>F120+G120</x:f>
        <x:v>7632</x:v>
      </x:c>
      <x:c r="I120" s="6" t="n">
        <x:f>H120-E120</x:f>
        <x:v>7575</x:v>
      </x:c>
      <x:c r="J120" s="6" t="n">
        <x:f>IFERROR(I120/C120,0)</x:f>
        <x:v>3787.5</x:v>
      </x:c>
      <x:c r="K120" s="2"/>
      <x:c r="L120" s="2"/>
      <x:c r="M120" s="2"/>
    </x:row>
    <x:row r="121" ht="22" customHeight="1">
      <x:c r="A121" s="9" t="str">
        <x:v>TXN-1-0114</x:v>
      </x:c>
      <x:c r="B121" s="9" t="str">
        <x:v>일반</x:v>
      </x:c>
      <x:c r="C121" s="6" t="n">
        <x:v>3</x:v>
      </x:c>
      <x:c r="D121" s="6" t="n">
        <x:v>3492</x:v>
      </x:c>
      <x:c r="E121" s="6" t="n">
        <x:v>76</x:v>
      </x:c>
      <x:c r="F121" s="6" t="n">
        <x:f>C121*D121</x:f>
        <x:v>10476</x:v>
      </x:c>
      <x:c r="G121" s="6" t="n">
        <x:f>ROUND(F121*$M$4,0)</x:f>
        <x:v>1048</x:v>
      </x:c>
      <x:c r="H121" s="6" t="n">
        <x:f>F121+G121</x:f>
        <x:v>11524</x:v>
      </x:c>
      <x:c r="I121" s="6" t="n">
        <x:f>H121-E121</x:f>
        <x:v>11448</x:v>
      </x:c>
      <x:c r="J121" s="6" t="n">
        <x:f>IFERROR(I121/C121,0)</x:f>
        <x:v>3816</x:v>
      </x:c>
      <x:c r="K121" s="2"/>
      <x:c r="L121" s="2"/>
      <x:c r="M121" s="2"/>
    </x:row>
    <x:row r="122" ht="22" customHeight="1">
      <x:c r="A122" s="9" t="str">
        <x:v>TXN-1-0115</x:v>
      </x:c>
      <x:c r="B122" s="9" t="str">
        <x:v>일반</x:v>
      </x:c>
      <x:c r="C122" s="6" t="n">
        <x:v>4</x:v>
      </x:c>
      <x:c r="D122" s="6" t="n">
        <x:v>3515</x:v>
      </x:c>
      <x:c r="E122" s="6" t="n">
        <x:v>0</x:v>
      </x:c>
      <x:c r="F122" s="6" t="n">
        <x:f>C122*D122</x:f>
        <x:v>14060</x:v>
      </x:c>
      <x:c r="G122" s="6" t="n">
        <x:f>ROUND(F122*$M$4,0)</x:f>
        <x:v>1406</x:v>
      </x:c>
      <x:c r="H122" s="6" t="n">
        <x:f>F122+G122</x:f>
        <x:v>15466</x:v>
      </x:c>
      <x:c r="I122" s="6" t="n">
        <x:f>H122-E122</x:f>
        <x:v>15466</x:v>
      </x:c>
      <x:c r="J122" s="6" t="n">
        <x:f>IFERROR(I122/C122,0)</x:f>
        <x:v>3866.5</x:v>
      </x:c>
      <x:c r="K122" s="2"/>
      <x:c r="L122" s="2"/>
      <x:c r="M122" s="2"/>
    </x:row>
    <x:row r="123" ht="22" customHeight="1">
      <x:c r="A123" s="9" t="str">
        <x:v>TXN-1-0116</x:v>
      </x:c>
      <x:c r="B123" s="9" t="str">
        <x:v>일반</x:v>
      </x:c>
      <x:c r="C123" s="6" t="n">
        <x:v>5</x:v>
      </x:c>
      <x:c r="D123" s="6" t="n">
        <x:v>3538</x:v>
      </x:c>
      <x:c r="E123" s="6" t="n">
        <x:v>19</x:v>
      </x:c>
      <x:c r="F123" s="6" t="n">
        <x:f>C123*D123</x:f>
        <x:v>17690</x:v>
      </x:c>
      <x:c r="G123" s="6" t="n">
        <x:f>ROUND(F123*$M$4,0)</x:f>
        <x:v>1769</x:v>
      </x:c>
      <x:c r="H123" s="6" t="n">
        <x:f>F123+G123</x:f>
        <x:v>19459</x:v>
      </x:c>
      <x:c r="I123" s="6" t="n">
        <x:f>H123-E123</x:f>
        <x:v>19440</x:v>
      </x:c>
      <x:c r="J123" s="6" t="n">
        <x:f>IFERROR(I123/C123,0)</x:f>
        <x:v>3888</x:v>
      </x:c>
      <x:c r="K123" s="2"/>
      <x:c r="L123" s="2"/>
      <x:c r="M123" s="2"/>
    </x:row>
    <x:row r="124" ht="22" customHeight="1">
      <x:c r="A124" s="9" t="str">
        <x:v>TXN-1-0117</x:v>
      </x:c>
      <x:c r="B124" s="9" t="str">
        <x:v>일반</x:v>
      </x:c>
      <x:c r="C124" s="6" t="n">
        <x:v>6</x:v>
      </x:c>
      <x:c r="D124" s="6" t="n">
        <x:v>3561</x:v>
      </x:c>
      <x:c r="E124" s="6" t="n">
        <x:v>38</x:v>
      </x:c>
      <x:c r="F124" s="6" t="n">
        <x:f>C124*D124</x:f>
        <x:v>21366</x:v>
      </x:c>
      <x:c r="G124" s="6" t="n">
        <x:f>ROUND(F124*$M$4,0)</x:f>
        <x:v>2137</x:v>
      </x:c>
      <x:c r="H124" s="6" t="n">
        <x:f>F124+G124</x:f>
        <x:v>23503</x:v>
      </x:c>
      <x:c r="I124" s="6" t="n">
        <x:f>H124-E124</x:f>
        <x:v>23465</x:v>
      </x:c>
      <x:c r="J124" s="6" t="n">
        <x:f>IFERROR(I124/C124,0)</x:f>
        <x:v>3910.8333333333335</x:v>
      </x:c>
      <x:c r="K124" s="2"/>
      <x:c r="L124" s="2"/>
      <x:c r="M124" s="2"/>
    </x:row>
    <x:row r="125" ht="22" customHeight="1">
      <x:c r="A125" s="9" t="str">
        <x:v>TXN-1-0118</x:v>
      </x:c>
      <x:c r="B125" s="9" t="str">
        <x:v>일반</x:v>
      </x:c>
      <x:c r="C125" s="6" t="n">
        <x:v>7</x:v>
      </x:c>
      <x:c r="D125" s="6" t="n">
        <x:v>3584</x:v>
      </x:c>
      <x:c r="E125" s="6" t="n">
        <x:v>57</x:v>
      </x:c>
      <x:c r="F125" s="6" t="n">
        <x:f>C125*D125</x:f>
        <x:v>25088</x:v>
      </x:c>
      <x:c r="G125" s="6" t="n">
        <x:f>ROUND(F125*$M$4,0)</x:f>
        <x:v>2509</x:v>
      </x:c>
      <x:c r="H125" s="6" t="n">
        <x:f>F125+G125</x:f>
        <x:v>27597</x:v>
      </x:c>
      <x:c r="I125" s="6" t="n">
        <x:f>H125-E125</x:f>
        <x:v>27540</x:v>
      </x:c>
      <x:c r="J125" s="6" t="n">
        <x:f>IFERROR(I125/C125,0)</x:f>
        <x:v>3934.285714285714</x:v>
      </x:c>
      <x:c r="K125" s="2"/>
      <x:c r="L125" s="2"/>
      <x:c r="M125" s="2"/>
    </x:row>
    <x:row r="126" ht="22" customHeight="1">
      <x:c r="A126" s="9" t="str">
        <x:v>TXN-1-0119</x:v>
      </x:c>
      <x:c r="B126" s="9" t="str">
        <x:v>일반</x:v>
      </x:c>
      <x:c r="C126" s="6" t="n">
        <x:v>1</x:v>
      </x:c>
      <x:c r="D126" s="6" t="n">
        <x:v>3607</x:v>
      </x:c>
      <x:c r="E126" s="6" t="n">
        <x:v>76</x:v>
      </x:c>
      <x:c r="F126" s="6" t="n">
        <x:f>C126*D126</x:f>
        <x:v>3607</x:v>
      </x:c>
      <x:c r="G126" s="6" t="n">
        <x:f>ROUND(F126*$M$4,0)</x:f>
        <x:v>361</x:v>
      </x:c>
      <x:c r="H126" s="6" t="n">
        <x:f>F126+G126</x:f>
        <x:v>3968</x:v>
      </x:c>
      <x:c r="I126" s="6" t="n">
        <x:f>H126-E126</x:f>
        <x:v>3892</x:v>
      </x:c>
      <x:c r="J126" s="6" t="n">
        <x:f>IFERROR(I126/C126,0)</x:f>
        <x:v>3892</x:v>
      </x:c>
      <x:c r="K126" s="2"/>
      <x:c r="L126" s="2"/>
      <x:c r="M126" s="2"/>
    </x:row>
    <x:row r="127" ht="22" customHeight="1">
      <x:c r="A127" s="9" t="str">
        <x:v>TXN-1-0120</x:v>
      </x:c>
      <x:c r="B127" s="9" t="str">
        <x:v>일반</x:v>
      </x:c>
      <x:c r="C127" s="6" t="n">
        <x:v>2</x:v>
      </x:c>
      <x:c r="D127" s="6" t="n">
        <x:v>3630</x:v>
      </x:c>
      <x:c r="E127" s="6" t="n">
        <x:v>0</x:v>
      </x:c>
      <x:c r="F127" s="6" t="n">
        <x:f>C127*D127</x:f>
        <x:v>7260</x:v>
      </x:c>
      <x:c r="G127" s="6" t="n">
        <x:f>ROUND(F127*$M$4,0)</x:f>
        <x:v>726</x:v>
      </x:c>
      <x:c r="H127" s="6" t="n">
        <x:f>F127+G127</x:f>
        <x:v>7986</x:v>
      </x:c>
      <x:c r="I127" s="6" t="n">
        <x:f>H127-E127</x:f>
        <x:v>7986</x:v>
      </x:c>
      <x:c r="J127" s="6" t="n">
        <x:f>IFERROR(I127/C127,0)</x:f>
        <x:v>3993</x:v>
      </x:c>
      <x:c r="K127" s="2"/>
      <x:c r="L127" s="2"/>
      <x:c r="M127" s="2"/>
    </x:row>
    <x:row r="128" ht="22" customHeight="1">
      <x:c r="A128" s="9" t="str">
        <x:v>TXN-1-0121</x:v>
      </x:c>
      <x:c r="B128" s="9" t="str">
        <x:v>일반</x:v>
      </x:c>
      <x:c r="C128" s="6" t="n">
        <x:v>3</x:v>
      </x:c>
      <x:c r="D128" s="6" t="n">
        <x:v>3653</x:v>
      </x:c>
      <x:c r="E128" s="6" t="n">
        <x:v>19</x:v>
      </x:c>
      <x:c r="F128" s="6" t="n">
        <x:f>C128*D128</x:f>
        <x:v>10959</x:v>
      </x:c>
      <x:c r="G128" s="6" t="n">
        <x:f>ROUND(F128*$M$4,0)</x:f>
        <x:v>1096</x:v>
      </x:c>
      <x:c r="H128" s="6" t="n">
        <x:f>F128+G128</x:f>
        <x:v>12055</x:v>
      </x:c>
      <x:c r="I128" s="6" t="n">
        <x:f>H128-E128</x:f>
        <x:v>12036</x:v>
      </x:c>
      <x:c r="J128" s="6" t="n">
        <x:f>IFERROR(I128/C128,0)</x:f>
        <x:v>4012</x:v>
      </x:c>
      <x:c r="K128" s="2"/>
      <x:c r="L128" s="2"/>
      <x:c r="M128" s="2"/>
    </x:row>
    <x:row r="129" ht="22" customHeight="1">
      <x:c r="A129" s="9" t="str">
        <x:v>TXN-1-0122</x:v>
      </x:c>
      <x:c r="B129" s="9" t="str">
        <x:v>일반</x:v>
      </x:c>
      <x:c r="C129" s="6" t="n">
        <x:v>4</x:v>
      </x:c>
      <x:c r="D129" s="6" t="n">
        <x:v>3676</x:v>
      </x:c>
      <x:c r="E129" s="6" t="n">
        <x:v>38</x:v>
      </x:c>
      <x:c r="F129" s="6" t="n">
        <x:f>C129*D129</x:f>
        <x:v>14704</x:v>
      </x:c>
      <x:c r="G129" s="6" t="n">
        <x:f>ROUND(F129*$M$4,0)</x:f>
        <x:v>1470</x:v>
      </x:c>
      <x:c r="H129" s="6" t="n">
        <x:f>F129+G129</x:f>
        <x:v>16174</x:v>
      </x:c>
      <x:c r="I129" s="6" t="n">
        <x:f>H129-E129</x:f>
        <x:v>16136</x:v>
      </x:c>
      <x:c r="J129" s="6" t="n">
        <x:f>IFERROR(I129/C129,0)</x:f>
        <x:v>4034</x:v>
      </x:c>
      <x:c r="K129" s="2"/>
      <x:c r="L129" s="2"/>
      <x:c r="M129" s="2"/>
    </x:row>
    <x:row r="130" ht="22" customHeight="1">
      <x:c r="A130" s="9" t="str">
        <x:v>TXN-1-0123</x:v>
      </x:c>
      <x:c r="B130" s="9" t="str">
        <x:v>일반</x:v>
      </x:c>
      <x:c r="C130" s="6" t="n">
        <x:v>5</x:v>
      </x:c>
      <x:c r="D130" s="6" t="n">
        <x:v>3699</x:v>
      </x:c>
      <x:c r="E130" s="6" t="n">
        <x:v>57</x:v>
      </x:c>
      <x:c r="F130" s="6" t="n">
        <x:f>C130*D130</x:f>
        <x:v>18495</x:v>
      </x:c>
      <x:c r="G130" s="6" t="n">
        <x:f>ROUND(F130*$M$4,0)</x:f>
        <x:v>1850</x:v>
      </x:c>
      <x:c r="H130" s="6" t="n">
        <x:f>F130+G130</x:f>
        <x:v>20345</x:v>
      </x:c>
      <x:c r="I130" s="6" t="n">
        <x:f>H130-E130</x:f>
        <x:v>20288</x:v>
      </x:c>
      <x:c r="J130" s="6" t="n">
        <x:f>IFERROR(I130/C130,0)</x:f>
        <x:v>4057.6</x:v>
      </x:c>
      <x:c r="K130" s="2"/>
      <x:c r="L130" s="2"/>
      <x:c r="M130" s="2"/>
    </x:row>
    <x:row r="131" ht="22" customHeight="1">
      <x:c r="A131" s="9" t="str">
        <x:v>TXN-1-0124</x:v>
      </x:c>
      <x:c r="B131" s="9" t="str">
        <x:v>일반</x:v>
      </x:c>
      <x:c r="C131" s="6" t="n">
        <x:v>6</x:v>
      </x:c>
      <x:c r="D131" s="6" t="n">
        <x:v>3722</x:v>
      </x:c>
      <x:c r="E131" s="6" t="n">
        <x:v>76</x:v>
      </x:c>
      <x:c r="F131" s="6" t="n">
        <x:f>C131*D131</x:f>
        <x:v>22332</x:v>
      </x:c>
      <x:c r="G131" s="6" t="n">
        <x:f>ROUND(F131*$M$4,0)</x:f>
        <x:v>2233</x:v>
      </x:c>
      <x:c r="H131" s="6" t="n">
        <x:f>F131+G131</x:f>
        <x:v>24565</x:v>
      </x:c>
      <x:c r="I131" s="6" t="n">
        <x:f>H131-E131</x:f>
        <x:v>24489</x:v>
      </x:c>
      <x:c r="J131" s="6" t="n">
        <x:f>IFERROR(I131/C131,0)</x:f>
        <x:v>4081.5</x:v>
      </x:c>
      <x:c r="K131" s="2"/>
      <x:c r="L131" s="2"/>
      <x:c r="M131" s="2"/>
    </x:row>
    <x:row r="132" ht="22" customHeight="1">
      <x:c r="A132" s="9" t="str">
        <x:v>TXN-1-0125</x:v>
      </x:c>
      <x:c r="B132" s="9" t="str">
        <x:v>일반</x:v>
      </x:c>
      <x:c r="C132" s="6" t="n">
        <x:v>7</x:v>
      </x:c>
      <x:c r="D132" s="6" t="n">
        <x:v>3745</x:v>
      </x:c>
      <x:c r="E132" s="6" t="n">
        <x:v>0</x:v>
      </x:c>
      <x:c r="F132" s="6" t="n">
        <x:f>C132*D132</x:f>
        <x:v>26215</x:v>
      </x:c>
      <x:c r="G132" s="6" t="n">
        <x:f>ROUND(F132*$M$4,0)</x:f>
        <x:v>2622</x:v>
      </x:c>
      <x:c r="H132" s="6" t="n">
        <x:f>F132+G132</x:f>
        <x:v>28837</x:v>
      </x:c>
      <x:c r="I132" s="6" t="n">
        <x:f>H132-E132</x:f>
        <x:v>28837</x:v>
      </x:c>
      <x:c r="J132" s="6" t="n">
        <x:f>IFERROR(I132/C132,0)</x:f>
        <x:v>4119.571428571428</x:v>
      </x:c>
      <x:c r="K132" s="2"/>
      <x:c r="L132" s="2"/>
      <x:c r="M132" s="2"/>
    </x:row>
    <x:row r="133" ht="22" customHeight="1">
      <x:c r="A133" s="9" t="str">
        <x:v>TXN-1-0126</x:v>
      </x:c>
      <x:c r="B133" s="9" t="str">
        <x:v>일반</x:v>
      </x:c>
      <x:c r="C133" s="6" t="n">
        <x:v>1</x:v>
      </x:c>
      <x:c r="D133" s="6" t="n">
        <x:v>3768</x:v>
      </x:c>
      <x:c r="E133" s="6" t="n">
        <x:v>19</x:v>
      </x:c>
      <x:c r="F133" s="6" t="n">
        <x:f>C133*D133</x:f>
        <x:v>3768</x:v>
      </x:c>
      <x:c r="G133" s="6" t="n">
        <x:f>ROUND(F133*$M$4,0)</x:f>
        <x:v>377</x:v>
      </x:c>
      <x:c r="H133" s="6" t="n">
        <x:f>F133+G133</x:f>
        <x:v>4145</x:v>
      </x:c>
      <x:c r="I133" s="6" t="n">
        <x:f>H133-E133</x:f>
        <x:v>4126</x:v>
      </x:c>
      <x:c r="J133" s="6" t="n">
        <x:f>IFERROR(I133/C133,0)</x:f>
        <x:v>4126</x:v>
      </x:c>
      <x:c r="K133" s="2"/>
      <x:c r="L133" s="2"/>
      <x:c r="M133" s="2"/>
    </x:row>
    <x:row r="134" ht="22" customHeight="1">
      <x:c r="A134" s="9" t="str">
        <x:v>TXN-1-0127</x:v>
      </x:c>
      <x:c r="B134" s="9" t="str">
        <x:v>일반</x:v>
      </x:c>
      <x:c r="C134" s="6" t="n">
        <x:v>2</x:v>
      </x:c>
      <x:c r="D134" s="6" t="n">
        <x:v>3791</x:v>
      </x:c>
      <x:c r="E134" s="6" t="n">
        <x:v>38</x:v>
      </x:c>
      <x:c r="F134" s="6" t="n">
        <x:f>C134*D134</x:f>
        <x:v>7582</x:v>
      </x:c>
      <x:c r="G134" s="6" t="n">
        <x:f>ROUND(F134*$M$4,0)</x:f>
        <x:v>758</x:v>
      </x:c>
      <x:c r="H134" s="6" t="n">
        <x:f>F134+G134</x:f>
        <x:v>8340</x:v>
      </x:c>
      <x:c r="I134" s="6" t="n">
        <x:f>H134-E134</x:f>
        <x:v>8302</x:v>
      </x:c>
      <x:c r="J134" s="6" t="n">
        <x:f>IFERROR(I134/C134,0)</x:f>
        <x:v>4151</x:v>
      </x:c>
      <x:c r="K134" s="2"/>
      <x:c r="L134" s="2"/>
      <x:c r="M134" s="2"/>
    </x:row>
    <x:row r="135" ht="22" customHeight="1">
      <x:c r="A135" s="9" t="str">
        <x:v>TXN-1-0128</x:v>
      </x:c>
      <x:c r="B135" s="9" t="str">
        <x:v>일반</x:v>
      </x:c>
      <x:c r="C135" s="6" t="n">
        <x:v>3</x:v>
      </x:c>
      <x:c r="D135" s="6" t="n">
        <x:v>3814</x:v>
      </x:c>
      <x:c r="E135" s="6" t="n">
        <x:v>57</x:v>
      </x:c>
      <x:c r="F135" s="6" t="n">
        <x:f>C135*D135</x:f>
        <x:v>11442</x:v>
      </x:c>
      <x:c r="G135" s="6" t="n">
        <x:f>ROUND(F135*$M$4,0)</x:f>
        <x:v>1144</x:v>
      </x:c>
      <x:c r="H135" s="6" t="n">
        <x:f>F135+G135</x:f>
        <x:v>12586</x:v>
      </x:c>
      <x:c r="I135" s="6" t="n">
        <x:f>H135-E135</x:f>
        <x:v>12529</x:v>
      </x:c>
      <x:c r="J135" s="6" t="n">
        <x:f>IFERROR(I135/C135,0)</x:f>
        <x:v>4176.333333333333</x:v>
      </x:c>
      <x:c r="K135" s="2"/>
      <x:c r="L135" s="2"/>
      <x:c r="M135" s="2"/>
    </x:row>
    <x:row r="136" ht="22" customHeight="1">
      <x:c r="A136" s="9" t="str">
        <x:v>TXN-1-0129</x:v>
      </x:c>
      <x:c r="B136" s="9" t="str">
        <x:v>일반</x:v>
      </x:c>
      <x:c r="C136" s="6" t="n">
        <x:v>4</x:v>
      </x:c>
      <x:c r="D136" s="6" t="n">
        <x:v>3837</x:v>
      </x:c>
      <x:c r="E136" s="6" t="n">
        <x:v>76</x:v>
      </x:c>
      <x:c r="F136" s="6" t="n">
        <x:f>C136*D136</x:f>
        <x:v>15348</x:v>
      </x:c>
      <x:c r="G136" s="6" t="n">
        <x:f>ROUND(F136*$M$4,0)</x:f>
        <x:v>1535</x:v>
      </x:c>
      <x:c r="H136" s="6" t="n">
        <x:f>F136+G136</x:f>
        <x:v>16883</x:v>
      </x:c>
      <x:c r="I136" s="6" t="n">
        <x:f>H136-E136</x:f>
        <x:v>16807</x:v>
      </x:c>
      <x:c r="J136" s="6" t="n">
        <x:f>IFERROR(I136/C136,0)</x:f>
        <x:v>4201.75</x:v>
      </x:c>
      <x:c r="K136" s="2"/>
      <x:c r="L136" s="2"/>
      <x:c r="M136" s="2"/>
    </x:row>
    <x:row r="137" ht="22" customHeight="1">
      <x:c r="A137" s="9" t="str">
        <x:v>TXN-1-0130</x:v>
      </x:c>
      <x:c r="B137" s="9" t="str">
        <x:v>일반</x:v>
      </x:c>
      <x:c r="C137" s="6" t="n">
        <x:v>5</x:v>
      </x:c>
      <x:c r="D137" s="6" t="n">
        <x:v>3860</x:v>
      </x:c>
      <x:c r="E137" s="6" t="n">
        <x:v>0</x:v>
      </x:c>
      <x:c r="F137" s="6" t="n">
        <x:f>C137*D137</x:f>
        <x:v>19300</x:v>
      </x:c>
      <x:c r="G137" s="6" t="n">
        <x:f>ROUND(F137*$M$4,0)</x:f>
        <x:v>1930</x:v>
      </x:c>
      <x:c r="H137" s="6" t="n">
        <x:f>F137+G137</x:f>
        <x:v>21230</x:v>
      </x:c>
      <x:c r="I137" s="6" t="n">
        <x:f>H137-E137</x:f>
        <x:v>21230</x:v>
      </x:c>
      <x:c r="J137" s="6" t="n">
        <x:f>IFERROR(I137/C137,0)</x:f>
        <x:v>4246</x:v>
      </x:c>
      <x:c r="K137" s="2"/>
      <x:c r="L137" s="2"/>
      <x:c r="M137" s="2"/>
    </x:row>
    <x:row r="138" ht="22" customHeight="1">
      <x:c r="A138" s="9" t="str">
        <x:v>TXN-1-0131</x:v>
      </x:c>
      <x:c r="B138" s="9" t="str">
        <x:v>일반</x:v>
      </x:c>
      <x:c r="C138" s="6" t="n">
        <x:v>6</x:v>
      </x:c>
      <x:c r="D138" s="6" t="n">
        <x:v>3883</x:v>
      </x:c>
      <x:c r="E138" s="6" t="n">
        <x:v>19</x:v>
      </x:c>
      <x:c r="F138" s="6" t="n">
        <x:f>C138*D138</x:f>
        <x:v>23298</x:v>
      </x:c>
      <x:c r="G138" s="6" t="n">
        <x:f>ROUND(F138*$M$4,0)</x:f>
        <x:v>2330</x:v>
      </x:c>
      <x:c r="H138" s="6" t="n">
        <x:f>F138+G138</x:f>
        <x:v>25628</x:v>
      </x:c>
      <x:c r="I138" s="6" t="n">
        <x:f>H138-E138</x:f>
        <x:v>25609</x:v>
      </x:c>
      <x:c r="J138" s="6" t="n">
        <x:f>IFERROR(I138/C138,0)</x:f>
        <x:v>4268.166666666667</x:v>
      </x:c>
      <x:c r="K138" s="2"/>
      <x:c r="L138" s="2"/>
      <x:c r="M138" s="2"/>
    </x:row>
    <x:row r="139" ht="22" customHeight="1">
      <x:c r="A139" s="9" t="str">
        <x:v>TXN-1-0132</x:v>
      </x:c>
      <x:c r="B139" s="9" t="str">
        <x:v>일반</x:v>
      </x:c>
      <x:c r="C139" s="6" t="n">
        <x:v>7</x:v>
      </x:c>
      <x:c r="D139" s="6" t="n">
        <x:v>3906</x:v>
      </x:c>
      <x:c r="E139" s="6" t="n">
        <x:v>38</x:v>
      </x:c>
      <x:c r="F139" s="6" t="n">
        <x:f>C139*D139</x:f>
        <x:v>27342</x:v>
      </x:c>
      <x:c r="G139" s="6" t="n">
        <x:f>ROUND(F139*$M$4,0)</x:f>
        <x:v>2734</x:v>
      </x:c>
      <x:c r="H139" s="6" t="n">
        <x:f>F139+G139</x:f>
        <x:v>30076</x:v>
      </x:c>
      <x:c r="I139" s="6" t="n">
        <x:f>H139-E139</x:f>
        <x:v>30038</x:v>
      </x:c>
      <x:c r="J139" s="6" t="n">
        <x:f>IFERROR(I139/C139,0)</x:f>
        <x:v>4291.142857142857</x:v>
      </x:c>
      <x:c r="K139" s="2"/>
      <x:c r="L139" s="2"/>
      <x:c r="M139" s="2"/>
    </x:row>
    <x:row r="140" ht="22" customHeight="1">
      <x:c r="A140" s="9" t="str">
        <x:v>TXN-1-0133</x:v>
      </x:c>
      <x:c r="B140" s="9" t="str">
        <x:v>일반</x:v>
      </x:c>
      <x:c r="C140" s="6" t="n">
        <x:v>1</x:v>
      </x:c>
      <x:c r="D140" s="6" t="n">
        <x:v>3929</x:v>
      </x:c>
      <x:c r="E140" s="6" t="n">
        <x:v>57</x:v>
      </x:c>
      <x:c r="F140" s="6" t="n">
        <x:f>C140*D140</x:f>
        <x:v>3929</x:v>
      </x:c>
      <x:c r="G140" s="6" t="n">
        <x:f>ROUND(F140*$M$4,0)</x:f>
        <x:v>393</x:v>
      </x:c>
      <x:c r="H140" s="6" t="n">
        <x:f>F140+G140</x:f>
        <x:v>4322</x:v>
      </x:c>
      <x:c r="I140" s="6" t="n">
        <x:f>H140-E140</x:f>
        <x:v>4265</x:v>
      </x:c>
      <x:c r="J140" s="6" t="n">
        <x:f>IFERROR(I140/C140,0)</x:f>
        <x:v>4265</x:v>
      </x:c>
      <x:c r="K140" s="2"/>
      <x:c r="L140" s="2"/>
      <x:c r="M140" s="2"/>
    </x:row>
    <x:row r="141" ht="22" customHeight="1">
      <x:c r="A141" s="9" t="str">
        <x:v>TXN-1-0134</x:v>
      </x:c>
      <x:c r="B141" s="9" t="str">
        <x:v>일반</x:v>
      </x:c>
      <x:c r="C141" s="6" t="n">
        <x:v>2</x:v>
      </x:c>
      <x:c r="D141" s="6" t="n">
        <x:v>3952</x:v>
      </x:c>
      <x:c r="E141" s="6" t="n">
        <x:v>76</x:v>
      </x:c>
      <x:c r="F141" s="6" t="n">
        <x:f>C141*D141</x:f>
        <x:v>7904</x:v>
      </x:c>
      <x:c r="G141" s="6" t="n">
        <x:f>ROUND(F141*$M$4,0)</x:f>
        <x:v>790</x:v>
      </x:c>
      <x:c r="H141" s="6" t="n">
        <x:f>F141+G141</x:f>
        <x:v>8694</x:v>
      </x:c>
      <x:c r="I141" s="6" t="n">
        <x:f>H141-E141</x:f>
        <x:v>8618</x:v>
      </x:c>
      <x:c r="J141" s="6" t="n">
        <x:f>IFERROR(I141/C141,0)</x:f>
        <x:v>4309</x:v>
      </x:c>
      <x:c r="K141" s="2"/>
      <x:c r="L141" s="2"/>
      <x:c r="M141" s="2"/>
    </x:row>
    <x:row r="142" ht="22" customHeight="1">
      <x:c r="A142" s="9" t="str">
        <x:v>TXN-1-0135</x:v>
      </x:c>
      <x:c r="B142" s="9" t="str">
        <x:v>일반</x:v>
      </x:c>
      <x:c r="C142" s="6" t="n">
        <x:v>3</x:v>
      </x:c>
      <x:c r="D142" s="6" t="n">
        <x:v>3975</x:v>
      </x:c>
      <x:c r="E142" s="6" t="n">
        <x:v>0</x:v>
      </x:c>
      <x:c r="F142" s="6" t="n">
        <x:f>C142*D142</x:f>
        <x:v>11925</x:v>
      </x:c>
      <x:c r="G142" s="6" t="n">
        <x:f>ROUND(F142*$M$4,0)</x:f>
        <x:v>1193</x:v>
      </x:c>
      <x:c r="H142" s="6" t="n">
        <x:f>F142+G142</x:f>
        <x:v>13118</x:v>
      </x:c>
      <x:c r="I142" s="6" t="n">
        <x:f>H142-E142</x:f>
        <x:v>13118</x:v>
      </x:c>
      <x:c r="J142" s="6" t="n">
        <x:f>IFERROR(I142/C142,0)</x:f>
        <x:v>4372.666666666667</x:v>
      </x:c>
      <x:c r="K142" s="2"/>
      <x:c r="L142" s="2"/>
      <x:c r="M142" s="2"/>
    </x:row>
    <x:row r="143" ht="22" customHeight="1">
      <x:c r="A143" s="9" t="str">
        <x:v>TXN-1-0136</x:v>
      </x:c>
      <x:c r="B143" s="9" t="str">
        <x:v>일반</x:v>
      </x:c>
      <x:c r="C143" s="6" t="n">
        <x:v>4</x:v>
      </x:c>
      <x:c r="D143" s="6" t="n">
        <x:v>3998</x:v>
      </x:c>
      <x:c r="E143" s="6" t="n">
        <x:v>19</x:v>
      </x:c>
      <x:c r="F143" s="6" t="n">
        <x:f>C143*D143</x:f>
        <x:v>15992</x:v>
      </x:c>
      <x:c r="G143" s="6" t="n">
        <x:f>ROUND(F143*$M$4,0)</x:f>
        <x:v>1599</x:v>
      </x:c>
      <x:c r="H143" s="6" t="n">
        <x:f>F143+G143</x:f>
        <x:v>17591</x:v>
      </x:c>
      <x:c r="I143" s="6" t="n">
        <x:f>H143-E143</x:f>
        <x:v>17572</x:v>
      </x:c>
      <x:c r="J143" s="6" t="n">
        <x:f>IFERROR(I143/C143,0)</x:f>
        <x:v>4393</x:v>
      </x:c>
      <x:c r="K143" s="2"/>
      <x:c r="L143" s="2"/>
      <x:c r="M143" s="2"/>
    </x:row>
    <x:row r="144" ht="22" customHeight="1">
      <x:c r="A144" s="9" t="str">
        <x:v>TXN-1-0137</x:v>
      </x:c>
      <x:c r="B144" s="9" t="str">
        <x:v>일반</x:v>
      </x:c>
      <x:c r="C144" s="6" t="n">
        <x:v>5</x:v>
      </x:c>
      <x:c r="D144" s="6" t="n">
        <x:v>4021</x:v>
      </x:c>
      <x:c r="E144" s="6" t="n">
        <x:v>38</x:v>
      </x:c>
      <x:c r="F144" s="6" t="n">
        <x:f>C144*D144</x:f>
        <x:v>20105</x:v>
      </x:c>
      <x:c r="G144" s="6" t="n">
        <x:f>ROUND(F144*$M$4,0)</x:f>
        <x:v>2011</x:v>
      </x:c>
      <x:c r="H144" s="6" t="n">
        <x:f>F144+G144</x:f>
        <x:v>22116</x:v>
      </x:c>
      <x:c r="I144" s="6" t="n">
        <x:f>H144-E144</x:f>
        <x:v>22078</x:v>
      </x:c>
      <x:c r="J144" s="6" t="n">
        <x:f>IFERROR(I144/C144,0)</x:f>
        <x:v>4415.6</x:v>
      </x:c>
      <x:c r="K144" s="2"/>
      <x:c r="L144" s="2"/>
      <x:c r="M144" s="2"/>
    </x:row>
    <x:row r="145" ht="22" customHeight="1">
      <x:c r="A145" s="9" t="str">
        <x:v>TXN-1-0138</x:v>
      </x:c>
      <x:c r="B145" s="9" t="str">
        <x:v>일반</x:v>
      </x:c>
      <x:c r="C145" s="6" t="n">
        <x:v>6</x:v>
      </x:c>
      <x:c r="D145" s="6" t="n">
        <x:v>4044</x:v>
      </x:c>
      <x:c r="E145" s="6" t="n">
        <x:v>57</x:v>
      </x:c>
      <x:c r="F145" s="6" t="n">
        <x:f>C145*D145</x:f>
        <x:v>24264</x:v>
      </x:c>
      <x:c r="G145" s="6" t="n">
        <x:f>ROUND(F145*$M$4,0)</x:f>
        <x:v>2426</x:v>
      </x:c>
      <x:c r="H145" s="6" t="n">
        <x:f>F145+G145</x:f>
        <x:v>26690</x:v>
      </x:c>
      <x:c r="I145" s="6"/>
      <x:c r="J145" s="6" t="n">
        <x:f>IFERROR(I145/C145,0)</x:f>
        <x:v>0</x:v>
      </x:c>
      <x:c r="K145" s="2"/>
      <x:c r="L145" s="2"/>
      <x:c r="M145" s="2"/>
    </x:row>
    <x:row r="146" ht="22" customHeight="1">
      <x:c r="A146" s="9" t="str">
        <x:v>TXN-1-0139</x:v>
      </x:c>
      <x:c r="B146" s="9" t="str">
        <x:v>일반</x:v>
      </x:c>
      <x:c r="C146" s="6" t="n">
        <x:v>7</x:v>
      </x:c>
      <x:c r="D146" s="6" t="n">
        <x:v>4067</x:v>
      </x:c>
      <x:c r="E146" s="6" t="n">
        <x:v>76</x:v>
      </x:c>
      <x:c r="F146" s="6" t="n">
        <x:f>C146*D146</x:f>
        <x:v>28469</x:v>
      </x:c>
      <x:c r="G146" s="6" t="n">
        <x:f>ROUND(F146*$M$4,0)</x:f>
        <x:v>2847</x:v>
      </x:c>
      <x:c r="H146" s="6" t="n">
        <x:f>F146+G146</x:f>
        <x:v>31316</x:v>
      </x:c>
      <x:c r="I146" s="6" t="n">
        <x:f>H146-E146</x:f>
        <x:v>31240</x:v>
      </x:c>
      <x:c r="J146" s="6" t="n">
        <x:f>IFERROR(I146/C146,0)</x:f>
        <x:v>4462.857142857143</x:v>
      </x:c>
      <x:c r="K146" s="2"/>
      <x:c r="L146" s="2"/>
      <x:c r="M146" s="2"/>
    </x:row>
    <x:row r="147" ht="22" customHeight="1">
      <x:c r="A147" s="9" t="str">
        <x:v>TXN-1-0140</x:v>
      </x:c>
      <x:c r="B147" s="9" t="str">
        <x:v>일반</x:v>
      </x:c>
      <x:c r="C147" s="6" t="n">
        <x:v>1</x:v>
      </x:c>
      <x:c r="D147" s="6" t="n">
        <x:v>4090</x:v>
      </x:c>
      <x:c r="E147" s="6" t="n">
        <x:v>0</x:v>
      </x:c>
      <x:c r="F147" s="6" t="n">
        <x:f>C147*D147</x:f>
        <x:v>4090</x:v>
      </x:c>
      <x:c r="G147" s="6" t="n">
        <x:f>ROUND(F147*$M$4,0)</x:f>
        <x:v>409</x:v>
      </x:c>
      <x:c r="H147" s="6" t="n">
        <x:f>F147+G147</x:f>
        <x:v>4499</x:v>
      </x:c>
      <x:c r="I147" s="6" t="n">
        <x:f>H147-E147</x:f>
        <x:v>4499</x:v>
      </x:c>
      <x:c r="J147" s="6" t="n">
        <x:f>IFERROR(I147/C147,0)</x:f>
        <x:v>4499</x:v>
      </x:c>
      <x:c r="K147" s="2"/>
      <x:c r="L147" s="2"/>
      <x:c r="M147" s="2"/>
    </x:row>
    <x:row r="148" ht="22" customHeight="1">
      <x:c r="A148" s="9" t="str">
        <x:v>TXN-1-0141</x:v>
      </x:c>
      <x:c r="B148" s="9" t="str">
        <x:v>일반</x:v>
      </x:c>
      <x:c r="C148" s="6" t="n">
        <x:v>2</x:v>
      </x:c>
      <x:c r="D148" s="6" t="n">
        <x:v>4113</x:v>
      </x:c>
      <x:c r="E148" s="6" t="n">
        <x:v>19</x:v>
      </x:c>
      <x:c r="F148" s="6" t="n">
        <x:f>C148*D148</x:f>
        <x:v>8226</x:v>
      </x:c>
      <x:c r="G148" s="6" t="n">
        <x:f>ROUND(F148*$M$4,0)</x:f>
        <x:v>823</x:v>
      </x:c>
      <x:c r="H148" s="6" t="n">
        <x:f>F148+G148</x:f>
        <x:v>9049</x:v>
      </x:c>
      <x:c r="I148" s="6" t="n">
        <x:f>H148-E148</x:f>
        <x:v>9030</x:v>
      </x:c>
      <x:c r="J148" s="6" t="n">
        <x:f>IFERROR(I148/C148,0)</x:f>
        <x:v>4515</x:v>
      </x:c>
      <x:c r="K148" s="2"/>
      <x:c r="L148" s="2"/>
      <x:c r="M148" s="2"/>
    </x:row>
    <x:row r="149" ht="22" customHeight="1">
      <x:c r="A149" s="9" t="str">
        <x:v>TXN-1-0142</x:v>
      </x:c>
      <x:c r="B149" s="9" t="str">
        <x:v>일반</x:v>
      </x:c>
      <x:c r="C149" s="6" t="n">
        <x:v>3</x:v>
      </x:c>
      <x:c r="D149" s="6" t="n">
        <x:v>4136</x:v>
      </x:c>
      <x:c r="E149" s="6" t="n">
        <x:v>38</x:v>
      </x:c>
      <x:c r="F149" s="6" t="n">
        <x:f>C149*D149</x:f>
        <x:v>12408</x:v>
      </x:c>
      <x:c r="G149" s="6" t="n">
        <x:f>ROUND(F149*$M$4,0)</x:f>
        <x:v>1241</x:v>
      </x:c>
      <x:c r="H149" s="6" t="n">
        <x:f>F149+G149</x:f>
        <x:v>13649</x:v>
      </x:c>
      <x:c r="I149" s="6" t="n">
        <x:f>H149-E149</x:f>
        <x:v>13611</x:v>
      </x:c>
      <x:c r="J149" s="6" t="n">
        <x:f>IFERROR(I149/C149,0)</x:f>
        <x:v>4537</x:v>
      </x:c>
      <x:c r="K149" s="2"/>
      <x:c r="L149" s="2"/>
      <x:c r="M149" s="2"/>
    </x:row>
    <x:row r="150" ht="22" customHeight="1">
      <x:c r="A150" s="9" t="str">
        <x:v>TXN-1-0143</x:v>
      </x:c>
      <x:c r="B150" s="9" t="str">
        <x:v>일반</x:v>
      </x:c>
      <x:c r="C150" s="6" t="n">
        <x:v>4</x:v>
      </x:c>
      <x:c r="D150" s="6" t="n">
        <x:v>4159</x:v>
      </x:c>
      <x:c r="E150" s="6" t="n">
        <x:v>57</x:v>
      </x:c>
      <x:c r="F150" s="6" t="n">
        <x:f>C150*D150</x:f>
        <x:v>16636</x:v>
      </x:c>
      <x:c r="G150" s="6" t="n">
        <x:f>ROUND(F150*$M$4,0)</x:f>
        <x:v>1664</x:v>
      </x:c>
      <x:c r="H150" s="6" t="n">
        <x:f>F150+G150</x:f>
        <x:v>18300</x:v>
      </x:c>
      <x:c r="I150" s="6" t="n">
        <x:f>H150-E150</x:f>
        <x:v>18243</x:v>
      </x:c>
      <x:c r="J150" s="6" t="n">
        <x:f>IFERROR(I150/C150,0)</x:f>
        <x:v>4560.75</x:v>
      </x:c>
      <x:c r="K150" s="2"/>
      <x:c r="L150" s="2"/>
      <x:c r="M150" s="2"/>
    </x:row>
    <x:row r="151" ht="22" customHeight="1">
      <x:c r="A151" s="9" t="str">
        <x:v>TXN-1-0144</x:v>
      </x:c>
      <x:c r="B151" s="9" t="str">
        <x:v>일반</x:v>
      </x:c>
      <x:c r="C151" s="6" t="n">
        <x:v>5</x:v>
      </x:c>
      <x:c r="D151" s="6" t="n">
        <x:v>4182</x:v>
      </x:c>
      <x:c r="E151" s="6" t="n">
        <x:v>76</x:v>
      </x:c>
      <x:c r="F151" s="6" t="n">
        <x:f>C151*D151</x:f>
        <x:v>20910</x:v>
      </x:c>
      <x:c r="G151" s="6" t="n">
        <x:f>ROUND(F151*$M$4,0)</x:f>
        <x:v>2091</x:v>
      </x:c>
      <x:c r="H151" s="6" t="n">
        <x:f>F151+G151</x:f>
        <x:v>23001</x:v>
      </x:c>
      <x:c r="I151" s="6" t="n">
        <x:f>H151-E151</x:f>
        <x:v>22925</x:v>
      </x:c>
      <x:c r="J151" s="6" t="n">
        <x:f>IFERROR(I151/C151,0)</x:f>
        <x:v>4585</x:v>
      </x:c>
      <x:c r="K151" s="2"/>
      <x:c r="L151" s="2"/>
      <x:c r="M151" s="2"/>
    </x:row>
    <x:row r="152" ht="22" customHeight="1">
      <x:c r="A152" s="9" t="str">
        <x:v>TXN-1-0145</x:v>
      </x:c>
      <x:c r="B152" s="9" t="str">
        <x:v>일반</x:v>
      </x:c>
      <x:c r="C152" s="6" t="n">
        <x:v>6</x:v>
      </x:c>
      <x:c r="D152" s="6" t="n">
        <x:v>4205</x:v>
      </x:c>
      <x:c r="E152" s="6" t="n">
        <x:v>0</x:v>
      </x:c>
      <x:c r="F152" s="6" t="n">
        <x:f>C152*D152</x:f>
        <x:v>25230</x:v>
      </x:c>
      <x:c r="G152" s="6" t="n">
        <x:f>ROUND(F152*$M$4,0)</x:f>
        <x:v>2523</x:v>
      </x:c>
      <x:c r="H152" s="6" t="n">
        <x:f>F152+G152</x:f>
        <x:v>27753</x:v>
      </x:c>
      <x:c r="I152" s="6" t="n">
        <x:f>H152-E152</x:f>
        <x:v>27753</x:v>
      </x:c>
      <x:c r="J152" s="6" t="n">
        <x:f>IFERROR(I152/C152,0)</x:f>
        <x:v>4625.5</x:v>
      </x:c>
      <x:c r="K152" s="2"/>
      <x:c r="L152" s="2"/>
      <x:c r="M152" s="2"/>
    </x:row>
    <x:row r="153" ht="22" customHeight="1">
      <x:c r="A153" s="9" t="str">
        <x:v>TXN-1-0146</x:v>
      </x:c>
      <x:c r="B153" s="9" t="str">
        <x:v>일반</x:v>
      </x:c>
      <x:c r="C153" s="6" t="n">
        <x:v>7</x:v>
      </x:c>
      <x:c r="D153" s="6" t="n">
        <x:v>4228</x:v>
      </x:c>
      <x:c r="E153" s="6" t="n">
        <x:v>19</x:v>
      </x:c>
      <x:c r="F153" s="6" t="n">
        <x:f>C153*D153</x:f>
        <x:v>29596</x:v>
      </x:c>
      <x:c r="G153" s="6" t="n">
        <x:f>ROUND(F153*$M$4,0)</x:f>
        <x:v>2960</x:v>
      </x:c>
      <x:c r="H153" s="6" t="n">
        <x:f>F153+G153</x:f>
        <x:v>32556</x:v>
      </x:c>
      <x:c r="I153" s="6" t="n">
        <x:f>H153-E153</x:f>
        <x:v>32537</x:v>
      </x:c>
      <x:c r="J153" s="6" t="n">
        <x:f>IFERROR(I153/C153,0)</x:f>
        <x:v>4648.142857142857</x:v>
      </x:c>
      <x:c r="K153" s="2"/>
      <x:c r="L153" s="2"/>
      <x:c r="M153" s="2"/>
    </x:row>
    <x:row r="154" ht="22" customHeight="1">
      <x:c r="A154" s="9" t="str">
        <x:v>TXN-1-0147</x:v>
      </x:c>
      <x:c r="B154" s="9" t="str">
        <x:v>일반</x:v>
      </x:c>
      <x:c r="C154" s="6" t="n">
        <x:v>1</x:v>
      </x:c>
      <x:c r="D154" s="6" t="n">
        <x:v>4251</x:v>
      </x:c>
      <x:c r="E154" s="6" t="n">
        <x:v>38</x:v>
      </x:c>
      <x:c r="F154" s="6" t="n">
        <x:f>C154*D154</x:f>
        <x:v>4251</x:v>
      </x:c>
      <x:c r="G154" s="6" t="n">
        <x:f>ROUND(F154*$M$4,0)</x:f>
        <x:v>425</x:v>
      </x:c>
      <x:c r="H154" s="6" t="n">
        <x:f>F154+G154</x:f>
        <x:v>4676</x:v>
      </x:c>
      <x:c r="I154" s="6" t="n">
        <x:f>H154-E154</x:f>
        <x:v>4638</x:v>
      </x:c>
      <x:c r="J154" s="6" t="n">
        <x:f>IFERROR(I154/C154,0)</x:f>
        <x:v>4638</x:v>
      </x:c>
      <x:c r="K154" s="2"/>
      <x:c r="L154" s="2"/>
      <x:c r="M154" s="2"/>
    </x:row>
    <x:row r="155" ht="22" customHeight="1">
      <x:c r="A155" s="9" t="str">
        <x:v>TXN-1-0148</x:v>
      </x:c>
      <x:c r="B155" s="9" t="str">
        <x:v>일반</x:v>
      </x:c>
      <x:c r="C155" s="6" t="n">
        <x:v>2</x:v>
      </x:c>
      <x:c r="D155" s="6" t="n">
        <x:v>4274</x:v>
      </x:c>
      <x:c r="E155" s="6" t="n">
        <x:v>57</x:v>
      </x:c>
      <x:c r="F155" s="6" t="n">
        <x:f>C155*D155</x:f>
        <x:v>8548</x:v>
      </x:c>
      <x:c r="G155" s="6" t="n">
        <x:f>ROUND(F155*$M$4,0)</x:f>
        <x:v>855</x:v>
      </x:c>
      <x:c r="H155" s="6" t="n">
        <x:f>F155+G155</x:f>
        <x:v>9403</x:v>
      </x:c>
      <x:c r="I155" s="6" t="n">
        <x:f>H155-E155</x:f>
        <x:v>9346</x:v>
      </x:c>
      <x:c r="J155" s="6" t="n">
        <x:f>IFERROR(I155/C155,0)</x:f>
        <x:v>4673</x:v>
      </x:c>
      <x:c r="K155" s="2"/>
      <x:c r="L155" s="2"/>
      <x:c r="M155" s="2"/>
    </x:row>
    <x:row r="156" ht="22" customHeight="1">
      <x:c r="A156" s="9" t="str">
        <x:v>TXN-1-0149</x:v>
      </x:c>
      <x:c r="B156" s="9" t="str">
        <x:v>일반</x:v>
      </x:c>
      <x:c r="C156" s="6" t="n">
        <x:v>3</x:v>
      </x:c>
      <x:c r="D156" s="6" t="n">
        <x:v>4297</x:v>
      </x:c>
      <x:c r="E156" s="6" t="n">
        <x:v>76</x:v>
      </x:c>
      <x:c r="F156" s="6" t="n">
        <x:f>C156*D156</x:f>
        <x:v>12891</x:v>
      </x:c>
      <x:c r="G156" s="6" t="n">
        <x:f>ROUND(F156*$M$4,0)</x:f>
        <x:v>1289</x:v>
      </x:c>
      <x:c r="H156" s="6" t="n">
        <x:f>F156+G156</x:f>
        <x:v>14180</x:v>
      </x:c>
      <x:c r="I156" s="6" t="n">
        <x:f>H156-E156</x:f>
        <x:v>14104</x:v>
      </x:c>
      <x:c r="J156" s="6" t="n">
        <x:f>IFERROR(I156/C156,0)</x:f>
        <x:v>4701.333333333333</x:v>
      </x:c>
      <x:c r="K156" s="2"/>
      <x:c r="L156" s="2"/>
      <x:c r="M156" s="2"/>
    </x:row>
    <x:row r="157" ht="22" customHeight="1">
      <x:c r="A157" s="9" t="str">
        <x:v>TXN-1-0150</x:v>
      </x:c>
      <x:c r="B157" s="9" t="str">
        <x:v>일반</x:v>
      </x:c>
      <x:c r="C157" s="6" t="n">
        <x:v>4</x:v>
      </x:c>
      <x:c r="D157" s="6" t="n">
        <x:v>4320</x:v>
      </x:c>
      <x:c r="E157" s="6" t="n">
        <x:v>0</x:v>
      </x:c>
      <x:c r="F157" s="6" t="n">
        <x:f>C157*D157</x:f>
        <x:v>17280</x:v>
      </x:c>
      <x:c r="G157" s="6" t="n">
        <x:f>ROUND(F157*$M$4,0)</x:f>
        <x:v>1728</x:v>
      </x:c>
      <x:c r="H157" s="6" t="n">
        <x:f>F157+G157</x:f>
        <x:v>19008</x:v>
      </x:c>
      <x:c r="I157" s="6" t="n">
        <x:f>H157-E157</x:f>
        <x:v>19008</x:v>
      </x:c>
      <x:c r="J157" s="6" t="n">
        <x:f>IFERROR(I157/C157,0)</x:f>
        <x:v>4752</x:v>
      </x:c>
      <x:c r="K157" s="2"/>
      <x:c r="L157" s="2"/>
      <x:c r="M157" s="2"/>
    </x:row>
    <x:row r="158" ht="22" customHeight="1">
      <x:c r="A158" s="9" t="str">
        <x:v>TXN-1-0151</x:v>
      </x:c>
      <x:c r="B158" s="9" t="str">
        <x:v>일반</x:v>
      </x:c>
      <x:c r="C158" s="6" t="n">
        <x:v>5</x:v>
      </x:c>
      <x:c r="D158" s="6" t="n">
        <x:v>4343</x:v>
      </x:c>
      <x:c r="E158" s="6" t="n">
        <x:v>19</x:v>
      </x:c>
      <x:c r="F158" s="6" t="n">
        <x:f>C158*D158</x:f>
        <x:v>21715</x:v>
      </x:c>
      <x:c r="G158" s="6" t="n">
        <x:f>ROUND(F158*$M$4,0)</x:f>
        <x:v>2172</x:v>
      </x:c>
      <x:c r="H158" s="6" t="n">
        <x:f>F158+G158</x:f>
        <x:v>23887</x:v>
      </x:c>
      <x:c r="I158" s="6" t="n">
        <x:f>H158-E158</x:f>
        <x:v>23868</x:v>
      </x:c>
      <x:c r="J158" s="6" t="n">
        <x:f>IFERROR(I158/C158,0)</x:f>
        <x:v>4773.6</x:v>
      </x:c>
      <x:c r="K158" s="2"/>
      <x:c r="L158" s="2"/>
      <x:c r="M158" s="2"/>
    </x:row>
    <x:row r="159" ht="22" customHeight="1">
      <x:c r="A159" s="9" t="str">
        <x:v>TXN-1-0152</x:v>
      </x:c>
      <x:c r="B159" s="9" t="str">
        <x:v>일반</x:v>
      </x:c>
      <x:c r="C159" s="6" t="n">
        <x:v>6</x:v>
      </x:c>
      <x:c r="D159" s="6" t="n">
        <x:v>4366</x:v>
      </x:c>
      <x:c r="E159" s="6" t="n">
        <x:v>38</x:v>
      </x:c>
      <x:c r="F159" s="6" t="n">
        <x:f>C159*D159</x:f>
        <x:v>26196</x:v>
      </x:c>
      <x:c r="G159" s="6" t="n">
        <x:f>ROUND(F159*$M$4,0)</x:f>
        <x:v>2620</x:v>
      </x:c>
      <x:c r="H159" s="6" t="n">
        <x:f>F159+G159</x:f>
        <x:v>28816</x:v>
      </x:c>
      <x:c r="I159" s="6" t="n">
        <x:f>H159-E159</x:f>
        <x:v>28778</x:v>
      </x:c>
      <x:c r="J159" s="6" t="n">
        <x:f>IFERROR(I159/C159,0)</x:f>
        <x:v>4796.333333333333</x:v>
      </x:c>
      <x:c r="K159" s="2"/>
      <x:c r="L159" s="2"/>
      <x:c r="M159" s="2"/>
    </x:row>
    <x:row r="160" ht="22" customHeight="1">
      <x:c r="A160" s="9" t="str">
        <x:v>TXN-1-0153</x:v>
      </x:c>
      <x:c r="B160" s="9" t="str">
        <x:v>일반</x:v>
      </x:c>
      <x:c r="C160" s="6" t="n">
        <x:v>7</x:v>
      </x:c>
      <x:c r="D160" s="6" t="n">
        <x:v>4389</x:v>
      </x:c>
      <x:c r="E160" s="6" t="n">
        <x:v>57</x:v>
      </x:c>
      <x:c r="F160" s="6" t="n">
        <x:f>C160*D160</x:f>
        <x:v>30723</x:v>
      </x:c>
      <x:c r="G160" s="6" t="n">
        <x:f>ROUND(F160*$M$4,0)</x:f>
        <x:v>3072</x:v>
      </x:c>
      <x:c r="H160" s="6" t="n">
        <x:f>F160+G160</x:f>
        <x:v>33795</x:v>
      </x:c>
      <x:c r="I160" s="6" t="n">
        <x:f>H160-E160</x:f>
        <x:v>33738</x:v>
      </x:c>
      <x:c r="J160" s="6" t="n">
        <x:f>IFERROR(I160/C160,0)</x:f>
        <x:v>4819.714285714285</x:v>
      </x:c>
      <x:c r="K160" s="2"/>
      <x:c r="L160" s="2"/>
      <x:c r="M160" s="2"/>
    </x:row>
    <x:row r="161" ht="22" customHeight="1">
      <x:c r="A161" s="9" t="str">
        <x:v>TXN-1-0154</x:v>
      </x:c>
      <x:c r="B161" s="9" t="str">
        <x:v>일반</x:v>
      </x:c>
      <x:c r="C161" s="6" t="n">
        <x:v>1</x:v>
      </x:c>
      <x:c r="D161" s="6" t="n">
        <x:v>4412</x:v>
      </x:c>
      <x:c r="E161" s="6" t="n">
        <x:v>76</x:v>
      </x:c>
      <x:c r="F161" s="6" t="n">
        <x:f>C161*D161</x:f>
        <x:v>4412</x:v>
      </x:c>
      <x:c r="G161" s="6" t="n">
        <x:f>ROUND(F161*$M$4,0)</x:f>
        <x:v>441</x:v>
      </x:c>
      <x:c r="H161" s="6" t="n">
        <x:f>F161+G161</x:f>
        <x:v>4853</x:v>
      </x:c>
      <x:c r="I161" s="6" t="n">
        <x:f>H161-E161</x:f>
        <x:v>4777</x:v>
      </x:c>
      <x:c r="J161" s="6" t="n">
        <x:f>IFERROR(I161/C161,0)</x:f>
        <x:v>4777</x:v>
      </x:c>
      <x:c r="K161" s="2"/>
      <x:c r="L161" s="2"/>
      <x:c r="M161" s="2"/>
    </x:row>
    <x:row r="162" ht="22" customHeight="1">
      <x:c r="A162" s="9" t="str">
        <x:v>TXN-1-0155</x:v>
      </x:c>
      <x:c r="B162" s="9" t="str">
        <x:v>일반</x:v>
      </x:c>
      <x:c r="C162" s="6" t="n">
        <x:v>2</x:v>
      </x:c>
      <x:c r="D162" s="6" t="n">
        <x:v>4435</x:v>
      </x:c>
      <x:c r="E162" s="6" t="n">
        <x:v>0</x:v>
      </x:c>
      <x:c r="F162" s="6" t="n">
        <x:f>C162*D162</x:f>
        <x:v>8870</x:v>
      </x:c>
      <x:c r="G162" s="6" t="n">
        <x:f>ROUND(F162*$M$4,0)</x:f>
        <x:v>887</x:v>
      </x:c>
      <x:c r="H162" s="6" t="n">
        <x:f>F162+G162</x:f>
        <x:v>9757</x:v>
      </x:c>
      <x:c r="I162" s="6" t="n">
        <x:f>H162-E162</x:f>
        <x:v>9757</x:v>
      </x:c>
      <x:c r="J162" s="6" t="n">
        <x:f>IFERROR(I162/C162,0)</x:f>
        <x:v>4878.5</x:v>
      </x:c>
      <x:c r="K162" s="2"/>
      <x:c r="L162" s="2"/>
      <x:c r="M162" s="2"/>
    </x:row>
    <x:row r="163" ht="22" customHeight="1">
      <x:c r="A163" s="9" t="str">
        <x:v>TXN-1-0156</x:v>
      </x:c>
      <x:c r="B163" s="9" t="str">
        <x:v>일반</x:v>
      </x:c>
      <x:c r="C163" s="6" t="n">
        <x:v>3</x:v>
      </x:c>
      <x:c r="D163" s="6" t="n">
        <x:v>4458</x:v>
      </x:c>
      <x:c r="E163" s="6" t="n">
        <x:v>19</x:v>
      </x:c>
      <x:c r="F163" s="6" t="n">
        <x:f>C163*D163</x:f>
        <x:v>13374</x:v>
      </x:c>
      <x:c r="G163" s="6" t="n">
        <x:f>ROUND(F163*$M$4,0)</x:f>
        <x:v>1337</x:v>
      </x:c>
      <x:c r="H163" s="6" t="n">
        <x:f>F163+G163</x:f>
        <x:v>14711</x:v>
      </x:c>
      <x:c r="I163" s="6" t="n">
        <x:f>H163-E163</x:f>
        <x:v>14692</x:v>
      </x:c>
      <x:c r="J163" s="6" t="n">
        <x:f>IFERROR(I163/C163,0)</x:f>
        <x:v>4897.333333333333</x:v>
      </x:c>
      <x:c r="K163" s="2"/>
      <x:c r="L163" s="2"/>
      <x:c r="M163" s="2"/>
    </x:row>
    <x:row r="164" ht="22" customHeight="1">
      <x:c r="A164" s="9" t="str">
        <x:v>TXN-1-0157</x:v>
      </x:c>
      <x:c r="B164" s="9" t="str">
        <x:v>일반</x:v>
      </x:c>
      <x:c r="C164" s="6" t="n">
        <x:v>4</x:v>
      </x:c>
      <x:c r="D164" s="6" t="n">
        <x:v>4481</x:v>
      </x:c>
      <x:c r="E164" s="6" t="n">
        <x:v>38</x:v>
      </x:c>
      <x:c r="F164" s="6" t="n">
        <x:f>C164*D164</x:f>
        <x:v>17924</x:v>
      </x:c>
      <x:c r="G164" s="6" t="n">
        <x:f>ROUND(F164*$M$4,0)</x:f>
        <x:v>1792</x:v>
      </x:c>
      <x:c r="H164" s="6" t="n">
        <x:f>F164+G164</x:f>
        <x:v>19716</x:v>
      </x:c>
      <x:c r="I164" s="6" t="n">
        <x:f>H164-E164</x:f>
        <x:v>19678</x:v>
      </x:c>
      <x:c r="J164" s="6" t="n">
        <x:f>IFERROR(I164/C164,0)</x:f>
        <x:v>4919.5</x:v>
      </x:c>
      <x:c r="K164" s="2"/>
      <x:c r="L164" s="2"/>
      <x:c r="M164" s="2"/>
    </x:row>
    <x:row r="165" ht="22" customHeight="1">
      <x:c r="A165" s="9" t="str">
        <x:v>TXN-1-0158</x:v>
      </x:c>
      <x:c r="B165" s="9" t="str">
        <x:v>일반</x:v>
      </x:c>
      <x:c r="C165" s="6" t="n">
        <x:v>5</x:v>
      </x:c>
      <x:c r="D165" s="6" t="n">
        <x:v>4504</x:v>
      </x:c>
      <x:c r="E165" s="6" t="n">
        <x:v>57</x:v>
      </x:c>
      <x:c r="F165" s="6" t="n">
        <x:f>C165*D165</x:f>
        <x:v>22520</x:v>
      </x:c>
      <x:c r="G165" s="6" t="n">
        <x:f>ROUND(F165*$M$4,0)</x:f>
        <x:v>2252</x:v>
      </x:c>
      <x:c r="H165" s="6" t="n">
        <x:f>F165+G165</x:f>
        <x:v>24772</x:v>
      </x:c>
      <x:c r="I165" s="6" t="n">
        <x:f>H165-E165</x:f>
        <x:v>24715</x:v>
      </x:c>
      <x:c r="J165" s="6" t="n">
        <x:f>IFERROR(I165/C165,0)</x:f>
        <x:v>4943</x:v>
      </x:c>
      <x:c r="K165" s="2"/>
      <x:c r="L165" s="2"/>
      <x:c r="M165" s="2"/>
    </x:row>
    <x:row r="166" ht="22" customHeight="1">
      <x:c r="A166" s="9" t="str">
        <x:v>TXN-1-0159</x:v>
      </x:c>
      <x:c r="B166" s="9" t="str">
        <x:v>일반</x:v>
      </x:c>
      <x:c r="C166" s="6" t="n">
        <x:v>6</x:v>
      </x:c>
      <x:c r="D166" s="6" t="n">
        <x:v>4527</x:v>
      </x:c>
      <x:c r="E166" s="6" t="n">
        <x:v>76</x:v>
      </x:c>
      <x:c r="F166" s="6" t="n">
        <x:f>C166*D166</x:f>
        <x:v>27162</x:v>
      </x:c>
      <x:c r="G166" s="6" t="n">
        <x:f>ROUND(F166*$M$4,0)</x:f>
        <x:v>2716</x:v>
      </x:c>
      <x:c r="H166" s="6" t="n">
        <x:f>F166+G166</x:f>
        <x:v>29878</x:v>
      </x:c>
      <x:c r="I166" s="6" t="n">
        <x:f>H166-E166</x:f>
        <x:v>29802</x:v>
      </x:c>
      <x:c r="J166" s="6" t="n">
        <x:f>IFERROR(I166/C166,0)</x:f>
        <x:v>4967</x:v>
      </x:c>
      <x:c r="K166" s="2"/>
      <x:c r="L166" s="2"/>
      <x:c r="M166" s="2"/>
    </x:row>
    <x:row r="167" ht="22" customHeight="1">
      <x:c r="A167" s="9" t="str">
        <x:v>TXN-1-0160</x:v>
      </x:c>
      <x:c r="B167" s="9" t="str">
        <x:v>일반</x:v>
      </x:c>
      <x:c r="C167" s="6" t="n">
        <x:v>7</x:v>
      </x:c>
      <x:c r="D167" s="6" t="n">
        <x:v>4550</x:v>
      </x:c>
      <x:c r="E167" s="6" t="n">
        <x:v>0</x:v>
      </x:c>
      <x:c r="F167" s="6" t="n">
        <x:f>C167*D167</x:f>
        <x:v>31850</x:v>
      </x:c>
      <x:c r="G167" s="6" t="n">
        <x:f>ROUND(F167*$M$4,0)</x:f>
        <x:v>3185</x:v>
      </x:c>
      <x:c r="H167" s="6" t="n">
        <x:f>F167+G167</x:f>
        <x:v>35035</x:v>
      </x:c>
      <x:c r="I167" s="6" t="n">
        <x:f>H167-E167</x:f>
        <x:v>35035</x:v>
      </x:c>
      <x:c r="J167" s="6" t="n">
        <x:f>IFERROR(I167/C167,0)</x:f>
        <x:v>5005</x:v>
      </x:c>
      <x:c r="K167" s="2"/>
      <x:c r="L167" s="2"/>
      <x:c r="M167" s="2"/>
    </x:row>
    <x:row r="168" ht="22" customHeight="1">
      <x:c r="A168" s="9"/>
      <x:c r="B168" s="9"/>
      <x:c r="C168" s="6"/>
      <x:c r="D168" s="6"/>
      <x:c r="E168" s="6"/>
      <x:c r="F168" s="6"/>
      <x:c r="G168" s="6"/>
      <x:c r="H168" s="6"/>
      <x:c r="I168" s="6"/>
      <x:c r="J168" s="6"/>
      <x:c r="K168" s="2"/>
      <x:c r="L168" s="2"/>
      <x:c r="M168" s="2"/>
    </x:row>
    <x:row r="169" ht="22" customHeight="1">
      <x:c r="A169" s="9"/>
      <x:c r="B169" s="9"/>
      <x:c r="C169" s="6"/>
      <x:c r="D169" s="6"/>
      <x:c r="E169" s="6"/>
      <x:c r="F169" s="6"/>
      <x:c r="G169" s="6"/>
      <x:c r="H169" s="6"/>
      <x:c r="I169" s="6"/>
      <x:c r="J169" s="6"/>
      <x:c r="K169" s="2"/>
      <x:c r="L169" s="2"/>
      <x:c r="M169" s="2"/>
    </x:row>
    <x:row r="170" ht="22" customHeight="1">
      <x:c r="A170" s="9"/>
      <x:c r="B170" s="9"/>
      <x:c r="C170" s="6"/>
      <x:c r="D170" s="6"/>
      <x:c r="E170" s="6"/>
      <x:c r="F170" s="6"/>
      <x:c r="G170" s="6"/>
      <x:c r="H170" s="6"/>
      <x:c r="I170" s="6"/>
      <x:c r="J170" s="6"/>
      <x:c r="K170" s="2"/>
      <x:c r="L170" s="2"/>
      <x:c r="M170" s="2"/>
    </x:row>
    <x:row r="171" ht="22" customHeight="1">
      <x:c r="A171" s="12" t="str">
        <x:v>합계</x:v>
      </x:c>
      <x:c r="B171" s="12"/>
      <x:c r="C171" s="13"/>
      <x:c r="D171" s="13"/>
      <x:c r="E171" s="13"/>
      <x:c r="F171" s="13"/>
      <x:c r="G171" s="13"/>
      <x:c r="H171" s="13"/>
      <x:c r="I171" s="13" t="n">
        <x:f>SUM(I8:I167)</x:f>
        <x:v>1885911</x:v>
      </x:c>
      <x:c r="J171" s="13"/>
      <x:c r="K171" s="2"/>
      <x:c r="L171" s="2"/>
      <x:c r="M17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매장 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</x:v>
      </x:c>
      <x:c r="M4" s="8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대조세율</x:v>
      </x:c>
      <x:c r="M5" s="8" t="n">
        <x:v>0.2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5" t="str">
        <x:v>거래번호</x:v>
      </x:c>
      <x:c r="B7" s="5" t="str">
        <x:v>구분</x:v>
      </x:c>
      <x:c r="C7" s="5" t="str">
        <x:v>수량</x:v>
      </x:c>
      <x:c r="D7" s="5" t="str">
        <x:v>단가</x:v>
      </x:c>
      <x:c r="E7" s="5" t="str">
        <x:v>공제액</x:v>
      </x:c>
      <x:c r="F7" s="5" t="str">
        <x:v>공급액</x:v>
      </x:c>
      <x:c r="G7" s="5" t="str">
        <x:v>세액</x:v>
      </x:c>
      <x:c r="H7" s="5" t="str">
        <x:v>합산액</x:v>
      </x:c>
      <x:c r="I7" s="5" t="str">
        <x:v>정산액</x:v>
      </x:c>
      <x:c r="J7" s="5" t="str">
        <x:v>단가환산</x:v>
      </x:c>
      <x:c r="K7" s="2"/>
      <x:c r="L7" s="2"/>
      <x:c r="M7" s="2"/>
    </x:row>
    <x:row r="8" ht="22" customHeight="1">
      <x:c r="A8" s="9" t="str">
        <x:v>TXN-2-0001</x:v>
      </x:c>
      <x:c r="B8" s="9" t="str">
        <x:v>일반</x:v>
      </x:c>
      <x:c r="C8" s="6" t="n">
        <x:v>2</x:v>
      </x:c>
      <x:c r="D8" s="6" t="n">
        <x:v>964</x:v>
      </x:c>
      <x:c r="E8" s="6" t="n">
        <x:v>19</x:v>
      </x:c>
      <x:c r="F8" s="6" t="n">
        <x:f>C8*D8</x:f>
        <x:v>1928</x:v>
      </x:c>
      <x:c r="G8" s="6" t="n">
        <x:f>ROUND(F8*$M$4,0)</x:f>
        <x:v>193</x:v>
      </x:c>
      <x:c r="H8" s="6" t="n">
        <x:f>F8+G8</x:f>
        <x:v>2121</x:v>
      </x:c>
      <x:c r="I8" s="6" t="n">
        <x:f>H8-E8</x:f>
        <x:v>2102</x:v>
      </x:c>
      <x:c r="J8" s="6" t="n">
        <x:f>IFERROR(I8/C8,0)</x:f>
        <x:v>1051</x:v>
      </x:c>
      <x:c r="K8" s="2"/>
      <x:c r="L8" s="2"/>
      <x:c r="M8" s="2"/>
    </x:row>
    <x:row r="9" ht="22" customHeight="1">
      <x:c r="A9" s="9" t="str">
        <x:v>TXN-2-0002</x:v>
      </x:c>
      <x:c r="B9" s="9" t="str">
        <x:v>일반</x:v>
      </x:c>
      <x:c r="C9" s="6" t="n">
        <x:v>3</x:v>
      </x:c>
      <x:c r="D9" s="6" t="n">
        <x:v>987</x:v>
      </x:c>
      <x:c r="E9" s="6" t="n">
        <x:v>38</x:v>
      </x:c>
      <x:c r="F9" s="6" t="n">
        <x:f>C9*D9</x:f>
        <x:v>2961</x:v>
      </x:c>
      <x:c r="G9" s="6" t="n">
        <x:f>ROUND(F9*$M$4,0)</x:f>
        <x:v>296</x:v>
      </x:c>
      <x:c r="H9" s="6" t="n">
        <x:f>F9+G9</x:f>
        <x:v>3257</x:v>
      </x:c>
      <x:c r="I9" s="6" t="n">
        <x:f>H9-E9</x:f>
        <x:v>3219</x:v>
      </x:c>
      <x:c r="J9" s="6" t="n">
        <x:f>IFERROR(I9/C9,0)</x:f>
        <x:v>1073</x:v>
      </x:c>
      <x:c r="K9" s="2"/>
      <x:c r="L9" s="2"/>
      <x:c r="M9" s="2"/>
    </x:row>
    <x:row r="10" ht="22" customHeight="1">
      <x:c r="A10" s="9" t="str">
        <x:v>TXN-2-0003</x:v>
      </x:c>
      <x:c r="B10" s="9" t="str">
        <x:v>일반</x:v>
      </x:c>
      <x:c r="C10" s="6" t="n">
        <x:v>4</x:v>
      </x:c>
      <x:c r="D10" s="6" t="n">
        <x:v>1010</x:v>
      </x:c>
      <x:c r="E10" s="6" t="n">
        <x:v>57</x:v>
      </x:c>
      <x:c r="F10" s="6" t="n">
        <x:f>C10*D10</x:f>
        <x:v>4040</x:v>
      </x:c>
      <x:c r="G10" s="6" t="n">
        <x:f>ROUND(F10*$M$4,0)</x:f>
        <x:v>404</x:v>
      </x:c>
      <x:c r="H10" s="6" t="n">
        <x:f>F10+G10</x:f>
        <x:v>4444</x:v>
      </x:c>
      <x:c r="I10" s="6" t="n">
        <x:f>H10-E10</x:f>
        <x:v>4387</x:v>
      </x:c>
      <x:c r="J10" s="6" t="n">
        <x:f>IFERROR(I10/C10,0)</x:f>
        <x:v>1096.75</x:v>
      </x:c>
      <x:c r="K10" s="2"/>
      <x:c r="L10" s="2"/>
      <x:c r="M10" s="2"/>
    </x:row>
    <x:row r="11" ht="22" customHeight="1">
      <x:c r="A11" s="9" t="str">
        <x:v>TXN-2-0004</x:v>
      </x:c>
      <x:c r="B11" s="9" t="str">
        <x:v>일반</x:v>
      </x:c>
      <x:c r="C11" s="6" t="n">
        <x:v>5</x:v>
      </x:c>
      <x:c r="D11" s="6" t="n">
        <x:v>1033</x:v>
      </x:c>
      <x:c r="E11" s="6" t="n">
        <x:v>76</x:v>
      </x:c>
      <x:c r="F11" s="6" t="n">
        <x:f>C11*D11</x:f>
        <x:v>5165</x:v>
      </x:c>
      <x:c r="G11" s="6" t="n">
        <x:f>ROUND(F11*$M$4,0)</x:f>
        <x:v>517</x:v>
      </x:c>
      <x:c r="H11" s="6" t="n">
        <x:f>F11+G11</x:f>
        <x:v>5682</x:v>
      </x:c>
      <x:c r="I11" s="6" t="n">
        <x:f>H11-E11</x:f>
        <x:v>5606</x:v>
      </x:c>
      <x:c r="J11" s="6" t="n">
        <x:f>IFERROR(I11/C11,0)</x:f>
        <x:v>1121.2</x:v>
      </x:c>
      <x:c r="K11" s="2"/>
      <x:c r="L11" s="2"/>
      <x:c r="M11" s="2"/>
    </x:row>
    <x:row r="12" ht="22" customHeight="1">
      <x:c r="A12" s="9" t="str">
        <x:v>TXN-2-0005</x:v>
      </x:c>
      <x:c r="B12" s="9" t="str">
        <x:v>일반</x:v>
      </x:c>
      <x:c r="C12" s="6" t="n">
        <x:v>6</x:v>
      </x:c>
      <x:c r="D12" s="6" t="n">
        <x:v>1056</x:v>
      </x:c>
      <x:c r="E12" s="6" t="n">
        <x:v>0</x:v>
      </x:c>
      <x:c r="F12" s="6" t="n">
        <x:f>C12*D12</x:f>
        <x:v>6336</x:v>
      </x:c>
      <x:c r="G12" s="6" t="n">
        <x:f>ROUND(F12*$M$4,0)</x:f>
        <x:v>634</x:v>
      </x:c>
      <x:c r="H12" s="6" t="n">
        <x:f>F12+G12</x:f>
        <x:v>6970</x:v>
      </x:c>
      <x:c r="I12" s="6" t="n">
        <x:f>H12-E12</x:f>
        <x:v>6970</x:v>
      </x:c>
      <x:c r="J12" s="6" t="n">
        <x:f>IFERROR(I12/C12,0)</x:f>
        <x:v>1161.6666666666667</x:v>
      </x:c>
      <x:c r="K12" s="2"/>
      <x:c r="L12" s="2"/>
      <x:c r="M12" s="2"/>
    </x:row>
    <x:row r="13" ht="22" customHeight="1">
      <x:c r="A13" s="9" t="str">
        <x:v>TXN-2-0006</x:v>
      </x:c>
      <x:c r="B13" s="9" t="str">
        <x:v>일반</x:v>
      </x:c>
      <x:c r="C13" s="6" t="n">
        <x:v>7</x:v>
      </x:c>
      <x:c r="D13" s="6" t="n">
        <x:v>1079</x:v>
      </x:c>
      <x:c r="E13" s="6" t="n">
        <x:v>19</x:v>
      </x:c>
      <x:c r="F13" s="6" t="n">
        <x:f>C13*D13</x:f>
        <x:v>7553</x:v>
      </x:c>
      <x:c r="G13" s="6" t="n">
        <x:f>ROUND(F13*$M$4,0)</x:f>
        <x:v>755</x:v>
      </x:c>
      <x:c r="H13" s="6" t="n">
        <x:f>F13+G13</x:f>
        <x:v>8308</x:v>
      </x:c>
      <x:c r="I13" s="6" t="n">
        <x:f>H13-E13</x:f>
        <x:v>8289</x:v>
      </x:c>
      <x:c r="J13" s="6" t="n">
        <x:f>IFERROR(I13/C13,0)</x:f>
        <x:v>1184.142857142857</x:v>
      </x:c>
      <x:c r="K13" s="2"/>
      <x:c r="L13" s="2"/>
      <x:c r="M13" s="2"/>
    </x:row>
    <x:row r="14" ht="22" customHeight="1">
      <x:c r="A14" s="9" t="str">
        <x:v>TXN-2-0007</x:v>
      </x:c>
      <x:c r="B14" s="9" t="str">
        <x:v>일반</x:v>
      </x:c>
      <x:c r="C14" s="6" t="n">
        <x:v>1</x:v>
      </x:c>
      <x:c r="D14" s="6" t="n">
        <x:v>1102</x:v>
      </x:c>
      <x:c r="E14" s="6" t="n">
        <x:v>38</x:v>
      </x:c>
      <x:c r="F14" s="6" t="n">
        <x:f>C14*D14</x:f>
        <x:v>1102</x:v>
      </x:c>
      <x:c r="G14" s="6" t="n">
        <x:f>ROUND(F14*$M$4,0)</x:f>
        <x:v>110</x:v>
      </x:c>
      <x:c r="H14" s="6" t="n">
        <x:f>F14+G14</x:f>
        <x:v>1212</x:v>
      </x:c>
      <x:c r="I14" s="6" t="n">
        <x:f>H14-E14</x:f>
        <x:v>1174</x:v>
      </x:c>
      <x:c r="J14" s="6" t="n">
        <x:f>IFERROR(I14/C14,0)</x:f>
        <x:v>1174</x:v>
      </x:c>
      <x:c r="K14" s="2"/>
      <x:c r="L14" s="2"/>
      <x:c r="M14" s="2"/>
    </x:row>
    <x:row r="15" ht="22" customHeight="1">
      <x:c r="A15" s="9" t="str">
        <x:v>TXN-2-0008</x:v>
      </x:c>
      <x:c r="B15" s="9" t="str">
        <x:v>일반</x:v>
      </x:c>
      <x:c r="C15" s="6" t="n">
        <x:v>2</x:v>
      </x:c>
      <x:c r="D15" s="6" t="n">
        <x:v>1125</x:v>
      </x:c>
      <x:c r="E15" s="6" t="n">
        <x:v>57</x:v>
      </x:c>
      <x:c r="F15" s="6" t="n">
        <x:f>C15*D15</x:f>
        <x:v>2250</x:v>
      </x:c>
      <x:c r="G15" s="6" t="n">
        <x:f>ROUND(F15*$M$4,0)</x:f>
        <x:v>225</x:v>
      </x:c>
      <x:c r="H15" s="6" t="n">
        <x:f>F15+G15</x:f>
        <x:v>2475</x:v>
      </x:c>
      <x:c r="I15" s="6" t="n">
        <x:f>H15-E15</x:f>
        <x:v>2418</x:v>
      </x:c>
      <x:c r="J15" s="6" t="n">
        <x:f>IFERROR(I15/C15,0)</x:f>
        <x:v>1209</x:v>
      </x:c>
      <x:c r="K15" s="2"/>
      <x:c r="L15" s="2"/>
      <x:c r="M15" s="2"/>
    </x:row>
    <x:row r="16" ht="22" customHeight="1">
      <x:c r="A16" s="9" t="str">
        <x:v>TXN-2-0009</x:v>
      </x:c>
      <x:c r="B16" s="9" t="str">
        <x:v>일반</x:v>
      </x:c>
      <x:c r="C16" s="6" t="n">
        <x:v>3</x:v>
      </x:c>
      <x:c r="D16" s="6" t="n">
        <x:v>1148</x:v>
      </x:c>
      <x:c r="E16" s="6" t="n">
        <x:v>76</x:v>
      </x:c>
      <x:c r="F16" s="6" t="n">
        <x:f>C16*D16</x:f>
        <x:v>3444</x:v>
      </x:c>
      <x:c r="G16" s="6" t="n">
        <x:f>ROUND(F16*$M$4,0)</x:f>
        <x:v>344</x:v>
      </x:c>
      <x:c r="H16" s="6" t="n">
        <x:f>F16+G16</x:f>
        <x:v>3788</x:v>
      </x:c>
      <x:c r="I16" s="6" t="n">
        <x:f>H16-E16</x:f>
        <x:v>3712</x:v>
      </x:c>
      <x:c r="J16" s="6" t="n">
        <x:f>IFERROR(I16/C16,0)</x:f>
        <x:v>1237.3333333333333</x:v>
      </x:c>
      <x:c r="K16" s="2"/>
      <x:c r="L16" s="2"/>
      <x:c r="M16" s="2"/>
    </x:row>
    <x:row r="17" ht="22" customHeight="1">
      <x:c r="A17" s="9" t="str">
        <x:v>TXN-2-0010</x:v>
      </x:c>
      <x:c r="B17" s="9" t="str">
        <x:v>일반</x:v>
      </x:c>
      <x:c r="C17" s="6" t="n">
        <x:v>4</x:v>
      </x:c>
      <x:c r="D17" s="6" t="n">
        <x:v>1171</x:v>
      </x:c>
      <x:c r="E17" s="6" t="n">
        <x:v>0</x:v>
      </x:c>
      <x:c r="F17" s="6" t="n">
        <x:f>C17*D17</x:f>
        <x:v>4684</x:v>
      </x:c>
      <x:c r="G17" s="6" t="n">
        <x:f>ROUND(F17*$M$4,0)</x:f>
        <x:v>468</x:v>
      </x:c>
      <x:c r="H17" s="6" t="n">
        <x:f>F17+G17</x:f>
        <x:v>5152</x:v>
      </x:c>
      <x:c r="I17" s="6" t="n">
        <x:f>H17-E17</x:f>
        <x:v>5152</x:v>
      </x:c>
      <x:c r="J17" s="6" t="n">
        <x:f>IFERROR(I17/C17,0)</x:f>
        <x:v>1288</x:v>
      </x:c>
      <x:c r="K17" s="2"/>
      <x:c r="L17" s="2"/>
      <x:c r="M17" s="2"/>
    </x:row>
    <x:row r="18" ht="22" customHeight="1">
      <x:c r="A18" s="9" t="str">
        <x:v>TXN-2-0011</x:v>
      </x:c>
      <x:c r="B18" s="9" t="str">
        <x:v>일반</x:v>
      </x:c>
      <x:c r="C18" s="6" t="n">
        <x:v>5</x:v>
      </x:c>
      <x:c r="D18" s="6" t="n">
        <x:v>1194</x:v>
      </x:c>
      <x:c r="E18" s="6" t="n">
        <x:v>19</x:v>
      </x:c>
      <x:c r="F18" s="6" t="n">
        <x:f>C18*D18</x:f>
        <x:v>5970</x:v>
      </x:c>
      <x:c r="G18" s="6" t="n">
        <x:f>ROUND(F18*$M$4,0)</x:f>
        <x:v>597</x:v>
      </x:c>
      <x:c r="H18" s="6" t="n">
        <x:f>F18+G18</x:f>
        <x:v>6567</x:v>
      </x:c>
      <x:c r="I18" s="6" t="n">
        <x:f>H18-E18</x:f>
        <x:v>6548</x:v>
      </x:c>
      <x:c r="J18" s="6" t="n">
        <x:f>IFERROR(I18/C18,0)</x:f>
        <x:v>1309.6</x:v>
      </x:c>
      <x:c r="K18" s="2"/>
      <x:c r="L18" s="2"/>
      <x:c r="M18" s="2"/>
    </x:row>
    <x:row r="19" ht="22" customHeight="1">
      <x:c r="A19" s="9" t="str">
        <x:v>TXN-2-0012</x:v>
      </x:c>
      <x:c r="B19" s="9" t="str">
        <x:v>일반</x:v>
      </x:c>
      <x:c r="C19" s="6" t="n">
        <x:v>6</x:v>
      </x:c>
      <x:c r="D19" s="6" t="n">
        <x:v>1217</x:v>
      </x:c>
      <x:c r="E19" s="6" t="n">
        <x:v>38</x:v>
      </x:c>
      <x:c r="F19" s="6" t="n">
        <x:f>C19*D19</x:f>
        <x:v>7302</x:v>
      </x:c>
      <x:c r="G19" s="6" t="n">
        <x:f>ROUND(F19*$M$4,0)</x:f>
        <x:v>730</x:v>
      </x:c>
      <x:c r="H19" s="6" t="n">
        <x:f>F19+G19</x:f>
        <x:v>8032</x:v>
      </x:c>
      <x:c r="I19" s="6" t="n">
        <x:f>H19-E19</x:f>
        <x:v>7994</x:v>
      </x:c>
      <x:c r="J19" s="6" t="n">
        <x:f>IFERROR(I19/C19,0)</x:f>
        <x:v>1332.3333333333333</x:v>
      </x:c>
      <x:c r="K19" s="2"/>
      <x:c r="L19" s="2"/>
      <x:c r="M19" s="2"/>
    </x:row>
    <x:row r="20" ht="22" customHeight="1">
      <x:c r="A20" s="9" t="str">
        <x:v>TXN-2-0013</x:v>
      </x:c>
      <x:c r="B20" s="9" t="str">
        <x:v>일반</x:v>
      </x:c>
      <x:c r="C20" s="6" t="n">
        <x:v>7</x:v>
      </x:c>
      <x:c r="D20" s="6" t="n">
        <x:v>1240</x:v>
      </x:c>
      <x:c r="E20" s="6" t="n">
        <x:v>57</x:v>
      </x:c>
      <x:c r="F20" s="6" t="n">
        <x:f>C20*D20</x:f>
        <x:v>8680</x:v>
      </x:c>
      <x:c r="G20" s="6" t="n">
        <x:f>ROUND(F20*$M$4,0)</x:f>
        <x:v>868</x:v>
      </x:c>
      <x:c r="H20" s="6" t="n">
        <x:f>F20+G20</x:f>
        <x:v>9548</x:v>
      </x:c>
      <x:c r="I20" s="6" t="n">
        <x:f>H20-E20</x:f>
        <x:v>9491</x:v>
      </x:c>
      <x:c r="J20" s="6" t="n">
        <x:f>IFERROR(I20/C20,0)</x:f>
        <x:v>1355.857142857143</x:v>
      </x:c>
      <x:c r="K20" s="2"/>
      <x:c r="L20" s="2"/>
      <x:c r="M20" s="2"/>
    </x:row>
    <x:row r="21" ht="22" customHeight="1">
      <x:c r="A21" s="9" t="str">
        <x:v>TXN-2-0014</x:v>
      </x:c>
      <x:c r="B21" s="9" t="str">
        <x:v>일반</x:v>
      </x:c>
      <x:c r="C21" s="6" t="n">
        <x:v>1</x:v>
      </x:c>
      <x:c r="D21" s="6" t="n">
        <x:v>1263</x:v>
      </x:c>
      <x:c r="E21" s="6" t="n">
        <x:v>76</x:v>
      </x:c>
      <x:c r="F21" s="6" t="n">
        <x:f>C21*D21</x:f>
        <x:v>1263</x:v>
      </x:c>
      <x:c r="G21" s="6" t="n">
        <x:f>ROUND(F21*$M$4,0)</x:f>
        <x:v>126</x:v>
      </x:c>
      <x:c r="H21" s="6" t="n">
        <x:f>F21+G21</x:f>
        <x:v>1389</x:v>
      </x:c>
      <x:c r="I21" s="6" t="n">
        <x:f>H21-E21</x:f>
        <x:v>1313</x:v>
      </x:c>
      <x:c r="J21" s="6" t="n">
        <x:f>IFERROR(I21/C21,0)</x:f>
        <x:v>1313</x:v>
      </x:c>
      <x:c r="K21" s="2"/>
      <x:c r="L21" s="2"/>
      <x:c r="M21" s="2"/>
    </x:row>
    <x:row r="22" ht="22" customHeight="1">
      <x:c r="A22" s="9" t="str">
        <x:v>TXN-2-0015</x:v>
      </x:c>
      <x:c r="B22" s="9" t="str">
        <x:v>일반</x:v>
      </x:c>
      <x:c r="C22" s="6" t="n">
        <x:v>2</x:v>
      </x:c>
      <x:c r="D22" s="6" t="n">
        <x:v>1286</x:v>
      </x:c>
      <x:c r="E22" s="6" t="n">
        <x:v>0</x:v>
      </x:c>
      <x:c r="F22" s="6" t="n">
        <x:f>C22*D21</x:f>
        <x:v>2526</x:v>
      </x:c>
      <x:c r="G22" s="6" t="n">
        <x:f>ROUND(F22*$M$4,0)</x:f>
        <x:v>253</x:v>
      </x:c>
      <x:c r="H22" s="6" t="n">
        <x:f>F22+G22</x:f>
        <x:v>2779</x:v>
      </x:c>
      <x:c r="I22" s="6" t="n">
        <x:f>H22-E22</x:f>
        <x:v>2779</x:v>
      </x:c>
      <x:c r="J22" s="6" t="n">
        <x:f>IFERROR(I22/C22,0)</x:f>
        <x:v>1389.5</x:v>
      </x:c>
      <x:c r="K22" s="2"/>
      <x:c r="L22" s="2"/>
      <x:c r="M22" s="2"/>
    </x:row>
    <x:row r="23" ht="22" customHeight="1">
      <x:c r="A23" s="9" t="str">
        <x:v>TXN-2-0016</x:v>
      </x:c>
      <x:c r="B23" s="9" t="str">
        <x:v>일반</x:v>
      </x:c>
      <x:c r="C23" s="6" t="n">
        <x:v>3</x:v>
      </x:c>
      <x:c r="D23" s="6" t="n">
        <x:v>1309</x:v>
      </x:c>
      <x:c r="E23" s="6" t="n">
        <x:v>19</x:v>
      </x:c>
      <x:c r="F23" s="6" t="n">
        <x:f>C23*D23</x:f>
        <x:v>3927</x:v>
      </x:c>
      <x:c r="G23" s="6" t="n">
        <x:f>ROUND(F23*$M$4,0)</x:f>
        <x:v>393</x:v>
      </x:c>
      <x:c r="H23" s="6" t="n">
        <x:f>F23+G23</x:f>
        <x:v>4320</x:v>
      </x:c>
      <x:c r="I23" s="6" t="n">
        <x:f>H23-E23</x:f>
        <x:v>4301</x:v>
      </x:c>
      <x:c r="J23" s="6" t="n">
        <x:f>IFERROR(I23/C23,0)</x:f>
        <x:v>1433.6666666666667</x:v>
      </x:c>
      <x:c r="K23" s="2"/>
      <x:c r="L23" s="2"/>
      <x:c r="M23" s="2"/>
    </x:row>
    <x:row r="24" ht="22" customHeight="1">
      <x:c r="A24" s="9" t="str">
        <x:v>TXN-2-0017</x:v>
      </x:c>
      <x:c r="B24" s="9" t="str">
        <x:v>일반</x:v>
      </x:c>
      <x:c r="C24" s="6" t="n">
        <x:v>4</x:v>
      </x:c>
      <x:c r="D24" s="6" t="n">
        <x:v>1332</x:v>
      </x:c>
      <x:c r="E24" s="6" t="n">
        <x:v>38</x:v>
      </x:c>
      <x:c r="F24" s="6" t="n">
        <x:f>C24*D24</x:f>
        <x:v>5328</x:v>
      </x:c>
      <x:c r="G24" s="6" t="n">
        <x:f>ROUND(F24*$M$4,0)</x:f>
        <x:v>533</x:v>
      </x:c>
      <x:c r="H24" s="6" t="n">
        <x:f>F24+G24</x:f>
        <x:v>5861</x:v>
      </x:c>
      <x:c r="I24" s="6" t="n">
        <x:f>H24-E24</x:f>
        <x:v>5823</x:v>
      </x:c>
      <x:c r="J24" s="6" t="n">
        <x:f>IFERROR(I24/C24,0)</x:f>
        <x:v>1455.75</x:v>
      </x:c>
      <x:c r="K24" s="2"/>
      <x:c r="L24" s="2"/>
      <x:c r="M24" s="2"/>
    </x:row>
    <x:row r="25" ht="22" customHeight="1">
      <x:c r="A25" s="9" t="str">
        <x:v>TXN-2-0018</x:v>
      </x:c>
      <x:c r="B25" s="9" t="str">
        <x:v>일반</x:v>
      </x:c>
      <x:c r="C25" s="6" t="n">
        <x:v>5</x:v>
      </x:c>
      <x:c r="D25" s="6" t="n">
        <x:v>1355</x:v>
      </x:c>
      <x:c r="E25" s="6" t="n">
        <x:v>57</x:v>
      </x:c>
      <x:c r="F25" s="6" t="n">
        <x:f>C25*D25</x:f>
        <x:v>6775</x:v>
      </x:c>
      <x:c r="G25" s="6" t="n">
        <x:f>ROUND(F25*$M$4,0)</x:f>
        <x:v>678</x:v>
      </x:c>
      <x:c r="H25" s="6" t="n">
        <x:f>F25+G25</x:f>
        <x:v>7453</x:v>
      </x:c>
      <x:c r="I25" s="6" t="n">
        <x:f>H25-E25</x:f>
        <x:v>7396</x:v>
      </x:c>
      <x:c r="J25" s="6" t="n">
        <x:f>IFERROR(I25/C25,0)</x:f>
        <x:v>1479.2</x:v>
      </x:c>
      <x:c r="K25" s="2"/>
      <x:c r="L25" s="2"/>
      <x:c r="M25" s="2"/>
    </x:row>
    <x:row r="26" ht="22" customHeight="1">
      <x:c r="A26" s="9" t="str">
        <x:v>TXN-2-0019</x:v>
      </x:c>
      <x:c r="B26" s="9" t="str">
        <x:v>일반</x:v>
      </x:c>
      <x:c r="C26" s="6" t="n">
        <x:v>6</x:v>
      </x:c>
      <x:c r="D26" s="6" t="n">
        <x:v>1378</x:v>
      </x:c>
      <x:c r="E26" s="6" t="n">
        <x:v>76</x:v>
      </x:c>
      <x:c r="F26" s="6" t="n">
        <x:f>C26*D26</x:f>
        <x:v>8268</x:v>
      </x:c>
      <x:c r="G26" s="6" t="n">
        <x:f>ROUND(F26*$M$4,0)</x:f>
        <x:v>827</x:v>
      </x:c>
      <x:c r="H26" s="6" t="n">
        <x:f>F26+G26</x:f>
        <x:v>9095</x:v>
      </x:c>
      <x:c r="I26" s="6" t="n">
        <x:f>H26-E26</x:f>
        <x:v>9019</x:v>
      </x:c>
      <x:c r="J26" s="6" t="n">
        <x:f>IFERROR(I26/C26,0)</x:f>
        <x:v>1503.1666666666667</x:v>
      </x:c>
      <x:c r="K26" s="2"/>
      <x:c r="L26" s="2"/>
      <x:c r="M26" s="2"/>
    </x:row>
    <x:row r="27" ht="22" customHeight="1">
      <x:c r="A27" s="9" t="str">
        <x:v>TXN-2-0020</x:v>
      </x:c>
      <x:c r="B27" s="9" t="str">
        <x:v>일반</x:v>
      </x:c>
      <x:c r="C27" s="6" t="n">
        <x:v>7</x:v>
      </x:c>
      <x:c r="D27" s="6" t="n">
        <x:v>1401</x:v>
      </x:c>
      <x:c r="E27" s="6" t="n">
        <x:v>0</x:v>
      </x:c>
      <x:c r="F27" s="6" t="n">
        <x:f>C27*D27</x:f>
        <x:v>9807</x:v>
      </x:c>
      <x:c r="G27" s="6" t="n">
        <x:f>ROUND(F27*$M$4,0)</x:f>
        <x:v>981</x:v>
      </x:c>
      <x:c r="H27" s="6" t="n">
        <x:f>F27+G27</x:f>
        <x:v>10788</x:v>
      </x:c>
      <x:c r="I27" s="6" t="n">
        <x:f>H27-E27</x:f>
        <x:v>10788</x:v>
      </x:c>
      <x:c r="J27" s="6" t="n">
        <x:f>IFERROR(I27/C27,0)</x:f>
        <x:v>1541.142857142857</x:v>
      </x:c>
      <x:c r="K27" s="2"/>
      <x:c r="L27" s="2"/>
      <x:c r="M27" s="2"/>
    </x:row>
    <x:row r="28" ht="22" customHeight="1">
      <x:c r="A28" s="9" t="str">
        <x:v>TXN-2-0021</x:v>
      </x:c>
      <x:c r="B28" s="9" t="str">
        <x:v>일반</x:v>
      </x:c>
      <x:c r="C28" s="6" t="n">
        <x:v>1</x:v>
      </x:c>
      <x:c r="D28" s="6" t="n">
        <x:v>1424</x:v>
      </x:c>
      <x:c r="E28" s="6" t="n">
        <x:v>19</x:v>
      </x:c>
      <x:c r="F28" s="6" t="n">
        <x:f>C28*D28</x:f>
        <x:v>1424</x:v>
      </x:c>
      <x:c r="G28" s="6" t="n">
        <x:f>ROUND(F28*$M$4,0)</x:f>
        <x:v>142</x:v>
      </x:c>
      <x:c r="H28" s="6" t="n">
        <x:f>F28+G28</x:f>
        <x:v>1566</x:v>
      </x:c>
      <x:c r="I28" s="6" t="n">
        <x:f>H28-E28</x:f>
        <x:v>1547</x:v>
      </x:c>
      <x:c r="J28" s="6" t="n">
        <x:f>IFERROR(I28/C28,0)</x:f>
        <x:v>1547</x:v>
      </x:c>
      <x:c r="K28" s="2"/>
      <x:c r="L28" s="2"/>
      <x:c r="M28" s="2"/>
    </x:row>
    <x:row r="29" ht="22" customHeight="1">
      <x:c r="A29" s="9" t="str">
        <x:v>TXN-2-0022</x:v>
      </x:c>
      <x:c r="B29" s="9" t="str">
        <x:v>일반</x:v>
      </x:c>
      <x:c r="C29" s="6" t="n">
        <x:v>2</x:v>
      </x:c>
      <x:c r="D29" s="6" t="n">
        <x:v>1447</x:v>
      </x:c>
      <x:c r="E29" s="6" t="n">
        <x:v>38</x:v>
      </x:c>
      <x:c r="F29" s="6" t="n">
        <x:f>C29*D29</x:f>
        <x:v>2894</x:v>
      </x:c>
      <x:c r="G29" s="6" t="n">
        <x:f>ROUND(F29*$M$4,0)</x:f>
        <x:v>289</x:v>
      </x:c>
      <x:c r="H29" s="6" t="n">
        <x:f>F29+G29</x:f>
        <x:v>3183</x:v>
      </x:c>
      <x:c r="I29" s="6" t="n">
        <x:f>H29-E29</x:f>
        <x:v>3145</x:v>
      </x:c>
      <x:c r="J29" s="6" t="n">
        <x:f>IFERROR(I29/C29,0)</x:f>
        <x:v>1572.5</x:v>
      </x:c>
      <x:c r="K29" s="2"/>
      <x:c r="L29" s="2"/>
      <x:c r="M29" s="2"/>
    </x:row>
    <x:row r="30" ht="22" customHeight="1">
      <x:c r="A30" s="9" t="str">
        <x:v>TXN-2-0023</x:v>
      </x:c>
      <x:c r="B30" s="9" t="str">
        <x:v>일반</x:v>
      </x:c>
      <x:c r="C30" s="6" t="n">
        <x:v>3</x:v>
      </x:c>
      <x:c r="D30" s="6" t="n">
        <x:v>1470</x:v>
      </x:c>
      <x:c r="E30" s="6" t="n">
        <x:v>57</x:v>
      </x:c>
      <x:c r="F30" s="6" t="n">
        <x:f>C30*D30</x:f>
        <x:v>4410</x:v>
      </x:c>
      <x:c r="G30" s="6" t="n">
        <x:f>ROUND(F30*$M$4,0)</x:f>
        <x:v>441</x:v>
      </x:c>
      <x:c r="H30" s="6" t="n">
        <x:f>F30+G30</x:f>
        <x:v>4851</x:v>
      </x:c>
      <x:c r="I30" s="6" t="n">
        <x:f>H30-E30</x:f>
        <x:v>4794</x:v>
      </x:c>
      <x:c r="J30" s="6" t="n">
        <x:f>IFERROR(I30/C30,0)</x:f>
        <x:v>1598</x:v>
      </x:c>
      <x:c r="K30" s="2"/>
      <x:c r="L30" s="2"/>
      <x:c r="M30" s="2"/>
    </x:row>
    <x:row r="31" ht="22" customHeight="1">
      <x:c r="A31" s="9" t="str">
        <x:v>TXN-2-0024</x:v>
      </x:c>
      <x:c r="B31" s="9" t="str">
        <x:v>일반</x:v>
      </x:c>
      <x:c r="C31" s="6" t="n">
        <x:v>4</x:v>
      </x:c>
      <x:c r="D31" s="6" t="n">
        <x:v>1493</x:v>
      </x:c>
      <x:c r="E31" s="6" t="n">
        <x:v>76</x:v>
      </x:c>
      <x:c r="F31" s="6" t="n">
        <x:f>C31*D31</x:f>
        <x:v>5972</x:v>
      </x:c>
      <x:c r="G31" s="6" t="n">
        <x:f>ROUND(F31*$M$4,0)</x:f>
        <x:v>597</x:v>
      </x:c>
      <x:c r="H31" s="6" t="n">
        <x:f>F31+G31</x:f>
        <x:v>6569</x:v>
      </x:c>
      <x:c r="I31" s="6" t="n">
        <x:f>H31-E31</x:f>
        <x:v>6493</x:v>
      </x:c>
      <x:c r="J31" s="6" t="n">
        <x:f>IFERROR(I31/C31,0)</x:f>
        <x:v>1623.25</x:v>
      </x:c>
      <x:c r="K31" s="2"/>
      <x:c r="L31" s="2"/>
      <x:c r="M31" s="2"/>
    </x:row>
    <x:row r="32" ht="22" customHeight="1">
      <x:c r="A32" s="9" t="str">
        <x:v>TXN-2-0025</x:v>
      </x:c>
      <x:c r="B32" s="9" t="str">
        <x:v>일반</x:v>
      </x:c>
      <x:c r="C32" s="6" t="n">
        <x:v>5</x:v>
      </x:c>
      <x:c r="D32" s="6" t="n">
        <x:v>1516</x:v>
      </x:c>
      <x:c r="E32" s="6" t="n">
        <x:v>0</x:v>
      </x:c>
      <x:c r="F32" s="6" t="n">
        <x:f>C32*D32</x:f>
        <x:v>7580</x:v>
      </x:c>
      <x:c r="G32" s="6" t="n">
        <x:f>ROUND(F32*$M$4,0)</x:f>
        <x:v>758</x:v>
      </x:c>
      <x:c r="H32" s="6" t="n">
        <x:f>F32+G32</x:f>
        <x:v>8338</x:v>
      </x:c>
      <x:c r="I32" s="6" t="n">
        <x:f>H32-E32</x:f>
        <x:v>8338</x:v>
      </x:c>
      <x:c r="J32" s="6" t="n">
        <x:f>IFERROR(I32/C32,0)</x:f>
        <x:v>1667.6</x:v>
      </x:c>
      <x:c r="K32" s="2"/>
      <x:c r="L32" s="2"/>
      <x:c r="M32" s="2"/>
    </x:row>
    <x:row r="33" ht="22" customHeight="1">
      <x:c r="A33" s="9" t="str">
        <x:v>TXN-2-0026</x:v>
      </x:c>
      <x:c r="B33" s="9" t="str">
        <x:v>일반</x:v>
      </x:c>
      <x:c r="C33" s="6" t="n">
        <x:v>6</x:v>
      </x:c>
      <x:c r="D33" s="6" t="n">
        <x:v>1539</x:v>
      </x:c>
      <x:c r="E33" s="6" t="n">
        <x:v>19</x:v>
      </x:c>
      <x:c r="F33" s="6" t="n">
        <x:f>C33*D33</x:f>
        <x:v>9234</x:v>
      </x:c>
      <x:c r="G33" s="6" t="n">
        <x:f>ROUND(F33*$M$4,0)</x:f>
        <x:v>923</x:v>
      </x:c>
      <x:c r="H33" s="6" t="n">
        <x:f>F33+G33</x:f>
        <x:v>10157</x:v>
      </x:c>
      <x:c r="I33" s="6" t="n">
        <x:f>H33-E33</x:f>
        <x:v>10138</x:v>
      </x:c>
      <x:c r="J33" s="6" t="n">
        <x:f>IFERROR(I33/C33,0)</x:f>
        <x:v>1689.6666666666667</x:v>
      </x:c>
      <x:c r="K33" s="2"/>
      <x:c r="L33" s="2"/>
      <x:c r="M33" s="2"/>
    </x:row>
    <x:row r="34" ht="22" customHeight="1">
      <x:c r="A34" s="9" t="str">
        <x:v>TXN-2-0027</x:v>
      </x:c>
      <x:c r="B34" s="9" t="str">
        <x:v>일반</x:v>
      </x:c>
      <x:c r="C34" s="6" t="n">
        <x:v>7</x:v>
      </x:c>
      <x:c r="D34" s="6" t="n">
        <x:v>1562</x:v>
      </x:c>
      <x:c r="E34" s="6" t="n">
        <x:v>38</x:v>
      </x:c>
      <x:c r="F34" s="6" t="n">
        <x:f>C34*D34</x:f>
        <x:v>10934</x:v>
      </x:c>
      <x:c r="G34" s="6" t="n">
        <x:f>ROUND(F34*$M$4,0)</x:f>
        <x:v>1093</x:v>
      </x:c>
      <x:c r="H34" s="6" t="n">
        <x:f>F34+G34</x:f>
        <x:v>12027</x:v>
      </x:c>
      <x:c r="I34" s="6" t="n">
        <x:f>H34-E34</x:f>
        <x:v>11989</x:v>
      </x:c>
      <x:c r="J34" s="6" t="n">
        <x:f>IFERROR(I34/C34,0)</x:f>
        <x:v>1712.7142857142858</x:v>
      </x:c>
      <x:c r="K34" s="2"/>
      <x:c r="L34" s="2"/>
      <x:c r="M34" s="2"/>
    </x:row>
    <x:row r="35" ht="22" customHeight="1">
      <x:c r="A35" s="9" t="str">
        <x:v>TXN-2-0028</x:v>
      </x:c>
      <x:c r="B35" s="9" t="str">
        <x:v>일반</x:v>
      </x:c>
      <x:c r="C35" s="6" t="n">
        <x:v>1</x:v>
      </x:c>
      <x:c r="D35" s="6" t="n">
        <x:v>1585</x:v>
      </x:c>
      <x:c r="E35" s="6" t="n">
        <x:v>57</x:v>
      </x:c>
      <x:c r="F35" s="6" t="n">
        <x:f>C35*D35</x:f>
        <x:v>1585</x:v>
      </x:c>
      <x:c r="G35" s="6" t="n">
        <x:f>ROUND(F35*$M$4,0)</x:f>
        <x:v>159</x:v>
      </x:c>
      <x:c r="H35" s="6" t="n">
        <x:f>F35+G35</x:f>
        <x:v>1744</x:v>
      </x:c>
      <x:c r="I35" s="6" t="n">
        <x:f>H35-E35</x:f>
        <x:v>1687</x:v>
      </x:c>
      <x:c r="J35" s="6" t="n">
        <x:f>IFERROR(I35/C35,0)</x:f>
        <x:v>1687</x:v>
      </x:c>
      <x:c r="K35" s="2"/>
      <x:c r="L35" s="2"/>
      <x:c r="M35" s="2"/>
    </x:row>
    <x:row r="36" ht="22" customHeight="1">
      <x:c r="A36" s="9" t="str">
        <x:v>TXN-2-0029</x:v>
      </x:c>
      <x:c r="B36" s="9" t="str">
        <x:v>일반</x:v>
      </x:c>
      <x:c r="C36" s="6" t="n">
        <x:v>2</x:v>
      </x:c>
      <x:c r="D36" s="6" t="n">
        <x:v>1608</x:v>
      </x:c>
      <x:c r="E36" s="6" t="n">
        <x:v>76</x:v>
      </x:c>
      <x:c r="F36" s="6" t="n">
        <x:f>C36*D36</x:f>
        <x:v>3216</x:v>
      </x:c>
      <x:c r="G36" s="6" t="n">
        <x:f>ROUND(F36*$M$4,0)</x:f>
        <x:v>322</x:v>
      </x:c>
      <x:c r="H36" s="6" t="n">
        <x:f>F36+G36</x:f>
        <x:v>3538</x:v>
      </x:c>
      <x:c r="I36" s="6" t="n">
        <x:f>H36-E36</x:f>
        <x:v>3462</x:v>
      </x:c>
      <x:c r="J36" s="6" t="n">
        <x:f>IFERROR(I36/C36,0)</x:f>
        <x:v>1731</x:v>
      </x:c>
      <x:c r="K36" s="2"/>
      <x:c r="L36" s="2"/>
      <x:c r="M36" s="2"/>
    </x:row>
    <x:row r="37" ht="22" customHeight="1">
      <x:c r="A37" s="9" t="str">
        <x:v>TXN-2-0030</x:v>
      </x:c>
      <x:c r="B37" s="9" t="str">
        <x:v>일반</x:v>
      </x:c>
      <x:c r="C37" s="6" t="n">
        <x:v>3</x:v>
      </x:c>
      <x:c r="D37" s="6" t="n">
        <x:v>1631</x:v>
      </x:c>
      <x:c r="E37" s="6" t="n">
        <x:v>0</x:v>
      </x:c>
      <x:c r="F37" s="6" t="n">
        <x:f>C37*D37</x:f>
        <x:v>4893</x:v>
      </x:c>
      <x:c r="G37" s="6" t="n">
        <x:f>ROUND(F37*$M$4,0)</x:f>
        <x:v>489</x:v>
      </x:c>
      <x:c r="H37" s="6" t="n">
        <x:f>F37+G37</x:f>
        <x:v>5382</x:v>
      </x:c>
      <x:c r="I37" s="6" t="n">
        <x:f>H37-E37</x:f>
        <x:v>5382</x:v>
      </x:c>
      <x:c r="J37" s="6" t="n">
        <x:f>IFERROR(I37/C37,0)</x:f>
        <x:v>1794</x:v>
      </x:c>
      <x:c r="K37" s="2"/>
      <x:c r="L37" s="2"/>
      <x:c r="M37" s="2"/>
    </x:row>
    <x:row r="38" ht="22" customHeight="1">
      <x:c r="A38" s="9" t="str">
        <x:v>TXN-2-0031</x:v>
      </x:c>
      <x:c r="B38" s="9" t="str">
        <x:v>일반</x:v>
      </x:c>
      <x:c r="C38" s="6" t="n">
        <x:v>4</x:v>
      </x:c>
      <x:c r="D38" s="6" t="n">
        <x:v>1654</x:v>
      </x:c>
      <x:c r="E38" s="6" t="n">
        <x:v>19</x:v>
      </x:c>
      <x:c r="F38" s="6" t="n">
        <x:f>C38*D38</x:f>
        <x:v>6616</x:v>
      </x:c>
      <x:c r="G38" s="6" t="n">
        <x:f>ROUND(F38*$M$4,0)</x:f>
        <x:v>662</x:v>
      </x:c>
      <x:c r="H38" s="6" t="n">
        <x:f>F38+G38</x:f>
        <x:v>7278</x:v>
      </x:c>
      <x:c r="I38" s="6" t="n">
        <x:f>H38-E38</x:f>
        <x:v>7259</x:v>
      </x:c>
      <x:c r="J38" s="6" t="n">
        <x:f>IFERROR(I38/C38,0)</x:f>
        <x:v>1814.75</x:v>
      </x:c>
      <x:c r="K38" s="2"/>
      <x:c r="L38" s="2"/>
      <x:c r="M38" s="2"/>
    </x:row>
    <x:row r="39" ht="22" customHeight="1">
      <x:c r="A39" s="9" t="str">
        <x:v>TXN-2-0032</x:v>
      </x:c>
      <x:c r="B39" s="9" t="str">
        <x:v>일반</x:v>
      </x:c>
      <x:c r="C39" s="6" t="n">
        <x:v>5</x:v>
      </x:c>
      <x:c r="D39" s="6" t="n">
        <x:v>1677</x:v>
      </x:c>
      <x:c r="E39" s="6" t="n">
        <x:v>38</x:v>
      </x:c>
      <x:c r="F39" s="6" t="n">
        <x:f>C39*D39</x:f>
        <x:v>8385</x:v>
      </x:c>
      <x:c r="G39" s="6" t="n">
        <x:f>ROUND(F39*$M$4,0)</x:f>
        <x:v>839</x:v>
      </x:c>
      <x:c r="H39" s="6" t="n">
        <x:f>F39+G39</x:f>
        <x:v>9224</x:v>
      </x:c>
      <x:c r="I39" s="6" t="n">
        <x:f>H39-E39</x:f>
        <x:v>9186</x:v>
      </x:c>
      <x:c r="J39" s="6" t="n">
        <x:f>IFERROR(I39/C39,0)</x:f>
        <x:v>1837.2</x:v>
      </x:c>
      <x:c r="K39" s="2"/>
      <x:c r="L39" s="2"/>
      <x:c r="M39" s="2"/>
    </x:row>
    <x:row r="40" ht="22" customHeight="1">
      <x:c r="A40" s="9" t="str">
        <x:v>TXN-2-0033</x:v>
      </x:c>
      <x:c r="B40" s="9" t="str">
        <x:v>수동 조정</x:v>
      </x:c>
      <x:c r="C40" s="6" t="n">
        <x:v>6</x:v>
      </x:c>
      <x:c r="D40" s="6" t="n">
        <x:v>1700</x:v>
      </x:c>
      <x:c r="E40" s="6" t="n">
        <x:v>57</x:v>
      </x:c>
      <x:c r="F40" s="6" t="n">
        <x:f>C40*D40+100</x:f>
        <x:v>10300</x:v>
      </x:c>
      <x:c r="G40" s="6" t="n">
        <x:f>ROUND(F40*$M$4,0)</x:f>
        <x:v>1030</x:v>
      </x:c>
      <x:c r="H40" s="6" t="n">
        <x:f>F40+G40</x:f>
        <x:v>11330</x:v>
      </x:c>
      <x:c r="I40" s="6" t="n">
        <x:f>H40-E40</x:f>
        <x:v>11273</x:v>
      </x:c>
      <x:c r="J40" s="6" t="n">
        <x:f>IFERROR(I40/C40,0)</x:f>
        <x:v>1878.8333333333333</x:v>
      </x:c>
      <x:c r="K40" s="2"/>
      <x:c r="L40" s="2"/>
      <x:c r="M40" s="2"/>
    </x:row>
    <x:row r="41" ht="22" customHeight="1">
      <x:c r="A41" s="9" t="str">
        <x:v>TXN-2-0034</x:v>
      </x:c>
      <x:c r="B41" s="9" t="str">
        <x:v>일반</x:v>
      </x:c>
      <x:c r="C41" s="6" t="n">
        <x:v>7</x:v>
      </x:c>
      <x:c r="D41" s="6" t="n">
        <x:v>1723</x:v>
      </x:c>
      <x:c r="E41" s="6" t="n">
        <x:v>76</x:v>
      </x:c>
      <x:c r="F41" s="6" t="n">
        <x:f>C41*D41</x:f>
        <x:v>12061</x:v>
      </x:c>
      <x:c r="G41" s="6" t="n">
        <x:f>ROUND(F41*$M$4,0)</x:f>
        <x:v>1206</x:v>
      </x:c>
      <x:c r="H41" s="6" t="n">
        <x:f>F41+G41</x:f>
        <x:v>13267</x:v>
      </x:c>
      <x:c r="I41" s="6" t="n">
        <x:f>H41-E41</x:f>
        <x:v>13191</x:v>
      </x:c>
      <x:c r="J41" s="6" t="n">
        <x:f>IFERROR(I41/C41,0)</x:f>
        <x:v>1884.4285714285713</x:v>
      </x:c>
      <x:c r="K41" s="2"/>
      <x:c r="L41" s="2"/>
      <x:c r="M41" s="2"/>
    </x:row>
    <x:row r="42" ht="22" customHeight="1">
      <x:c r="A42" s="9" t="str">
        <x:v>TXN-2-0035</x:v>
      </x:c>
      <x:c r="B42" s="9" t="str">
        <x:v>일반</x:v>
      </x:c>
      <x:c r="C42" s="6" t="n">
        <x:v>1</x:v>
      </x:c>
      <x:c r="D42" s="6" t="n">
        <x:v>1746</x:v>
      </x:c>
      <x:c r="E42" s="6" t="n">
        <x:v>0</x:v>
      </x:c>
      <x:c r="F42" s="6" t="n">
        <x:f>C42*D42</x:f>
        <x:v>1746</x:v>
      </x:c>
      <x:c r="G42" s="6" t="n">
        <x:f>ROUND(F42*$M$4,0)</x:f>
        <x:v>175</x:v>
      </x:c>
      <x:c r="H42" s="6" t="n">
        <x:f>F42+G42</x:f>
        <x:v>1921</x:v>
      </x:c>
      <x:c r="I42" s="6" t="n">
        <x:f>H42-E42</x:f>
        <x:v>1921</x:v>
      </x:c>
      <x:c r="J42" s="6" t="n">
        <x:f>IFERROR(I42/C42,0)</x:f>
        <x:v>1921</x:v>
      </x:c>
      <x:c r="K42" s="2"/>
      <x:c r="L42" s="2"/>
      <x:c r="M42" s="2"/>
    </x:row>
    <x:row r="43" ht="22" customHeight="1">
      <x:c r="A43" s="9" t="str">
        <x:v>TXN-2-0036</x:v>
      </x:c>
      <x:c r="B43" s="9" t="str">
        <x:v>일반</x:v>
      </x:c>
      <x:c r="C43" s="6" t="n">
        <x:v>2</x:v>
      </x:c>
      <x:c r="D43" s="6" t="n">
        <x:v>1769</x:v>
      </x:c>
      <x:c r="E43" s="6" t="n">
        <x:v>19</x:v>
      </x:c>
      <x:c r="F43" s="6" t="n">
        <x:f>C43*D43</x:f>
        <x:v>3538</x:v>
      </x:c>
      <x:c r="G43" s="6" t="n">
        <x:f>ROUND(F43*$M$4,0)</x:f>
        <x:v>354</x:v>
      </x:c>
      <x:c r="H43" s="6" t="n">
        <x:f>F43+G43</x:f>
        <x:v>3892</x:v>
      </x:c>
      <x:c r="I43" s="6" t="n">
        <x:f>H43-E43</x:f>
        <x:v>3873</x:v>
      </x:c>
      <x:c r="J43" s="6" t="n">
        <x:f>IFERROR(I43/C43,0)</x:f>
        <x:v>1936.5</x:v>
      </x:c>
      <x:c r="K43" s="2"/>
      <x:c r="L43" s="2"/>
      <x:c r="M43" s="2"/>
    </x:row>
    <x:row r="44" ht="22" customHeight="1">
      <x:c r="A44" s="9" t="str">
        <x:v>TXN-2-0037</x:v>
      </x:c>
      <x:c r="B44" s="9" t="str">
        <x:v>일반</x:v>
      </x:c>
      <x:c r="C44" s="6" t="n">
        <x:v>3</x:v>
      </x:c>
      <x:c r="D44" s="6" t="n">
        <x:v>1792</x:v>
      </x:c>
      <x:c r="E44" s="6" t="n">
        <x:v>38</x:v>
      </x:c>
      <x:c r="F44" s="6" t="n">
        <x:f>C44*D44</x:f>
        <x:v>5376</x:v>
      </x:c>
      <x:c r="G44" s="6" t="n">
        <x:f>ROUND(F44*$M$4,0)</x:f>
        <x:v>538</x:v>
      </x:c>
      <x:c r="H44" s="6" t="n">
        <x:f>F44+G44</x:f>
        <x:v>5914</x:v>
      </x:c>
      <x:c r="I44" s="6" t="n">
        <x:f>H44-E44</x:f>
        <x:v>5876</x:v>
      </x:c>
      <x:c r="J44" s="6" t="n">
        <x:f>IFERROR(I44/C44,0)</x:f>
        <x:v>1958.6666666666667</x:v>
      </x:c>
      <x:c r="K44" s="2"/>
      <x:c r="L44" s="2"/>
      <x:c r="M44" s="2"/>
    </x:row>
    <x:row r="45" ht="22" customHeight="1">
      <x:c r="A45" s="9" t="str">
        <x:v>TXN-2-0038</x:v>
      </x:c>
      <x:c r="B45" s="9" t="str">
        <x:v>일반</x:v>
      </x:c>
      <x:c r="C45" s="6" t="n">
        <x:v>4</x:v>
      </x:c>
      <x:c r="D45" s="6" t="n">
        <x:v>1815</x:v>
      </x:c>
      <x:c r="E45" s="6" t="n">
        <x:v>57</x:v>
      </x:c>
      <x:c r="F45" s="6" t="n">
        <x:f>C45*D45</x:f>
        <x:v>7260</x:v>
      </x:c>
      <x:c r="G45" s="6" t="n">
        <x:f>ROUND(F45*$M$4,0)</x:f>
        <x:v>726</x:v>
      </x:c>
      <x:c r="H45" s="6" t="n">
        <x:f>F45+G45</x:f>
        <x:v>7986</x:v>
      </x:c>
      <x:c r="I45" s="6" t="n">
        <x:f>H45-E45</x:f>
        <x:v>7929</x:v>
      </x:c>
      <x:c r="J45" s="6" t="n">
        <x:f>IFERROR(I45/C45,0)</x:f>
        <x:v>1982.25</x:v>
      </x:c>
      <x:c r="K45" s="2"/>
      <x:c r="L45" s="2"/>
      <x:c r="M45" s="2"/>
    </x:row>
    <x:row r="46" ht="22" customHeight="1">
      <x:c r="A46" s="9" t="str">
        <x:v>TXN-2-0039</x:v>
      </x:c>
      <x:c r="B46" s="9" t="str">
        <x:v>일반</x:v>
      </x:c>
      <x:c r="C46" s="6" t="n">
        <x:v>5</x:v>
      </x:c>
      <x:c r="D46" s="6" t="n">
        <x:v>1838</x:v>
      </x:c>
      <x:c r="E46" s="6" t="n">
        <x:v>76</x:v>
      </x:c>
      <x:c r="F46" s="6" t="n">
        <x:f>C46*D46</x:f>
        <x:v>9190</x:v>
      </x:c>
      <x:c r="G46" s="6" t="n">
        <x:f>ROUND(F46*$M$4,0)</x:f>
        <x:v>919</x:v>
      </x:c>
      <x:c r="H46" s="6" t="n">
        <x:f>F46+G46</x:f>
        <x:v>10109</x:v>
      </x:c>
      <x:c r="I46" s="6" t="n">
        <x:f>H46-E46</x:f>
        <x:v>10033</x:v>
      </x:c>
      <x:c r="J46" s="6" t="n">
        <x:f>IFERROR(I46/C46,0)</x:f>
        <x:v>2006.6</x:v>
      </x:c>
      <x:c r="K46" s="2"/>
      <x:c r="L46" s="2"/>
      <x:c r="M46" s="2"/>
    </x:row>
    <x:row r="47" ht="22" customHeight="1">
      <x:c r="A47" s="9" t="str">
        <x:v>TXN-2-0040</x:v>
      </x:c>
      <x:c r="B47" s="9" t="str">
        <x:v>일반</x:v>
      </x:c>
      <x:c r="C47" s="6" t="n">
        <x:v>6</x:v>
      </x:c>
      <x:c r="D47" s="6" t="n">
        <x:v>1861</x:v>
      </x:c>
      <x:c r="E47" s="6" t="n">
        <x:v>0</x:v>
      </x:c>
      <x:c r="F47" s="6" t="n">
        <x:f>C47*D47</x:f>
        <x:v>11166</x:v>
      </x:c>
      <x:c r="G47" s="6" t="n">
        <x:f>ROUND(F47*$M$4,0)</x:f>
        <x:v>1117</x:v>
      </x:c>
      <x:c r="H47" s="6" t="n">
        <x:f>F47+G47</x:f>
        <x:v>12283</x:v>
      </x:c>
      <x:c r="I47" s="6" t="n">
        <x:f>H47-E47</x:f>
        <x:v>12283</x:v>
      </x:c>
      <x:c r="J47" s="6" t="n">
        <x:f>IFERROR(I47/C47,0)</x:f>
        <x:v>2047.1666666666667</x:v>
      </x:c>
      <x:c r="K47" s="2"/>
      <x:c r="L47" s="2"/>
      <x:c r="M47" s="2"/>
    </x:row>
    <x:row r="48" ht="22" customHeight="1">
      <x:c r="A48" s="9" t="str">
        <x:v>TXN-2-0041</x:v>
      </x:c>
      <x:c r="B48" s="9" t="str">
        <x:v>일반</x:v>
      </x:c>
      <x:c r="C48" s="6" t="n">
        <x:v>7</x:v>
      </x:c>
      <x:c r="D48" s="6" t="n">
        <x:v>1884</x:v>
      </x:c>
      <x:c r="E48" s="6" t="n">
        <x:v>19</x:v>
      </x:c>
      <x:c r="F48" s="6" t="n">
        <x:f>C48*D48</x:f>
        <x:v>13188</x:v>
      </x:c>
      <x:c r="G48" s="6" t="n">
        <x:f>ROUND(F48*$M$4,0)</x:f>
        <x:v>1319</x:v>
      </x:c>
      <x:c r="H48" s="6" t="n">
        <x:f>F48+G48</x:f>
        <x:v>14507</x:v>
      </x:c>
      <x:c r="I48" s="6" t="n">
        <x:f>H48-E48</x:f>
        <x:v>14488</x:v>
      </x:c>
      <x:c r="J48" s="6" t="n">
        <x:f>IFERROR(I48/C48,0)</x:f>
        <x:v>2069.714285714286</x:v>
      </x:c>
      <x:c r="K48" s="2"/>
      <x:c r="L48" s="2"/>
      <x:c r="M48" s="2"/>
    </x:row>
    <x:row r="49" ht="22" customHeight="1">
      <x:c r="A49" s="9" t="str">
        <x:v>TXN-2-0042</x:v>
      </x:c>
      <x:c r="B49" s="9" t="str">
        <x:v>일반</x:v>
      </x:c>
      <x:c r="C49" s="6" t="n">
        <x:v>1</x:v>
      </x:c>
      <x:c r="D49" s="6" t="n">
        <x:v>1907</x:v>
      </x:c>
      <x:c r="E49" s="6" t="n">
        <x:v>38</x:v>
      </x:c>
      <x:c r="F49" s="6" t="n">
        <x:f>C49*D49</x:f>
        <x:v>1907</x:v>
      </x:c>
      <x:c r="G49" s="6" t="n">
        <x:f>ROUND(F49*$M$4,0)</x:f>
        <x:v>191</x:v>
      </x:c>
      <x:c r="H49" s="6" t="n">
        <x:f>F49+G49</x:f>
        <x:v>2098</x:v>
      </x:c>
      <x:c r="I49" s="6" t="n">
        <x:f>H49-E49</x:f>
        <x:v>2060</x:v>
      </x:c>
      <x:c r="J49" s="6" t="n">
        <x:f>IFERROR(I49/C49,0)</x:f>
        <x:v>2060</x:v>
      </x:c>
      <x:c r="K49" s="2"/>
      <x:c r="L49" s="2"/>
      <x:c r="M49" s="2"/>
    </x:row>
    <x:row r="50" ht="22" customHeight="1">
      <x:c r="A50" s="9" t="str">
        <x:v>TXN-2-0043</x:v>
      </x:c>
      <x:c r="B50" s="9" t="str">
        <x:v>일반</x:v>
      </x:c>
      <x:c r="C50" s="6" t="n">
        <x:v>2</x:v>
      </x:c>
      <x:c r="D50" s="6" t="n">
        <x:v>1930</x:v>
      </x:c>
      <x:c r="E50" s="6" t="n">
        <x:v>57</x:v>
      </x:c>
      <x:c r="F50" s="6" t="n">
        <x:f>C50*D50</x:f>
        <x:v>3860</x:v>
      </x:c>
      <x:c r="G50" s="6" t="n">
        <x:f>ROUND(F50*$M$4,0)</x:f>
        <x:v>386</x:v>
      </x:c>
      <x:c r="H50" s="6" t="n">
        <x:f>F50+G50</x:f>
        <x:v>4246</x:v>
      </x:c>
      <x:c r="I50" s="6" t="n">
        <x:f>H50-E50</x:f>
        <x:v>4189</x:v>
      </x:c>
      <x:c r="J50" s="6" t="n">
        <x:f>IFERROR(I50/C50,0)</x:f>
        <x:v>2094.5</x:v>
      </x:c>
      <x:c r="K50" s="2"/>
      <x:c r="L50" s="2"/>
      <x:c r="M50" s="2"/>
    </x:row>
    <x:row r="51" ht="22" customHeight="1">
      <x:c r="A51" s="9" t="str">
        <x:v>TXN-2-0044</x:v>
      </x:c>
      <x:c r="B51" s="9" t="str">
        <x:v>일반</x:v>
      </x:c>
      <x:c r="C51" s="6" t="n">
        <x:v>3</x:v>
      </x:c>
      <x:c r="D51" s="6" t="n">
        <x:v>1953</x:v>
      </x:c>
      <x:c r="E51" s="6" t="n">
        <x:v>76</x:v>
      </x:c>
      <x:c r="F51" s="6" t="n">
        <x:f>C51*D51</x:f>
        <x:v>5859</x:v>
      </x:c>
      <x:c r="G51" s="6" t="n">
        <x:f>ROUND(F51*$M$4,0)</x:f>
        <x:v>586</x:v>
      </x:c>
      <x:c r="H51" s="6" t="n">
        <x:f>F51+G51</x:f>
        <x:v>6445</x:v>
      </x:c>
      <x:c r="I51" s="6" t="n">
        <x:f>H51-E51</x:f>
        <x:v>6369</x:v>
      </x:c>
      <x:c r="J51" s="6" t="n">
        <x:f>IFERROR(I51/C51,0)</x:f>
        <x:v>2123</x:v>
      </x:c>
      <x:c r="K51" s="2"/>
      <x:c r="L51" s="2"/>
      <x:c r="M51" s="2"/>
    </x:row>
    <x:row r="52" ht="22" customHeight="1">
      <x:c r="A52" s="9" t="str">
        <x:v>TXN-2-0045</x:v>
      </x:c>
      <x:c r="B52" s="9" t="str">
        <x:v>일반</x:v>
      </x:c>
      <x:c r="C52" s="6" t="n">
        <x:v>4</x:v>
      </x:c>
      <x:c r="D52" s="6" t="n">
        <x:v>1976</x:v>
      </x:c>
      <x:c r="E52" s="6" t="n">
        <x:v>0</x:v>
      </x:c>
      <x:c r="F52" s="6" t="n">
        <x:f>C52*D52</x:f>
        <x:v>7904</x:v>
      </x:c>
      <x:c r="G52" s="6" t="n">
        <x:f>ROUND(F52*$M$4,0)</x:f>
        <x:v>790</x:v>
      </x:c>
      <x:c r="H52" s="6" t="n">
        <x:f>F52+G52</x:f>
        <x:v>8694</x:v>
      </x:c>
      <x:c r="I52" s="6" t="n">
        <x:f>H52-E52</x:f>
        <x:v>8694</x:v>
      </x:c>
      <x:c r="J52" s="6" t="n">
        <x:f>IFERROR(I52/C52,0)</x:f>
        <x:v>2173.5</x:v>
      </x:c>
      <x:c r="K52" s="2"/>
      <x:c r="L52" s="2"/>
      <x:c r="M52" s="2"/>
    </x:row>
    <x:row r="53" ht="22" customHeight="1">
      <x:c r="A53" s="9" t="str">
        <x:v>TXN-2-0046</x:v>
      </x:c>
      <x:c r="B53" s="9" t="str">
        <x:v>일반</x:v>
      </x:c>
      <x:c r="C53" s="6" t="n">
        <x:v>5</x:v>
      </x:c>
      <x:c r="D53" s="6" t="n">
        <x:v>1999</x:v>
      </x:c>
      <x:c r="E53" s="6" t="n">
        <x:v>19</x:v>
      </x:c>
      <x:c r="F53" s="6" t="n">
        <x:f>C53*D53</x:f>
        <x:v>9995</x:v>
      </x:c>
      <x:c r="G53" s="6" t="n">
        <x:f>ROUND(F53*$M$4,0)</x:f>
        <x:v>1000</x:v>
      </x:c>
      <x:c r="H53" s="6" t="n">
        <x:f>F53+G53</x:f>
        <x:v>10995</x:v>
      </x:c>
      <x:c r="I53" s="6" t="n">
        <x:f>H53-E53</x:f>
        <x:v>10976</x:v>
      </x:c>
      <x:c r="J53" s="6" t="n">
        <x:f>IFERROR(I53/C53,0)</x:f>
        <x:v>2195.2</x:v>
      </x:c>
      <x:c r="K53" s="2"/>
      <x:c r="L53" s="2"/>
      <x:c r="M53" s="2"/>
    </x:row>
    <x:row r="54" ht="22" customHeight="1">
      <x:c r="A54" s="9" t="str">
        <x:v>TXN-2-0047</x:v>
      </x:c>
      <x:c r="B54" s="9" t="str">
        <x:v>일반</x:v>
      </x:c>
      <x:c r="C54" s="6" t="n">
        <x:v>6</x:v>
      </x:c>
      <x:c r="D54" s="6" t="n">
        <x:v>2022</x:v>
      </x:c>
      <x:c r="E54" s="6" t="n">
        <x:v>38</x:v>
      </x:c>
      <x:c r="F54" s="6" t="n">
        <x:f>C54*D54</x:f>
        <x:v>12132</x:v>
      </x:c>
      <x:c r="G54" s="6" t="n">
        <x:f>ROUND(F54*$M$4,0)</x:f>
        <x:v>1213</x:v>
      </x:c>
      <x:c r="H54" s="6" t="n">
        <x:f>F54+G54</x:f>
        <x:v>13345</x:v>
      </x:c>
      <x:c r="I54" s="6" t="n">
        <x:f>H54-E54</x:f>
        <x:v>13307</x:v>
      </x:c>
      <x:c r="J54" s="6" t="n">
        <x:f>IFERROR(I54/C54,0)</x:f>
        <x:v>2217.8333333333335</x:v>
      </x:c>
      <x:c r="K54" s="2"/>
      <x:c r="L54" s="2"/>
      <x:c r="M54" s="2"/>
    </x:row>
    <x:row r="55" ht="22" customHeight="1">
      <x:c r="A55" s="9" t="str">
        <x:v>TXN-2-0048</x:v>
      </x:c>
      <x:c r="B55" s="9" t="str">
        <x:v>일반</x:v>
      </x:c>
      <x:c r="C55" s="6" t="n">
        <x:v>7</x:v>
      </x:c>
      <x:c r="D55" s="6" t="n">
        <x:v>2045</x:v>
      </x:c>
      <x:c r="E55" s="6" t="n">
        <x:v>57</x:v>
      </x:c>
      <x:c r="F55" s="6" t="n">
        <x:f>C55*D55</x:f>
        <x:v>14315</x:v>
      </x:c>
      <x:c r="G55" s="6" t="n">
        <x:f>ROUND(F55*$M$4,0)</x:f>
        <x:v>1432</x:v>
      </x:c>
      <x:c r="H55" s="6" t="n">
        <x:f>F55+G55</x:f>
        <x:v>15747</x:v>
      </x:c>
      <x:c r="I55" s="6" t="n">
        <x:f>H55-E55</x:f>
        <x:v>15690</x:v>
      </x:c>
      <x:c r="J55" s="6" t="n">
        <x:f>IFERROR(I55/C55,0)</x:f>
        <x:v>2241.4285714285716</x:v>
      </x:c>
      <x:c r="K55" s="2"/>
      <x:c r="L55" s="2"/>
      <x:c r="M55" s="2"/>
    </x:row>
    <x:row r="56" ht="22" customHeight="1">
      <x:c r="A56" s="9" t="str">
        <x:v>TXN-2-0049</x:v>
      </x:c>
      <x:c r="B56" s="9" t="str">
        <x:v>일반</x:v>
      </x:c>
      <x:c r="C56" s="6" t="n">
        <x:v>1</x:v>
      </x:c>
      <x:c r="D56" s="6" t="n">
        <x:v>2068</x:v>
      </x:c>
      <x:c r="E56" s="6" t="n">
        <x:v>76</x:v>
      </x:c>
      <x:c r="F56" s="6" t="n">
        <x:f>C56*D56</x:f>
        <x:v>2068</x:v>
      </x:c>
      <x:c r="G56" s="6" t="n">
        <x:f>ROUND(F56*$M$4,0)</x:f>
        <x:v>207</x:v>
      </x:c>
      <x:c r="H56" s="6" t="n">
        <x:f>F56+G56</x:f>
        <x:v>2275</x:v>
      </x:c>
      <x:c r="I56" s="6" t="n">
        <x:f>H56-E56</x:f>
        <x:v>2199</x:v>
      </x:c>
      <x:c r="J56" s="6" t="n">
        <x:f>IFERROR(I56/C56,0)</x:f>
        <x:v>2199</x:v>
      </x:c>
      <x:c r="K56" s="2"/>
      <x:c r="L56" s="2"/>
      <x:c r="M56" s="2"/>
    </x:row>
    <x:row r="57" ht="22" customHeight="1">
      <x:c r="A57" s="9" t="str">
        <x:v>TXN-2-0050</x:v>
      </x:c>
      <x:c r="B57" s="9" t="str">
        <x:v>일반</x:v>
      </x:c>
      <x:c r="C57" s="6" t="n">
        <x:v>2</x:v>
      </x:c>
      <x:c r="D57" s="6" t="n">
        <x:v>2091</x:v>
      </x:c>
      <x:c r="E57" s="6" t="n">
        <x:v>0</x:v>
      </x:c>
      <x:c r="F57" s="6" t="n">
        <x:f>C57*D57</x:f>
        <x:v>4182</x:v>
      </x:c>
      <x:c r="G57" s="6" t="n">
        <x:f>ROUND(F57*$M$4,0)</x:f>
        <x:v>418</x:v>
      </x:c>
      <x:c r="H57" s="6" t="n">
        <x:f>F57+G57</x:f>
        <x:v>4600</x:v>
      </x:c>
      <x:c r="I57" s="6" t="n">
        <x:f>H57-E57</x:f>
        <x:v>4600</x:v>
      </x:c>
      <x:c r="J57" s="6" t="n">
        <x:f>IFERROR(I57/C57,0)</x:f>
        <x:v>2300</x:v>
      </x:c>
      <x:c r="K57" s="2"/>
      <x:c r="L57" s="2"/>
      <x:c r="M57" s="2"/>
    </x:row>
    <x:row r="58" ht="22" customHeight="1">
      <x:c r="A58" s="9" t="str">
        <x:v>TXN-2-0051</x:v>
      </x:c>
      <x:c r="B58" s="9" t="str">
        <x:v>일반</x:v>
      </x:c>
      <x:c r="C58" s="6" t="n">
        <x:v>3</x:v>
      </x:c>
      <x:c r="D58" s="6" t="n">
        <x:v>2114</x:v>
      </x:c>
      <x:c r="E58" s="6" t="n">
        <x:v>19</x:v>
      </x:c>
      <x:c r="F58" s="6" t="n">
        <x:f>C58*D58</x:f>
        <x:v>6342</x:v>
      </x:c>
      <x:c r="G58" s="6" t="n">
        <x:f>ROUND(F58*$M$4,0)</x:f>
        <x:v>634</x:v>
      </x:c>
      <x:c r="H58" s="6" t="n">
        <x:f>F58+G58</x:f>
        <x:v>6976</x:v>
      </x:c>
      <x:c r="I58" s="6" t="n">
        <x:f>H58-E58</x:f>
        <x:v>6957</x:v>
      </x:c>
      <x:c r="J58" s="6" t="n">
        <x:f>IFERROR(I58/C58,0)</x:f>
        <x:v>2319</x:v>
      </x:c>
      <x:c r="K58" s="2"/>
      <x:c r="L58" s="2"/>
      <x:c r="M58" s="2"/>
    </x:row>
    <x:row r="59" ht="22" customHeight="1">
      <x:c r="A59" s="9" t="str">
        <x:v>TXN-2-0052</x:v>
      </x:c>
      <x:c r="B59" s="9" t="str">
        <x:v>일반</x:v>
      </x:c>
      <x:c r="C59" s="6" t="n">
        <x:v>4</x:v>
      </x:c>
      <x:c r="D59" s="6" t="n">
        <x:v>2137</x:v>
      </x:c>
      <x:c r="E59" s="6" t="n">
        <x:v>38</x:v>
      </x:c>
      <x:c r="F59" s="6" t="n">
        <x:f>C59*D59</x:f>
        <x:v>8548</x:v>
      </x:c>
      <x:c r="G59" s="6" t="n">
        <x:f>ROUND(F59*$M$4,0)</x:f>
        <x:v>855</x:v>
      </x:c>
      <x:c r="H59" s="6" t="n">
        <x:f>F59+G59</x:f>
        <x:v>9403</x:v>
      </x:c>
      <x:c r="I59" s="6" t="n">
        <x:f>H59-E59</x:f>
        <x:v>9365</x:v>
      </x:c>
      <x:c r="J59" s="6" t="n">
        <x:f>IFERROR(I59/C59,0)</x:f>
        <x:v>2341.25</x:v>
      </x:c>
      <x:c r="K59" s="2"/>
      <x:c r="L59" s="2"/>
      <x:c r="M59" s="2"/>
    </x:row>
    <x:row r="60" ht="22" customHeight="1">
      <x:c r="A60" s="9" t="str">
        <x:v>TXN-2-0053</x:v>
      </x:c>
      <x:c r="B60" s="9" t="str">
        <x:v>일반</x:v>
      </x:c>
      <x:c r="C60" s="6" t="n">
        <x:v>5</x:v>
      </x:c>
      <x:c r="D60" s="6" t="n">
        <x:v>2160</x:v>
      </x:c>
      <x:c r="E60" s="6" t="n">
        <x:v>57</x:v>
      </x:c>
      <x:c r="F60" s="6" t="n">
        <x:f>C60*D60</x:f>
        <x:v>10800</x:v>
      </x:c>
      <x:c r="G60" s="6" t="n">
        <x:f>ROUND(F60*$M$4,0)</x:f>
        <x:v>1080</x:v>
      </x:c>
      <x:c r="H60" s="6" t="n">
        <x:f>F60+G60</x:f>
        <x:v>11880</x:v>
      </x:c>
      <x:c r="I60" s="6" t="n">
        <x:f>H60-E60</x:f>
        <x:v>11823</x:v>
      </x:c>
      <x:c r="J60" s="6" t="n">
        <x:f>IFERROR(I60/C60,0)</x:f>
        <x:v>2364.6</x:v>
      </x:c>
      <x:c r="K60" s="2"/>
      <x:c r="L60" s="2"/>
      <x:c r="M60" s="2"/>
    </x:row>
    <x:row r="61" ht="22" customHeight="1">
      <x:c r="A61" s="9" t="str">
        <x:v>TXN-2-0054</x:v>
      </x:c>
      <x:c r="B61" s="9" t="str">
        <x:v>일반</x:v>
      </x:c>
      <x:c r="C61" s="6" t="n">
        <x:v>6</x:v>
      </x:c>
      <x:c r="D61" s="6" t="n">
        <x:v>2183</x:v>
      </x:c>
      <x:c r="E61" s="6" t="n">
        <x:v>76</x:v>
      </x:c>
      <x:c r="F61" s="6" t="n">
        <x:f>C61*D61</x:f>
        <x:v>13098</x:v>
      </x:c>
      <x:c r="G61" s="6" t="n">
        <x:f>ROUND(F61*$M$4,0)</x:f>
        <x:v>1310</x:v>
      </x:c>
      <x:c r="H61" s="6" t="n">
        <x:f>F61+G61</x:f>
        <x:v>14408</x:v>
      </x:c>
      <x:c r="I61" s="6" t="n">
        <x:f>H61-E61</x:f>
        <x:v>14332</x:v>
      </x:c>
      <x:c r="J61" s="6" t="n">
        <x:f>IFERROR(I61/C61,0)</x:f>
        <x:v>2388.6666666666665</x:v>
      </x:c>
      <x:c r="K61" s="2"/>
      <x:c r="L61" s="2"/>
      <x:c r="M61" s="2"/>
    </x:row>
    <x:row r="62" ht="22" customHeight="1">
      <x:c r="A62" s="9" t="str">
        <x:v>TXN-2-0055</x:v>
      </x:c>
      <x:c r="B62" s="9" t="str">
        <x:v>일반</x:v>
      </x:c>
      <x:c r="C62" s="6" t="n">
        <x:v>7</x:v>
      </x:c>
      <x:c r="D62" s="6" t="n">
        <x:v>2206</x:v>
      </x:c>
      <x:c r="E62" s="6" t="n">
        <x:v>0</x:v>
      </x:c>
      <x:c r="F62" s="6" t="n">
        <x:f>C62*D62</x:f>
        <x:v>15442</x:v>
      </x:c>
      <x:c r="G62" s="6" t="n">
        <x:f>ROUND(F62*$M$4,0)</x:f>
        <x:v>1544</x:v>
      </x:c>
      <x:c r="H62" s="6" t="n">
        <x:f>F62+G62</x:f>
        <x:v>16986</x:v>
      </x:c>
      <x:c r="I62" s="6" t="n">
        <x:f>H62-E62</x:f>
        <x:v>16986</x:v>
      </x:c>
      <x:c r="J62" s="6" t="n">
        <x:f>IFERROR(I62/C62,0)</x:f>
        <x:v>2426.5714285714284</x:v>
      </x:c>
      <x:c r="K62" s="2"/>
      <x:c r="L62" s="2"/>
      <x:c r="M62" s="2"/>
    </x:row>
    <x:row r="63" ht="22" customHeight="1">
      <x:c r="A63" s="9" t="str">
        <x:v>TXN-2-0056</x:v>
      </x:c>
      <x:c r="B63" s="9" t="str">
        <x:v>일반</x:v>
      </x:c>
      <x:c r="C63" s="6" t="n">
        <x:v>1</x:v>
      </x:c>
      <x:c r="D63" s="6" t="n">
        <x:v>2229</x:v>
      </x:c>
      <x:c r="E63" s="6" t="n">
        <x:v>19</x:v>
      </x:c>
      <x:c r="F63" s="6" t="n">
        <x:f>C63*D63</x:f>
        <x:v>2229</x:v>
      </x:c>
      <x:c r="G63" s="6" t="n">
        <x:f>ROUND(F63*$M$4,0)</x:f>
        <x:v>223</x:v>
      </x:c>
      <x:c r="H63" s="6" t="n">
        <x:f>F63+G63</x:f>
        <x:v>2452</x:v>
      </x:c>
      <x:c r="I63" s="6" t="n">
        <x:f>H63-E63</x:f>
        <x:v>2433</x:v>
      </x:c>
      <x:c r="J63" s="6" t="n">
        <x:f>IFERROR(I63/C63,0)</x:f>
        <x:v>2433</x:v>
      </x:c>
      <x:c r="K63" s="2"/>
      <x:c r="L63" s="2"/>
      <x:c r="M63" s="2"/>
    </x:row>
    <x:row r="64" ht="22" customHeight="1">
      <x:c r="A64" s="9" t="str">
        <x:v>TXN-2-0057</x:v>
      </x:c>
      <x:c r="B64" s="9" t="str">
        <x:v>일반</x:v>
      </x:c>
      <x:c r="C64" s="6" t="n">
        <x:v>2</x:v>
      </x:c>
      <x:c r="D64" s="6" t="n">
        <x:v>2252</x:v>
      </x:c>
      <x:c r="E64" s="6" t="n">
        <x:v>38</x:v>
      </x:c>
      <x:c r="F64" s="6" t="n">
        <x:f>C64*D64</x:f>
        <x:v>4504</x:v>
      </x:c>
      <x:c r="G64" s="6" t="n">
        <x:f>ROUND(F64*$M$4,0)</x:f>
        <x:v>450</x:v>
      </x:c>
      <x:c r="H64" s="6" t="n">
        <x:f>F64+G64</x:f>
        <x:v>4954</x:v>
      </x:c>
      <x:c r="I64" s="6" t="n">
        <x:f>H64-E64</x:f>
        <x:v>4916</x:v>
      </x:c>
      <x:c r="J64" s="6" t="n">
        <x:f>IFERROR(I64/C64,0)</x:f>
        <x:v>2458</x:v>
      </x:c>
      <x:c r="K64" s="2"/>
      <x:c r="L64" s="2"/>
      <x:c r="M64" s="2"/>
    </x:row>
    <x:row r="65" ht="22" customHeight="1">
      <x:c r="A65" s="9" t="str">
        <x:v>TXN-2-0058</x:v>
      </x:c>
      <x:c r="B65" s="9" t="str">
        <x:v>일반</x:v>
      </x:c>
      <x:c r="C65" s="6" t="n">
        <x:v>3</x:v>
      </x:c>
      <x:c r="D65" s="6" t="n">
        <x:v>2275</x:v>
      </x:c>
      <x:c r="E65" s="6" t="n">
        <x:v>57</x:v>
      </x:c>
      <x:c r="F65" s="6" t="n">
        <x:f>C65*D65</x:f>
        <x:v>6825</x:v>
      </x:c>
      <x:c r="G65" s="6" t="n">
        <x:f>ROUND(F65*$M$4,0)</x:f>
        <x:v>683</x:v>
      </x:c>
      <x:c r="H65" s="6" t="n">
        <x:f>F65+G65</x:f>
        <x:v>7508</x:v>
      </x:c>
      <x:c r="I65" s="6" t="n">
        <x:f>H65-E65</x:f>
        <x:v>7451</x:v>
      </x:c>
      <x:c r="J65" s="6" t="n">
        <x:f>IFERROR(I65/C65,0)</x:f>
        <x:v>2483.6666666666665</x:v>
      </x:c>
      <x:c r="K65" s="2"/>
      <x:c r="L65" s="2"/>
      <x:c r="M65" s="2"/>
    </x:row>
    <x:row r="66" ht="22" customHeight="1">
      <x:c r="A66" s="9" t="str">
        <x:v>TXN-2-0059</x:v>
      </x:c>
      <x:c r="B66" s="9" t="str">
        <x:v>일반</x:v>
      </x:c>
      <x:c r="C66" s="6" t="n">
        <x:v>4</x:v>
      </x:c>
      <x:c r="D66" s="6" t="n">
        <x:v>2298</x:v>
      </x:c>
      <x:c r="E66" s="6" t="n">
        <x:v>76</x:v>
      </x:c>
      <x:c r="F66" s="6" t="n">
        <x:f>C66*D66</x:f>
        <x:v>9192</x:v>
      </x:c>
      <x:c r="G66" s="6" t="n">
        <x:f>ROUND(F66*$M$4,0)</x:f>
        <x:v>919</x:v>
      </x:c>
      <x:c r="H66" s="6" t="n">
        <x:f>F66+G66</x:f>
        <x:v>10111</x:v>
      </x:c>
      <x:c r="I66" s="6" t="n">
        <x:f>H66-E66</x:f>
        <x:v>10035</x:v>
      </x:c>
      <x:c r="J66" s="6" t="n">
        <x:f>IFERROR(I66/C66,0)</x:f>
        <x:v>2508.75</x:v>
      </x:c>
      <x:c r="K66" s="2"/>
      <x:c r="L66" s="2"/>
      <x:c r="M66" s="2"/>
    </x:row>
    <x:row r="67" ht="22" customHeight="1">
      <x:c r="A67" s="9" t="str">
        <x:v>TXN-2-0060</x:v>
      </x:c>
      <x:c r="B67" s="9" t="str">
        <x:v>일반</x:v>
      </x:c>
      <x:c r="C67" s="6" t="n">
        <x:v>5</x:v>
      </x:c>
      <x:c r="D67" s="6" t="n">
        <x:v>2321</x:v>
      </x:c>
      <x:c r="E67" s="6" t="n">
        <x:v>0</x:v>
      </x:c>
      <x:c r="F67" s="6" t="n">
        <x:f>C67*D67</x:f>
        <x:v>11605</x:v>
      </x:c>
      <x:c r="G67" s="6" t="n">
        <x:f>ROUND(F67*$M$4,0)</x:f>
        <x:v>1161</x:v>
      </x:c>
      <x:c r="H67" s="6" t="n">
        <x:f>F67+G67</x:f>
        <x:v>12766</x:v>
      </x:c>
      <x:c r="I67" s="6" t="n">
        <x:f>H67-E67</x:f>
        <x:v>12766</x:v>
      </x:c>
      <x:c r="J67" s="6" t="n">
        <x:f>IFERROR(I67/C67,0)</x:f>
        <x:v>2553.2</x:v>
      </x:c>
      <x:c r="K67" s="2"/>
      <x:c r="L67" s="2"/>
      <x:c r="M67" s="2"/>
    </x:row>
    <x:row r="68" ht="22" customHeight="1">
      <x:c r="A68" s="9" t="str">
        <x:v>TXN-2-0061</x:v>
      </x:c>
      <x:c r="B68" s="9" t="str">
        <x:v>일반</x:v>
      </x:c>
      <x:c r="C68" s="6" t="n">
        <x:v>6</x:v>
      </x:c>
      <x:c r="D68" s="6" t="n">
        <x:v>2344</x:v>
      </x:c>
      <x:c r="E68" s="6" t="n">
        <x:v>19</x:v>
      </x:c>
      <x:c r="F68" s="6" t="n">
        <x:f>C68*D68</x:f>
        <x:v>14064</x:v>
      </x:c>
      <x:c r="G68" s="6" t="n">
        <x:f>ROUND(F68*$M$4,0)</x:f>
        <x:v>1406</x:v>
      </x:c>
      <x:c r="H68" s="6" t="n">
        <x:f>F68+G68</x:f>
        <x:v>15470</x:v>
      </x:c>
      <x:c r="I68" s="6" t="n">
        <x:f>H68-E68</x:f>
        <x:v>15451</x:v>
      </x:c>
      <x:c r="J68" s="6" t="n">
        <x:f>IFERROR(I68/C68,0)</x:f>
        <x:v>2575.1666666666665</x:v>
      </x:c>
      <x:c r="K68" s="2"/>
      <x:c r="L68" s="2"/>
      <x:c r="M68" s="2"/>
    </x:row>
    <x:row r="69" ht="22" customHeight="1">
      <x:c r="A69" s="9" t="str">
        <x:v>TXN-2-0062</x:v>
      </x:c>
      <x:c r="B69" s="9" t="str">
        <x:v>일반</x:v>
      </x:c>
      <x:c r="C69" s="6" t="n">
        <x:v>7</x:v>
      </x:c>
      <x:c r="D69" s="6" t="n">
        <x:v>2367</x:v>
      </x:c>
      <x:c r="E69" s="6" t="n">
        <x:v>38</x:v>
      </x:c>
      <x:c r="F69" s="6" t="n">
        <x:f>C69*D69</x:f>
        <x:v>16569</x:v>
      </x:c>
      <x:c r="G69" s="6" t="n">
        <x:f>ROUND(F69*$M$4,0)</x:f>
        <x:v>1657</x:v>
      </x:c>
      <x:c r="H69" s="6" t="n">
        <x:f>F69+G69</x:f>
        <x:v>18226</x:v>
      </x:c>
      <x:c r="I69" s="6" t="n">
        <x:f>H69-E69</x:f>
        <x:v>18188</x:v>
      </x:c>
      <x:c r="J69" s="6" t="n">
        <x:f>IFERROR(I69/C69,0)</x:f>
        <x:v>2598.285714285714</x:v>
      </x:c>
      <x:c r="K69" s="2"/>
      <x:c r="L69" s="2"/>
      <x:c r="M69" s="2"/>
    </x:row>
    <x:row r="70" ht="22" customHeight="1">
      <x:c r="A70" s="9" t="str">
        <x:v>TXN-2-0063</x:v>
      </x:c>
      <x:c r="B70" s="9" t="str">
        <x:v>일반</x:v>
      </x:c>
      <x:c r="C70" s="6" t="n">
        <x:v>1</x:v>
      </x:c>
      <x:c r="D70" s="6" t="n">
        <x:v>2390</x:v>
      </x:c>
      <x:c r="E70" s="6" t="n">
        <x:v>57</x:v>
      </x:c>
      <x:c r="F70" s="6" t="n">
        <x:f>C70*D70</x:f>
        <x:v>2390</x:v>
      </x:c>
      <x:c r="G70" s="6" t="n">
        <x:f>ROUND(F70*$M$4,0)</x:f>
        <x:v>239</x:v>
      </x:c>
      <x:c r="H70" s="6" t="n">
        <x:f>F70+G70</x:f>
        <x:v>2629</x:v>
      </x:c>
      <x:c r="I70" s="6" t="n">
        <x:f>H70-E70</x:f>
        <x:v>2572</x:v>
      </x:c>
      <x:c r="J70" s="6" t="n">
        <x:f>IFERROR(I70/C70,0)</x:f>
        <x:v>2572</x:v>
      </x:c>
      <x:c r="K70" s="2"/>
      <x:c r="L70" s="2"/>
      <x:c r="M70" s="2"/>
    </x:row>
    <x:row r="71" ht="22" customHeight="1">
      <x:c r="A71" s="9" t="str">
        <x:v>TXN-2-0064</x:v>
      </x:c>
      <x:c r="B71" s="9" t="str">
        <x:v>일반</x:v>
      </x:c>
      <x:c r="C71" s="6" t="n">
        <x:v>2</x:v>
      </x:c>
      <x:c r="D71" s="6" t="n">
        <x:v>2413</x:v>
      </x:c>
      <x:c r="E71" s="6" t="n">
        <x:v>76</x:v>
      </x:c>
      <x:c r="F71" s="6" t="n">
        <x:f>C71*D71</x:f>
        <x:v>4826</x:v>
      </x:c>
      <x:c r="G71" s="6" t="n">
        <x:f>ROUND(F71*$M$4,0)</x:f>
        <x:v>483</x:v>
      </x:c>
      <x:c r="H71" s="6" t="n">
        <x:f>F71+G71</x:f>
        <x:v>5309</x:v>
      </x:c>
      <x:c r="I71" s="6" t="n">
        <x:f>H71-E71</x:f>
        <x:v>5233</x:v>
      </x:c>
      <x:c r="J71" s="6" t="n">
        <x:f>IFERROR(I71/C71,0)</x:f>
        <x:v>2616.5</x:v>
      </x:c>
      <x:c r="K71" s="2"/>
      <x:c r="L71" s="2"/>
      <x:c r="M71" s="2"/>
    </x:row>
    <x:row r="72" ht="22" customHeight="1">
      <x:c r="A72" s="9" t="str">
        <x:v>TXN-2-0065</x:v>
      </x:c>
      <x:c r="B72" s="9" t="str">
        <x:v>일반</x:v>
      </x:c>
      <x:c r="C72" s="6" t="n">
        <x:v>3</x:v>
      </x:c>
      <x:c r="D72" s="6" t="n">
        <x:v>2436</x:v>
      </x:c>
      <x:c r="E72" s="6" t="n">
        <x:v>0</x:v>
      </x:c>
      <x:c r="F72" s="6" t="n">
        <x:f>C72*D72</x:f>
        <x:v>7308</x:v>
      </x:c>
      <x:c r="G72" s="6" t="n">
        <x:f>ROUND(F72*$M$4,0)</x:f>
        <x:v>731</x:v>
      </x:c>
      <x:c r="H72" s="6" t="n">
        <x:f>F72+G72</x:f>
        <x:v>8039</x:v>
      </x:c>
      <x:c r="I72" s="6" t="n">
        <x:f>H72-E72</x:f>
        <x:v>8039</x:v>
      </x:c>
      <x:c r="J72" s="6" t="n">
        <x:f>IFERROR(I72/C72,0)</x:f>
        <x:v>2679.6666666666665</x:v>
      </x:c>
      <x:c r="K72" s="2"/>
      <x:c r="L72" s="2"/>
      <x:c r="M72" s="2"/>
    </x:row>
    <x:row r="73" ht="22" customHeight="1">
      <x:c r="A73" s="9" t="str">
        <x:v>TXN-2-0066</x:v>
      </x:c>
      <x:c r="B73" s="9" t="str">
        <x:v>일반</x:v>
      </x:c>
      <x:c r="C73" s="6" t="n">
        <x:v>4</x:v>
      </x:c>
      <x:c r="D73" s="6" t="n">
        <x:v>2459</x:v>
      </x:c>
      <x:c r="E73" s="6" t="n">
        <x:v>19</x:v>
      </x:c>
      <x:c r="F73" s="6" t="n">
        <x:f>C73*D73</x:f>
        <x:v>9836</x:v>
      </x:c>
      <x:c r="G73" s="6" t="n">
        <x:f>ROUND(F73*$M$4,0)</x:f>
        <x:v>984</x:v>
      </x:c>
      <x:c r="H73" s="6" t="n">
        <x:f>F73+G73</x:f>
        <x:v>10820</x:v>
      </x:c>
      <x:c r="I73" s="6" t="n">
        <x:f>H73-E73</x:f>
        <x:v>10801</x:v>
      </x:c>
      <x:c r="J73" s="6" t="n">
        <x:f>IFERROR(I73/C73,0)</x:f>
        <x:v>2700.25</x:v>
      </x:c>
      <x:c r="K73" s="2"/>
      <x:c r="L73" s="2"/>
      <x:c r="M73" s="2"/>
    </x:row>
    <x:row r="74" ht="22" customHeight="1">
      <x:c r="A74" s="9" t="str">
        <x:v>TXN-2-0067</x:v>
      </x:c>
      <x:c r="B74" s="9" t="str">
        <x:v>일반</x:v>
      </x:c>
      <x:c r="C74" s="6" t="n">
        <x:v>5</x:v>
      </x:c>
      <x:c r="D74" s="6" t="n">
        <x:v>2482</x:v>
      </x:c>
      <x:c r="E74" s="6" t="n">
        <x:v>38</x:v>
      </x:c>
      <x:c r="F74" s="6" t="n">
        <x:f>C74*D74</x:f>
        <x:v>12410</x:v>
      </x:c>
      <x:c r="G74" s="6" t="n">
        <x:f>ROUND(F74*$M$4,0)</x:f>
        <x:v>1241</x:v>
      </x:c>
      <x:c r="H74" s="6" t="n">
        <x:f>F74+G74</x:f>
        <x:v>13651</x:v>
      </x:c>
      <x:c r="I74" s="6" t="n">
        <x:f>H74-E74</x:f>
        <x:v>13613</x:v>
      </x:c>
      <x:c r="J74" s="6" t="n">
        <x:f>IFERROR(I74/C74,0)</x:f>
        <x:v>2722.6</x:v>
      </x:c>
      <x:c r="K74" s="2"/>
      <x:c r="L74" s="2"/>
      <x:c r="M74" s="2"/>
    </x:row>
    <x:row r="75" ht="22" customHeight="1">
      <x:c r="A75" s="9" t="str">
        <x:v>TXN-2-0068</x:v>
      </x:c>
      <x:c r="B75" s="9" t="str">
        <x:v>일반</x:v>
      </x:c>
      <x:c r="C75" s="6" t="n">
        <x:v>6</x:v>
      </x:c>
      <x:c r="D75" s="6" t="n">
        <x:v>2505</x:v>
      </x:c>
      <x:c r="E75" s="6" t="n">
        <x:v>57</x:v>
      </x:c>
      <x:c r="F75" s="6" t="n">
        <x:f>C75*D75</x:f>
        <x:v>15030</x:v>
      </x:c>
      <x:c r="G75" s="6" t="n">
        <x:f>ROUND(F75*$M$4,0)</x:f>
        <x:v>1503</x:v>
      </x:c>
      <x:c r="H75" s="6" t="n">
        <x:f>F75+G75</x:f>
        <x:v>16533</x:v>
      </x:c>
      <x:c r="I75" s="6" t="n">
        <x:f>H75-E75</x:f>
        <x:v>16476</x:v>
      </x:c>
      <x:c r="J75" s="6" t="n">
        <x:f>IFERROR(I75/C75,0)</x:f>
        <x:v>2746</x:v>
      </x:c>
      <x:c r="K75" s="2"/>
      <x:c r="L75" s="2"/>
      <x:c r="M75" s="2"/>
    </x:row>
    <x:row r="76" ht="22" customHeight="1">
      <x:c r="A76" s="9" t="str">
        <x:v>TXN-2-0069</x:v>
      </x:c>
      <x:c r="B76" s="9" t="str">
        <x:v>일반</x:v>
      </x:c>
      <x:c r="C76" s="6" t="n">
        <x:v>7</x:v>
      </x:c>
      <x:c r="D76" s="6" t="n">
        <x:v>2528</x:v>
      </x:c>
      <x:c r="E76" s="6" t="n">
        <x:v>76</x:v>
      </x:c>
      <x:c r="F76" s="6" t="n">
        <x:f>C76*D76</x:f>
        <x:v>17696</x:v>
      </x:c>
      <x:c r="G76" s="6" t="n">
        <x:f>ROUND(F76*$M$5,0)</x:f>
        <x:v>3539</x:v>
      </x:c>
      <x:c r="H76" s="6" t="n">
        <x:f>F76+G76</x:f>
        <x:v>21235</x:v>
      </x:c>
      <x:c r="I76" s="6" t="n">
        <x:f>H76-E76</x:f>
        <x:v>21159</x:v>
      </x:c>
      <x:c r="J76" s="6" t="n">
        <x:f>IFERROR(I76/C76,0)</x:f>
        <x:v>3022.714285714286</x:v>
      </x:c>
      <x:c r="K76" s="2"/>
      <x:c r="L76" s="2"/>
      <x:c r="M76" s="2"/>
    </x:row>
    <x:row r="77" ht="22" customHeight="1">
      <x:c r="A77" s="9" t="str">
        <x:v>TXN-2-0070</x:v>
      </x:c>
      <x:c r="B77" s="9" t="str">
        <x:v>일반</x:v>
      </x:c>
      <x:c r="C77" s="6" t="n">
        <x:v>1</x:v>
      </x:c>
      <x:c r="D77" s="6" t="n">
        <x:v>2551</x:v>
      </x:c>
      <x:c r="E77" s="6" t="n">
        <x:v>0</x:v>
      </x:c>
      <x:c r="F77" s="6" t="n">
        <x:f>C77*D77</x:f>
        <x:v>2551</x:v>
      </x:c>
      <x:c r="G77" s="6" t="n">
        <x:f>ROUND(F77*$M$4,0)</x:f>
        <x:v>255</x:v>
      </x:c>
      <x:c r="H77" s="6" t="n">
        <x:f>F77+G77</x:f>
        <x:v>2806</x:v>
      </x:c>
      <x:c r="I77" s="6" t="n">
        <x:f>H77-E77</x:f>
        <x:v>2806</x:v>
      </x:c>
      <x:c r="J77" s="6" t="n">
        <x:f>IFERROR(I77/C77,0)</x:f>
        <x:v>2806</x:v>
      </x:c>
      <x:c r="K77" s="2"/>
      <x:c r="L77" s="2"/>
      <x:c r="M77" s="2"/>
    </x:row>
    <x:row r="78" ht="22" customHeight="1">
      <x:c r="A78" s="9" t="str">
        <x:v>TXN-2-0071</x:v>
      </x:c>
      <x:c r="B78" s="9" t="str">
        <x:v>일반</x:v>
      </x:c>
      <x:c r="C78" s="6" t="n">
        <x:v>2</x:v>
      </x:c>
      <x:c r="D78" s="6" t="n">
        <x:v>2574</x:v>
      </x:c>
      <x:c r="E78" s="6" t="n">
        <x:v>19</x:v>
      </x:c>
      <x:c r="F78" s="6" t="n">
        <x:f>C78*D78</x:f>
        <x:v>5148</x:v>
      </x:c>
      <x:c r="G78" s="6" t="n">
        <x:f>ROUND(F78*$M$4,0)</x:f>
        <x:v>515</x:v>
      </x:c>
      <x:c r="H78" s="6" t="n">
        <x:f>F78+G78</x:f>
        <x:v>5663</x:v>
      </x:c>
      <x:c r="I78" s="6" t="n">
        <x:f>H78-E78</x:f>
        <x:v>5644</x:v>
      </x:c>
      <x:c r="J78" s="6" t="n">
        <x:f>IFERROR(I78/C78,0)</x:f>
        <x:v>2822</x:v>
      </x:c>
      <x:c r="K78" s="2"/>
      <x:c r="L78" s="2"/>
      <x:c r="M78" s="2"/>
    </x:row>
    <x:row r="79" ht="22" customHeight="1">
      <x:c r="A79" s="9" t="str">
        <x:v>TXN-2-0072</x:v>
      </x:c>
      <x:c r="B79" s="9" t="str">
        <x:v>일반</x:v>
      </x:c>
      <x:c r="C79" s="6" t="n">
        <x:v>3</x:v>
      </x:c>
      <x:c r="D79" s="6" t="n">
        <x:v>2597</x:v>
      </x:c>
      <x:c r="E79" s="6" t="n">
        <x:v>38</x:v>
      </x:c>
      <x:c r="F79" s="6" t="n">
        <x:f>C79*D79</x:f>
        <x:v>7791</x:v>
      </x:c>
      <x:c r="G79" s="6" t="n">
        <x:f>ROUND(F79*$M$4,0)</x:f>
        <x:v>779</x:v>
      </x:c>
      <x:c r="H79" s="6" t="n">
        <x:f>F79+G79</x:f>
        <x:v>8570</x:v>
      </x:c>
      <x:c r="I79" s="6" t="n">
        <x:f>H79-E79</x:f>
        <x:v>8532</x:v>
      </x:c>
      <x:c r="J79" s="6" t="n">
        <x:f>IFERROR(I79/C79,0)</x:f>
        <x:v>2844</x:v>
      </x:c>
      <x:c r="K79" s="2"/>
      <x:c r="L79" s="2"/>
      <x:c r="M79" s="2"/>
    </x:row>
    <x:row r="80" ht="22" customHeight="1">
      <x:c r="A80" s="9" t="str">
        <x:v>TXN-2-0073</x:v>
      </x:c>
      <x:c r="B80" s="9" t="str">
        <x:v>수동 조정</x:v>
      </x:c>
      <x:c r="C80" s="6" t="n">
        <x:v>4</x:v>
      </x:c>
      <x:c r="D80" s="6" t="n">
        <x:v>2620</x:v>
      </x:c>
      <x:c r="E80" s="6" t="n">
        <x:v>57</x:v>
      </x:c>
      <x:c r="F80" s="6" t="n">
        <x:f>C80*D80</x:f>
        <x:v>10480</x:v>
      </x:c>
      <x:c r="G80" s="6" t="n">
        <x:f>ROUND(F80*$M$4,0)</x:f>
        <x:v>1048</x:v>
      </x:c>
      <x:c r="H80" s="6" t="n">
        <x:f>F80+G80</x:f>
        <x:v>11528</x:v>
      </x:c>
      <x:c r="I80" s="6" t="n">
        <x:f>H80-E80-50</x:f>
        <x:v>11421</x:v>
      </x:c>
      <x:c r="J80" s="6" t="n">
        <x:f>IFERROR(I80/C80,0)</x:f>
        <x:v>2855.25</x:v>
      </x:c>
      <x:c r="K80" s="2"/>
      <x:c r="L80" s="2"/>
      <x:c r="M80" s="2"/>
    </x:row>
    <x:row r="81" ht="22" customHeight="1">
      <x:c r="A81" s="9" t="str">
        <x:v>TXN-2-0074</x:v>
      </x:c>
      <x:c r="B81" s="9" t="str">
        <x:v>일반</x:v>
      </x:c>
      <x:c r="C81" s="6" t="n">
        <x:v>5</x:v>
      </x:c>
      <x:c r="D81" s="6" t="n">
        <x:v>2643</x:v>
      </x:c>
      <x:c r="E81" s="6" t="n">
        <x:v>76</x:v>
      </x:c>
      <x:c r="F81" s="6" t="n">
        <x:f>C81*D81</x:f>
        <x:v>13215</x:v>
      </x:c>
      <x:c r="G81" s="6" t="n">
        <x:f>ROUND(F81*$M$4,0)</x:f>
        <x:v>1322</x:v>
      </x:c>
      <x:c r="H81" s="6" t="n">
        <x:f>F81+G81</x:f>
        <x:v>14537</x:v>
      </x:c>
      <x:c r="I81" s="6" t="n">
        <x:f>H81-E81</x:f>
        <x:v>14461</x:v>
      </x:c>
      <x:c r="J81" s="6" t="n">
        <x:f>IFERROR(I81/C81,0)</x:f>
        <x:v>2892.2</x:v>
      </x:c>
      <x:c r="K81" s="2"/>
      <x:c r="L81" s="2"/>
      <x:c r="M81" s="2"/>
    </x:row>
    <x:row r="82" ht="22" customHeight="1">
      <x:c r="A82" s="9" t="str">
        <x:v>TXN-2-0075</x:v>
      </x:c>
      <x:c r="B82" s="9" t="str">
        <x:v>일반</x:v>
      </x:c>
      <x:c r="C82" s="6" t="n">
        <x:v>6</x:v>
      </x:c>
      <x:c r="D82" s="6" t="n">
        <x:v>2666</x:v>
      </x:c>
      <x:c r="E82" s="6" t="n">
        <x:v>0</x:v>
      </x:c>
      <x:c r="F82" s="6" t="n">
        <x:f>C82*D82</x:f>
        <x:v>15996</x:v>
      </x:c>
      <x:c r="G82" s="6" t="n">
        <x:f>ROUND(F82*$M$4,0)</x:f>
        <x:v>1600</x:v>
      </x:c>
      <x:c r="H82" s="6" t="n">
        <x:f>F82+G82</x:f>
        <x:v>17596</x:v>
      </x:c>
      <x:c r="I82" s="6" t="n">
        <x:f>H82-E82</x:f>
        <x:v>17596</x:v>
      </x:c>
      <x:c r="J82" s="6" t="n">
        <x:f>IFERROR(I82/C82,0)</x:f>
        <x:v>2932.6666666666665</x:v>
      </x:c>
      <x:c r="K82" s="2"/>
      <x:c r="L82" s="2"/>
      <x:c r="M82" s="2"/>
    </x:row>
    <x:row r="83" ht="22" customHeight="1">
      <x:c r="A83" s="9" t="str">
        <x:v>TXN-2-0076</x:v>
      </x:c>
      <x:c r="B83" s="9" t="str">
        <x:v>일반</x:v>
      </x:c>
      <x:c r="C83" s="6" t="n">
        <x:v>7</x:v>
      </x:c>
      <x:c r="D83" s="6" t="n">
        <x:v>2689</x:v>
      </x:c>
      <x:c r="E83" s="6" t="n">
        <x:v>19</x:v>
      </x:c>
      <x:c r="F83" s="6" t="n">
        <x:f>C83*D83</x:f>
        <x:v>18823</x:v>
      </x:c>
      <x:c r="G83" s="6" t="n">
        <x:f>ROUND(F83*$M$4,0)</x:f>
        <x:v>1882</x:v>
      </x:c>
      <x:c r="H83" s="6" t="n">
        <x:f>F83+G83</x:f>
        <x:v>20705</x:v>
      </x:c>
      <x:c r="I83" s="6" t="n">
        <x:f>H83-E83</x:f>
        <x:v>20686</x:v>
      </x:c>
      <x:c r="J83" s="6" t="n">
        <x:f>IFERROR(I83/C83,0)</x:f>
        <x:v>2955.1428571428573</x:v>
      </x:c>
      <x:c r="K83" s="2"/>
      <x:c r="L83" s="2"/>
      <x:c r="M83" s="2"/>
    </x:row>
    <x:row r="84" ht="22" customHeight="1">
      <x:c r="A84" s="9" t="str">
        <x:v>TXN-2-0077</x:v>
      </x:c>
      <x:c r="B84" s="9" t="str">
        <x:v>일반</x:v>
      </x:c>
      <x:c r="C84" s="6" t="n">
        <x:v>1</x:v>
      </x:c>
      <x:c r="D84" s="6" t="n">
        <x:v>2712</x:v>
      </x:c>
      <x:c r="E84" s="6" t="n">
        <x:v>38</x:v>
      </x:c>
      <x:c r="F84" s="6" t="n">
        <x:f>C84*D84</x:f>
        <x:v>2712</x:v>
      </x:c>
      <x:c r="G84" s="6" t="n">
        <x:f>ROUND(F84*$M$4,0)</x:f>
        <x:v>271</x:v>
      </x:c>
      <x:c r="H84" s="6" t="n">
        <x:f>F84+G84</x:f>
        <x:v>2983</x:v>
      </x:c>
      <x:c r="I84" s="6" t="n">
        <x:f>H84-E84</x:f>
        <x:v>2945</x:v>
      </x:c>
      <x:c r="J84" s="6" t="n">
        <x:f>IFERROR(I84/C84,0)</x:f>
        <x:v>2945</x:v>
      </x:c>
      <x:c r="K84" s="2"/>
      <x:c r="L84" s="2"/>
      <x:c r="M84" s="2"/>
    </x:row>
    <x:row r="85" ht="22" customHeight="1">
      <x:c r="A85" s="9" t="str">
        <x:v>TXN-2-0078</x:v>
      </x:c>
      <x:c r="B85" s="9" t="str">
        <x:v>일반</x:v>
      </x:c>
      <x:c r="C85" s="6" t="n">
        <x:v>2</x:v>
      </x:c>
      <x:c r="D85" s="6" t="n">
        <x:v>2735</x:v>
      </x:c>
      <x:c r="E85" s="6" t="n">
        <x:v>57</x:v>
      </x:c>
      <x:c r="F85" s="6" t="n">
        <x:f>C85*D85</x:f>
        <x:v>5470</x:v>
      </x:c>
      <x:c r="G85" s="6" t="n">
        <x:f>ROUND(F85*$M$4,0)</x:f>
        <x:v>547</x:v>
      </x:c>
      <x:c r="H85" s="6" t="n">
        <x:f>F85+G85</x:f>
        <x:v>6017</x:v>
      </x:c>
      <x:c r="I85" s="6" t="n">
        <x:f>H85-E85</x:f>
        <x:v>5960</x:v>
      </x:c>
      <x:c r="J85" s="6" t="n">
        <x:f>IFERROR(I85/C85,0)</x:f>
        <x:v>2980</x:v>
      </x:c>
      <x:c r="K85" s="2"/>
      <x:c r="L85" s="2"/>
      <x:c r="M85" s="2"/>
    </x:row>
    <x:row r="86" ht="22" customHeight="1">
      <x:c r="A86" s="9" t="str">
        <x:v>TXN-2-0079</x:v>
      </x:c>
      <x:c r="B86" s="9" t="str">
        <x:v>일반</x:v>
      </x:c>
      <x:c r="C86" s="6" t="n">
        <x:v>3</x:v>
      </x:c>
      <x:c r="D86" s="6" t="n">
        <x:v>2758</x:v>
      </x:c>
      <x:c r="E86" s="6" t="n">
        <x:v>76</x:v>
      </x:c>
      <x:c r="F86" s="6" t="n">
        <x:f>C86*D86</x:f>
        <x:v>8274</x:v>
      </x:c>
      <x:c r="G86" s="6" t="n">
        <x:f>ROUND(F86*$M$4,0)</x:f>
        <x:v>827</x:v>
      </x:c>
      <x:c r="H86" s="6" t="n">
        <x:f>F86+G86</x:f>
        <x:v>9101</x:v>
      </x:c>
      <x:c r="I86" s="6" t="n">
        <x:f>H86-E86</x:f>
        <x:v>9025</x:v>
      </x:c>
      <x:c r="J86" s="6" t="n">
        <x:f>IFERROR(I86/C86,0)</x:f>
        <x:v>3008.3333333333335</x:v>
      </x:c>
      <x:c r="K86" s="2"/>
      <x:c r="L86" s="2"/>
      <x:c r="M86" s="2"/>
    </x:row>
    <x:row r="87" ht="22" customHeight="1">
      <x:c r="A87" s="9" t="str">
        <x:v>TXN-2-0080</x:v>
      </x:c>
      <x:c r="B87" s="9" t="str">
        <x:v>일반</x:v>
      </x:c>
      <x:c r="C87" s="6" t="n">
        <x:v>4</x:v>
      </x:c>
      <x:c r="D87" s="6" t="n">
        <x:v>2781</x:v>
      </x:c>
      <x:c r="E87" s="6" t="n">
        <x:v>0</x:v>
      </x:c>
      <x:c r="F87" s="6" t="n">
        <x:f>C87*D87</x:f>
        <x:v>11124</x:v>
      </x:c>
      <x:c r="G87" s="6" t="n">
        <x:f>ROUND(F87*$M$4,0)</x:f>
        <x:v>1112</x:v>
      </x:c>
      <x:c r="H87" s="6" t="n">
        <x:f>F87+G87</x:f>
        <x:v>12236</x:v>
      </x:c>
      <x:c r="I87" s="6" t="n">
        <x:f>H87-E87</x:f>
        <x:v>12236</x:v>
      </x:c>
      <x:c r="J87" s="6" t="n">
        <x:f>IFERROR(I87/C87,0)</x:f>
        <x:v>3059</x:v>
      </x:c>
      <x:c r="K87" s="2"/>
      <x:c r="L87" s="2"/>
      <x:c r="M87" s="2"/>
    </x:row>
    <x:row r="88" ht="22" customHeight="1">
      <x:c r="A88" s="9" t="str">
        <x:v>TXN-2-0081</x:v>
      </x:c>
      <x:c r="B88" s="9" t="str">
        <x:v>일반</x:v>
      </x:c>
      <x:c r="C88" s="6" t="n">
        <x:v>5</x:v>
      </x:c>
      <x:c r="D88" s="6" t="n">
        <x:v>2804</x:v>
      </x:c>
      <x:c r="E88" s="6" t="n">
        <x:v>19</x:v>
      </x:c>
      <x:c r="F88" s="6" t="n">
        <x:f>C88*D88</x:f>
        <x:v>14020</x:v>
      </x:c>
      <x:c r="G88" s="6" t="n">
        <x:f>ROUND(F88*$M$4,0)</x:f>
        <x:v>1402</x:v>
      </x:c>
      <x:c r="H88" s="6" t="n">
        <x:f>F88+G88</x:f>
        <x:v>15422</x:v>
      </x:c>
      <x:c r="I88" s="6" t="n">
        <x:f>H88-E88</x:f>
        <x:v>15403</x:v>
      </x:c>
      <x:c r="J88" s="6" t="n">
        <x:f>IFERROR(I88/C88,0)</x:f>
        <x:v>3080.6</x:v>
      </x:c>
      <x:c r="K88" s="2"/>
      <x:c r="L88" s="2"/>
      <x:c r="M88" s="2"/>
    </x:row>
    <x:row r="89" ht="22" customHeight="1">
      <x:c r="A89" s="9" t="str">
        <x:v>TXN-2-0082</x:v>
      </x:c>
      <x:c r="B89" s="9" t="str">
        <x:v>일반</x:v>
      </x:c>
      <x:c r="C89" s="6" t="n">
        <x:v>6</x:v>
      </x:c>
      <x:c r="D89" s="6" t="n">
        <x:v>2827</x:v>
      </x:c>
      <x:c r="E89" s="6" t="n">
        <x:v>38</x:v>
      </x:c>
      <x:c r="F89" s="6" t="n">
        <x:f>C89*D89</x:f>
        <x:v>16962</x:v>
      </x:c>
      <x:c r="G89" s="6" t="n">
        <x:f>ROUND(F89*$M$4,0)</x:f>
        <x:v>1696</x:v>
      </x:c>
      <x:c r="H89" s="6" t="n">
        <x:f>F89+G89</x:f>
        <x:v>18658</x:v>
      </x:c>
      <x:c r="I89" s="6" t="n">
        <x:f>H89-E89</x:f>
        <x:v>18620</x:v>
      </x:c>
      <x:c r="J89" s="6" t="n">
        <x:f>IFERROR(I89/C89,0)</x:f>
        <x:v>3103.3333333333335</x:v>
      </x:c>
      <x:c r="K89" s="2"/>
      <x:c r="L89" s="2"/>
      <x:c r="M89" s="2"/>
    </x:row>
    <x:row r="90" ht="22" customHeight="1">
      <x:c r="A90" s="9" t="str">
        <x:v>TXN-2-0083</x:v>
      </x:c>
      <x:c r="B90" s="9" t="str">
        <x:v>일반</x:v>
      </x:c>
      <x:c r="C90" s="6" t="n">
        <x:v>7</x:v>
      </x:c>
      <x:c r="D90" s="6" t="n">
        <x:v>2850</x:v>
      </x:c>
      <x:c r="E90" s="6" t="n">
        <x:v>57</x:v>
      </x:c>
      <x:c r="F90" s="6" t="n">
        <x:f>C90*D90</x:f>
        <x:v>19950</x:v>
      </x:c>
      <x:c r="G90" s="6" t="n">
        <x:f>ROUND(F90*$M$4,0)</x:f>
        <x:v>1995</x:v>
      </x:c>
      <x:c r="H90" s="6" t="n">
        <x:f>F90+G90</x:f>
        <x:v>21945</x:v>
      </x:c>
      <x:c r="I90" s="6" t="n">
        <x:f>H90-E90</x:f>
        <x:v>21888</x:v>
      </x:c>
      <x:c r="J90" s="6" t="n">
        <x:f>IFERROR(I90/C90,0)</x:f>
        <x:v>3126.8571428571427</x:v>
      </x:c>
      <x:c r="K90" s="2"/>
      <x:c r="L90" s="2"/>
      <x:c r="M90" s="2"/>
    </x:row>
    <x:row r="91" ht="22" customHeight="1">
      <x:c r="A91" s="9" t="str">
        <x:v>TXN-2-0084</x:v>
      </x:c>
      <x:c r="B91" s="9" t="str">
        <x:v>일반</x:v>
      </x:c>
      <x:c r="C91" s="6" t="n">
        <x:v>1</x:v>
      </x:c>
      <x:c r="D91" s="6" t="n">
        <x:v>2873</x:v>
      </x:c>
      <x:c r="E91" s="6" t="n">
        <x:v>76</x:v>
      </x:c>
      <x:c r="F91" s="6" t="n">
        <x:f>C91*D91</x:f>
        <x:v>2873</x:v>
      </x:c>
      <x:c r="G91" s="6" t="n">
        <x:f>ROUND(F91*$M$4,0)</x:f>
        <x:v>287</x:v>
      </x:c>
      <x:c r="H91" s="6" t="n">
        <x:f>F91+G91</x:f>
        <x:v>3160</x:v>
      </x:c>
      <x:c r="I91" s="6" t="n">
        <x:f>H91-E91</x:f>
        <x:v>3084</x:v>
      </x:c>
      <x:c r="J91" s="6" t="n">
        <x:f>IFERROR(I91/C91,0)</x:f>
        <x:v>3084</x:v>
      </x:c>
      <x:c r="K91" s="2"/>
      <x:c r="L91" s="2"/>
      <x:c r="M91" s="2"/>
    </x:row>
    <x:row r="92" ht="22" customHeight="1">
      <x:c r="A92" s="9" t="str">
        <x:v>TXN-2-0085</x:v>
      </x:c>
      <x:c r="B92" s="9" t="str">
        <x:v>일반</x:v>
      </x:c>
      <x:c r="C92" s="6" t="n">
        <x:v>2</x:v>
      </x:c>
      <x:c r="D92" s="6" t="n">
        <x:v>2896</x:v>
      </x:c>
      <x:c r="E92" s="6" t="n">
        <x:v>0</x:v>
      </x:c>
      <x:c r="F92" s="6" t="n">
        <x:f>C92*D92</x:f>
        <x:v>5792</x:v>
      </x:c>
      <x:c r="G92" s="6" t="n">
        <x:f>ROUND(F92*$M$4,0)</x:f>
        <x:v>579</x:v>
      </x:c>
      <x:c r="H92" s="6" t="n">
        <x:f>F92+G92</x:f>
        <x:v>6371</x:v>
      </x:c>
      <x:c r="I92" s="6" t="n">
        <x:f>H92-E92</x:f>
        <x:v>6371</x:v>
      </x:c>
      <x:c r="J92" s="6" t="n">
        <x:f>IFERROR(I92/C92,0)</x:f>
        <x:v>3185.5</x:v>
      </x:c>
      <x:c r="K92" s="2"/>
      <x:c r="L92" s="2"/>
      <x:c r="M92" s="2"/>
    </x:row>
    <x:row r="93" ht="22" customHeight="1">
      <x:c r="A93" s="9" t="str">
        <x:v>TXN-2-0086</x:v>
      </x:c>
      <x:c r="B93" s="9" t="str">
        <x:v>일반</x:v>
      </x:c>
      <x:c r="C93" s="6" t="n">
        <x:v>3</x:v>
      </x:c>
      <x:c r="D93" s="6" t="n">
        <x:v>2919</x:v>
      </x:c>
      <x:c r="E93" s="6" t="n">
        <x:v>19</x:v>
      </x:c>
      <x:c r="F93" s="6" t="n">
        <x:f>C93*D93</x:f>
        <x:v>8757</x:v>
      </x:c>
      <x:c r="G93" s="6" t="n">
        <x:f>ROUND(F93*$M$4,0)</x:f>
        <x:v>876</x:v>
      </x:c>
      <x:c r="H93" s="6" t="n">
        <x:f>F93+G93</x:f>
        <x:v>9633</x:v>
      </x:c>
      <x:c r="I93" s="6" t="n">
        <x:f>H93-E93</x:f>
        <x:v>9614</x:v>
      </x:c>
      <x:c r="J93" s="6" t="n">
        <x:f>IFERROR(I93/C93,0)</x:f>
        <x:v>3204.6666666666665</x:v>
      </x:c>
      <x:c r="K93" s="2"/>
      <x:c r="L93" s="2"/>
      <x:c r="M93" s="2"/>
    </x:row>
    <x:row r="94" ht="22" customHeight="1">
      <x:c r="A94" s="9" t="str">
        <x:v>TXN-2-0087</x:v>
      </x:c>
      <x:c r="B94" s="9" t="str">
        <x:v>일반</x:v>
      </x:c>
      <x:c r="C94" s="6" t="n">
        <x:v>4</x:v>
      </x:c>
      <x:c r="D94" s="6" t="n">
        <x:v>2942</x:v>
      </x:c>
      <x:c r="E94" s="6" t="n">
        <x:v>38</x:v>
      </x:c>
      <x:c r="F94" s="6" t="n">
        <x:f>C94*D94</x:f>
        <x:v>11768</x:v>
      </x:c>
      <x:c r="G94" s="6" t="n">
        <x:f>ROUND(F94*$M$4,0)</x:f>
        <x:v>1177</x:v>
      </x:c>
      <x:c r="H94" s="6" t="n">
        <x:f>F94+G94</x:f>
        <x:v>12945</x:v>
      </x:c>
      <x:c r="I94" s="6" t="n">
        <x:f>H94-E94</x:f>
        <x:v>12907</x:v>
      </x:c>
      <x:c r="J94" s="6" t="n">
        <x:f>IFERROR(I94/C94,0)</x:f>
        <x:v>3226.75</x:v>
      </x:c>
      <x:c r="K94" s="2"/>
      <x:c r="L94" s="2"/>
      <x:c r="M94" s="2"/>
    </x:row>
    <x:row r="95" ht="22" customHeight="1">
      <x:c r="A95" s="9" t="str">
        <x:v>TXN-2-0088</x:v>
      </x:c>
      <x:c r="B95" s="9" t="str">
        <x:v>일반</x:v>
      </x:c>
      <x:c r="C95" s="6" t="n">
        <x:v>5</x:v>
      </x:c>
      <x:c r="D95" s="6" t="n">
        <x:v>2965</x:v>
      </x:c>
      <x:c r="E95" s="6" t="n">
        <x:v>57</x:v>
      </x:c>
      <x:c r="F95" s="6" t="n">
        <x:f>C95*D95</x:f>
        <x:v>14825</x:v>
      </x:c>
      <x:c r="G95" s="6" t="n">
        <x:f>ROUND(F95*$M$4,0)</x:f>
        <x:v>1483</x:v>
      </x:c>
      <x:c r="H95" s="6" t="n">
        <x:f>F95+G95</x:f>
        <x:v>16308</x:v>
      </x:c>
      <x:c r="I95" s="6" t="n">
        <x:v>42</x:v>
      </x:c>
      <x:c r="J95" s="6" t="n">
        <x:f>IFERROR(I95/C95,0)</x:f>
        <x:v>8.4</x:v>
      </x:c>
      <x:c r="K95" s="2"/>
      <x:c r="L95" s="2"/>
      <x:c r="M95" s="2"/>
    </x:row>
    <x:row r="96" ht="22" customHeight="1">
      <x:c r="A96" s="9" t="str">
        <x:v>TXN-2-0089</x:v>
      </x:c>
      <x:c r="B96" s="9" t="str">
        <x:v>일반</x:v>
      </x:c>
      <x:c r="C96" s="6" t="n">
        <x:v>6</x:v>
      </x:c>
      <x:c r="D96" s="6" t="n">
        <x:v>2988</x:v>
      </x:c>
      <x:c r="E96" s="6" t="n">
        <x:v>76</x:v>
      </x:c>
      <x:c r="F96" s="6" t="n">
        <x:f>C96*D96</x:f>
        <x:v>17928</x:v>
      </x:c>
      <x:c r="G96" s="6" t="n">
        <x:f>ROUND(F96*$M$4,0)</x:f>
        <x:v>1793</x:v>
      </x:c>
      <x:c r="H96" s="6" t="n">
        <x:f>F96+G96</x:f>
        <x:v>19721</x:v>
      </x:c>
      <x:c r="I96" s="6" t="n">
        <x:f>H96-E96</x:f>
        <x:v>19645</x:v>
      </x:c>
      <x:c r="J96" s="6" t="n">
        <x:f>IFERROR(I96/C96,0)</x:f>
        <x:v>3274.1666666666665</x:v>
      </x:c>
      <x:c r="K96" s="2"/>
      <x:c r="L96" s="2"/>
      <x:c r="M96" s="2"/>
    </x:row>
    <x:row r="97" ht="22" customHeight="1">
      <x:c r="A97" s="9" t="str">
        <x:v>TXN-2-0090</x:v>
      </x:c>
      <x:c r="B97" s="9" t="str">
        <x:v>일반</x:v>
      </x:c>
      <x:c r="C97" s="6" t="n">
        <x:v>7</x:v>
      </x:c>
      <x:c r="D97" s="6" t="n">
        <x:v>3011</x:v>
      </x:c>
      <x:c r="E97" s="6" t="n">
        <x:v>0</x:v>
      </x:c>
      <x:c r="F97" s="6" t="n">
        <x:f>C97*D97</x:f>
        <x:v>21077</x:v>
      </x:c>
      <x:c r="G97" s="6" t="n">
        <x:f>ROUND(F97*$M$4,0)</x:f>
        <x:v>2108</x:v>
      </x:c>
      <x:c r="H97" s="6" t="n">
        <x:f>F97+G97</x:f>
        <x:v>23185</x:v>
      </x:c>
      <x:c r="I97" s="6" t="n">
        <x:f>H97-E97</x:f>
        <x:v>23185</x:v>
      </x:c>
      <x:c r="J97" s="6" t="n">
        <x:f>IFERROR(I97/C97,0)</x:f>
        <x:v>3312.1428571428573</x:v>
      </x:c>
      <x:c r="K97" s="2"/>
      <x:c r="L97" s="2"/>
      <x:c r="M97" s="2"/>
    </x:row>
    <x:row r="98" ht="22" customHeight="1">
      <x:c r="A98" s="9" t="str">
        <x:v>TXN-2-0091</x:v>
      </x:c>
      <x:c r="B98" s="9" t="str">
        <x:v>일반</x:v>
      </x:c>
      <x:c r="C98" s="6" t="n">
        <x:v>1</x:v>
      </x:c>
      <x:c r="D98" s="6" t="n">
        <x:v>3034</x:v>
      </x:c>
      <x:c r="E98" s="6" t="n">
        <x:v>19</x:v>
      </x:c>
      <x:c r="F98" s="6" t="n">
        <x:f>C98*D98</x:f>
        <x:v>3034</x:v>
      </x:c>
      <x:c r="G98" s="6" t="n">
        <x:f>ROUND(F98*$M$4,0)</x:f>
        <x:v>303</x:v>
      </x:c>
      <x:c r="H98" s="6" t="n">
        <x:f>F98+G98</x:f>
        <x:v>3337</x:v>
      </x:c>
      <x:c r="I98" s="6" t="n">
        <x:f>H98-E98</x:f>
        <x:v>3318</x:v>
      </x:c>
      <x:c r="J98" s="6" t="n">
        <x:f>IFERROR(I98/C98,0)</x:f>
        <x:v>3318</x:v>
      </x:c>
      <x:c r="K98" s="2"/>
      <x:c r="L98" s="2"/>
      <x:c r="M98" s="2"/>
    </x:row>
    <x:row r="99" ht="22" customHeight="1">
      <x:c r="A99" s="9" t="str">
        <x:v>TXN-2-0092</x:v>
      </x:c>
      <x:c r="B99" s="9" t="str">
        <x:v>일반</x:v>
      </x:c>
      <x:c r="C99" s="6" t="n">
        <x:v>2</x:v>
      </x:c>
      <x:c r="D99" s="6" t="n">
        <x:v>3057</x:v>
      </x:c>
      <x:c r="E99" s="6" t="n">
        <x:v>38</x:v>
      </x:c>
      <x:c r="F99" s="6" t="n">
        <x:f>C99*D99</x:f>
        <x:v>6114</x:v>
      </x:c>
      <x:c r="G99" s="6" t="n">
        <x:f>ROUND(F99*$M$4,0)</x:f>
        <x:v>611</x:v>
      </x:c>
      <x:c r="H99" s="6" t="n">
        <x:f>F99+G99</x:f>
        <x:v>6725</x:v>
      </x:c>
      <x:c r="I99" s="6" t="n">
        <x:f>H99-E99</x:f>
        <x:v>6687</x:v>
      </x:c>
      <x:c r="J99" s="6" t="n">
        <x:f>IFERROR(I99/C99,0)</x:f>
        <x:v>3343.5</x:v>
      </x:c>
      <x:c r="K99" s="2"/>
      <x:c r="L99" s="2"/>
      <x:c r="M99" s="2"/>
    </x:row>
    <x:row r="100" ht="22" customHeight="1">
      <x:c r="A100" s="9" t="str">
        <x:v>TXN-2-0093</x:v>
      </x:c>
      <x:c r="B100" s="9" t="str">
        <x:v>일반</x:v>
      </x:c>
      <x:c r="C100" s="6" t="n">
        <x:v>3</x:v>
      </x:c>
      <x:c r="D100" s="6" t="n">
        <x:v>3080</x:v>
      </x:c>
      <x:c r="E100" s="6" t="n">
        <x:v>57</x:v>
      </x:c>
      <x:c r="F100" s="6" t="n">
        <x:f>C100*D100</x:f>
        <x:v>9240</x:v>
      </x:c>
      <x:c r="G100" s="6" t="n">
        <x:f>ROUND(F100*$M$4,0)</x:f>
        <x:v>924</x:v>
      </x:c>
      <x:c r="H100" s="6" t="n">
        <x:f>F100+G100</x:f>
        <x:v>10164</x:v>
      </x:c>
      <x:c r="I100" s="6" t="n">
        <x:f>H100-E100</x:f>
        <x:v>10107</x:v>
      </x:c>
      <x:c r="J100" s="6" t="n">
        <x:f>IFERROR(I100/C100,0)</x:f>
        <x:v>3369</x:v>
      </x:c>
      <x:c r="K100" s="2"/>
      <x:c r="L100" s="2"/>
      <x:c r="M100" s="2"/>
    </x:row>
    <x:row r="101" ht="22" customHeight="1">
      <x:c r="A101" s="9" t="str">
        <x:v>TXN-2-0094</x:v>
      </x:c>
      <x:c r="B101" s="9" t="str">
        <x:v>일반</x:v>
      </x:c>
      <x:c r="C101" s="6" t="n">
        <x:v>4</x:v>
      </x:c>
      <x:c r="D101" s="6" t="n">
        <x:v>3103</x:v>
      </x:c>
      <x:c r="E101" s="6" t="n">
        <x:v>76</x:v>
      </x:c>
      <x:c r="F101" s="6" t="n">
        <x:f>C101*D101</x:f>
        <x:v>12412</x:v>
      </x:c>
      <x:c r="G101" s="6" t="n">
        <x:f>ROUND(F101*$M$4,0)</x:f>
        <x:v>1241</x:v>
      </x:c>
      <x:c r="H101" s="6" t="n">
        <x:f>F101+G101</x:f>
        <x:v>13653</x:v>
      </x:c>
      <x:c r="I101" s="6" t="n">
        <x:f>H101-E101</x:f>
        <x:v>13577</x:v>
      </x:c>
      <x:c r="J101" s="6" t="n">
        <x:f>IFERROR(I101/C101,0)</x:f>
        <x:v>3394.25</x:v>
      </x:c>
      <x:c r="K101" s="2"/>
      <x:c r="L101" s="2"/>
      <x:c r="M101" s="2"/>
    </x:row>
    <x:row r="102" ht="22" customHeight="1">
      <x:c r="A102" s="9" t="str">
        <x:v>TXN-2-0095</x:v>
      </x:c>
      <x:c r="B102" s="9" t="str">
        <x:v>일반</x:v>
      </x:c>
      <x:c r="C102" s="6" t="n">
        <x:v>5</x:v>
      </x:c>
      <x:c r="D102" s="6" t="n">
        <x:v>3126</x:v>
      </x:c>
      <x:c r="E102" s="6" t="n">
        <x:v>0</x:v>
      </x:c>
      <x:c r="F102" s="6" t="n">
        <x:f>C102*D102</x:f>
        <x:v>15630</x:v>
      </x:c>
      <x:c r="G102" s="6" t="n">
        <x:f>ROUND(F102*$M$4,0)</x:f>
        <x:v>1563</x:v>
      </x:c>
      <x:c r="H102" s="6" t="n">
        <x:f>F102+G102</x:f>
        <x:v>17193</x:v>
      </x:c>
      <x:c r="I102" s="6" t="n">
        <x:f>H102-E102</x:f>
        <x:v>17193</x:v>
      </x:c>
      <x:c r="J102" s="6" t="n">
        <x:f>IFERROR(I102/C102,0)</x:f>
        <x:v>3438.6</x:v>
      </x:c>
      <x:c r="K102" s="2"/>
      <x:c r="L102" s="2"/>
      <x:c r="M102" s="2"/>
    </x:row>
    <x:row r="103" ht="22" customHeight="1">
      <x:c r="A103" s="9" t="str">
        <x:v>TXN-2-0096</x:v>
      </x:c>
      <x:c r="B103" s="9" t="str">
        <x:v>일반</x:v>
      </x:c>
      <x:c r="C103" s="6" t="n">
        <x:v>6</x:v>
      </x:c>
      <x:c r="D103" s="6" t="n">
        <x:v>3149</x:v>
      </x:c>
      <x:c r="E103" s="6" t="n">
        <x:v>19</x:v>
      </x:c>
      <x:c r="F103" s="6" t="n">
        <x:f>C103*D103</x:f>
        <x:v>18894</x:v>
      </x:c>
      <x:c r="G103" s="6" t="n">
        <x:f>ROUND(F103*$M$4,0)</x:f>
        <x:v>1889</x:v>
      </x:c>
      <x:c r="H103" s="6" t="n">
        <x:f>F103+G103</x:f>
        <x:v>20783</x:v>
      </x:c>
      <x:c r="I103" s="6" t="n">
        <x:f>H103-E103</x:f>
        <x:v>20764</x:v>
      </x:c>
      <x:c r="J103" s="6" t="n">
        <x:f>IFERROR(I103/C103,0)</x:f>
        <x:v>3460.6666666666665</x:v>
      </x:c>
      <x:c r="K103" s="2"/>
      <x:c r="L103" s="2"/>
      <x:c r="M103" s="2"/>
    </x:row>
    <x:row r="104" ht="22" customHeight="1">
      <x:c r="A104" s="9" t="str">
        <x:v>TXN-2-0097</x:v>
      </x:c>
      <x:c r="B104" s="9" t="str">
        <x:v>일반</x:v>
      </x:c>
      <x:c r="C104" s="6" t="n">
        <x:v>7</x:v>
      </x:c>
      <x:c r="D104" s="6" t="n">
        <x:v>3172</x:v>
      </x:c>
      <x:c r="E104" s="6" t="n">
        <x:v>38</x:v>
      </x:c>
      <x:c r="F104" s="6" t="n">
        <x:f>C104*D104</x:f>
        <x:v>22204</x:v>
      </x:c>
      <x:c r="G104" s="6" t="n">
        <x:f>ROUND(F104*$M$4,0)</x:f>
        <x:v>2220</x:v>
      </x:c>
      <x:c r="H104" s="6" t="n">
        <x:f>F104+G104</x:f>
        <x:v>24424</x:v>
      </x:c>
      <x:c r="I104" s="6" t="n">
        <x:f>H104-E104</x:f>
        <x:v>24386</x:v>
      </x:c>
      <x:c r="J104" s="6" t="n">
        <x:f>IFERROR(I104/C104,0)</x:f>
        <x:v>3483.714285714286</x:v>
      </x:c>
      <x:c r="K104" s="2"/>
      <x:c r="L104" s="2"/>
      <x:c r="M104" s="2"/>
    </x:row>
    <x:row r="105" ht="22" customHeight="1">
      <x:c r="A105" s="9" t="str">
        <x:v>TXN-2-0098</x:v>
      </x:c>
      <x:c r="B105" s="9" t="str">
        <x:v>일반</x:v>
      </x:c>
      <x:c r="C105" s="6" t="n">
        <x:v>1</x:v>
      </x:c>
      <x:c r="D105" s="6" t="n">
        <x:v>3195</x:v>
      </x:c>
      <x:c r="E105" s="6" t="n">
        <x:v>57</x:v>
      </x:c>
      <x:c r="F105" s="6" t="n">
        <x:f>C105*D105</x:f>
        <x:v>3195</x:v>
      </x:c>
      <x:c r="G105" s="6" t="n">
        <x:f>ROUND(F105*$M$4,0)</x:f>
        <x:v>320</x:v>
      </x:c>
      <x:c r="H105" s="6" t="n">
        <x:f>F105+G105</x:f>
        <x:v>3515</x:v>
      </x:c>
      <x:c r="I105" s="6" t="n">
        <x:f>H105-E105</x:f>
        <x:v>3458</x:v>
      </x:c>
      <x:c r="J105" s="6" t="n">
        <x:f>IFERROR(I105/C105,0)</x:f>
        <x:v>3458</x:v>
      </x:c>
      <x:c r="K105" s="2"/>
      <x:c r="L105" s="2"/>
      <x:c r="M105" s="2"/>
    </x:row>
    <x:row r="106" ht="22" customHeight="1">
      <x:c r="A106" s="9" t="str">
        <x:v>TXN-2-0099</x:v>
      </x:c>
      <x:c r="B106" s="9" t="str">
        <x:v>일반</x:v>
      </x:c>
      <x:c r="C106" s="6" t="n">
        <x:v>2</x:v>
      </x:c>
      <x:c r="D106" s="6" t="n">
        <x:v>3218</x:v>
      </x:c>
      <x:c r="E106" s="6" t="n">
        <x:v>76</x:v>
      </x:c>
      <x:c r="F106" s="6" t="n">
        <x:f>C106*D106</x:f>
        <x:v>6436</x:v>
      </x:c>
      <x:c r="G106" s="6" t="n">
        <x:f>ROUND(F106*$M$4,0)</x:f>
        <x:v>644</x:v>
      </x:c>
      <x:c r="H106" s="6" t="n">
        <x:f>F106+G106</x:f>
        <x:v>7080</x:v>
      </x:c>
      <x:c r="I106" s="6" t="n">
        <x:f>H106-E106</x:f>
        <x:v>7004</x:v>
      </x:c>
      <x:c r="J106" s="6" t="n">
        <x:f>IFERROR(I106/C106,0)</x:f>
        <x:v>3502</x:v>
      </x:c>
      <x:c r="K106" s="2"/>
      <x:c r="L106" s="2"/>
      <x:c r="M106" s="2"/>
    </x:row>
    <x:row r="107" ht="22" customHeight="1">
      <x:c r="A107" s="9" t="str">
        <x:v>TXN-2-0100</x:v>
      </x:c>
      <x:c r="B107" s="9" t="str">
        <x:v>일반</x:v>
      </x:c>
      <x:c r="C107" s="6" t="n">
        <x:v>3</x:v>
      </x:c>
      <x:c r="D107" s="6" t="n">
        <x:v>3241</x:v>
      </x:c>
      <x:c r="E107" s="6" t="n">
        <x:v>0</x:v>
      </x:c>
      <x:c r="F107" s="6" t="n">
        <x:f>C107*D107</x:f>
        <x:v>9723</x:v>
      </x:c>
      <x:c r="G107" s="6" t="n">
        <x:f>ROUND(F107*$M$4,0)</x:f>
        <x:v>972</x:v>
      </x:c>
      <x:c r="H107" s="6" t="n">
        <x:f>F107+G107</x:f>
        <x:v>10695</x:v>
      </x:c>
      <x:c r="I107" s="6" t="n">
        <x:f>H107-E107</x:f>
        <x:v>10695</x:v>
      </x:c>
      <x:c r="J107" s="6" t="n">
        <x:f>IFERROR(I107/C107,0)</x:f>
        <x:v>3565</x:v>
      </x:c>
      <x:c r="K107" s="2"/>
      <x:c r="L107" s="2"/>
      <x:c r="M107" s="2"/>
    </x:row>
    <x:row r="108" ht="22" customHeight="1">
      <x:c r="A108" s="9" t="str">
        <x:v>TXN-2-0101</x:v>
      </x:c>
      <x:c r="B108" s="9" t="str">
        <x:v>일반</x:v>
      </x:c>
      <x:c r="C108" s="6" t="n">
        <x:v>4</x:v>
      </x:c>
      <x:c r="D108" s="6" t="n">
        <x:v>3264</x:v>
      </x:c>
      <x:c r="E108" s="6" t="n">
        <x:v>19</x:v>
      </x:c>
      <x:c r="F108" s="6" t="n">
        <x:f>C108*D108</x:f>
        <x:v>13056</x:v>
      </x:c>
      <x:c r="G108" s="6" t="n">
        <x:f>ROUND(F108*$M$4,0)</x:f>
        <x:v>1306</x:v>
      </x:c>
      <x:c r="H108" s="6" t="n">
        <x:f>F108+G108</x:f>
        <x:v>14362</x:v>
      </x:c>
      <x:c r="I108" s="6" t="n">
        <x:f>H108-E108</x:f>
        <x:v>14343</x:v>
      </x:c>
      <x:c r="J108" s="6" t="n">
        <x:f>IFERROR(I108/C108,0)</x:f>
        <x:v>3585.75</x:v>
      </x:c>
      <x:c r="K108" s="2"/>
      <x:c r="L108" s="2"/>
      <x:c r="M108" s="2"/>
    </x:row>
    <x:row r="109" ht="22" customHeight="1">
      <x:c r="A109" s="9" t="str">
        <x:v>TXN-2-0102</x:v>
      </x:c>
      <x:c r="B109" s="9" t="str">
        <x:v>일반</x:v>
      </x:c>
      <x:c r="C109" s="6" t="n">
        <x:v>5</x:v>
      </x:c>
      <x:c r="D109" s="6" t="n">
        <x:v>3287</x:v>
      </x:c>
      <x:c r="E109" s="6" t="n">
        <x:v>38</x:v>
      </x:c>
      <x:c r="F109" s="6" t="n">
        <x:f>C109*D109</x:f>
        <x:v>16435</x:v>
      </x:c>
      <x:c r="G109" s="6" t="n">
        <x:f>ROUND(F109*$M$4,0)</x:f>
        <x:v>1644</x:v>
      </x:c>
      <x:c r="H109" s="6" t="n">
        <x:f>F109+G109</x:f>
        <x:v>18079</x:v>
      </x:c>
      <x:c r="I109" s="6" t="n">
        <x:f>H109-E109</x:f>
        <x:v>18041</x:v>
      </x:c>
      <x:c r="J109" s="6" t="n">
        <x:f>IFERROR(I109/C109,0)</x:f>
        <x:v>3608.2</x:v>
      </x:c>
      <x:c r="K109" s="2"/>
      <x:c r="L109" s="2"/>
      <x:c r="M109" s="2"/>
    </x:row>
    <x:row r="110" ht="22" customHeight="1">
      <x:c r="A110" s="9" t="str">
        <x:v>TXN-2-0103</x:v>
      </x:c>
      <x:c r="B110" s="9" t="str">
        <x:v>일반</x:v>
      </x:c>
      <x:c r="C110" s="6" t="n">
        <x:v>6</x:v>
      </x:c>
      <x:c r="D110" s="6" t="n">
        <x:v>3310</x:v>
      </x:c>
      <x:c r="E110" s="6" t="n">
        <x:v>57</x:v>
      </x:c>
      <x:c r="F110" s="6" t="n">
        <x:f>C110*D110</x:f>
        <x:v>19860</x:v>
      </x:c>
      <x:c r="G110" s="6" t="n">
        <x:f>ROUND(F110*$M$4,0)</x:f>
        <x:v>1986</x:v>
      </x:c>
      <x:c r="H110" s="6" t="n">
        <x:f>F110+G110</x:f>
        <x:v>21846</x:v>
      </x:c>
      <x:c r="I110" s="6" t="n">
        <x:f>H110-E110</x:f>
        <x:v>21789</x:v>
      </x:c>
      <x:c r="J110" s="6" t="n">
        <x:f>IFERROR(I110/C110,0)</x:f>
        <x:v>3631.5</x:v>
      </x:c>
      <x:c r="K110" s="2"/>
      <x:c r="L110" s="2"/>
      <x:c r="M110" s="2"/>
    </x:row>
    <x:row r="111" ht="22" customHeight="1">
      <x:c r="A111" s="9" t="str">
        <x:v>TXN-2-0104</x:v>
      </x:c>
      <x:c r="B111" s="9" t="str">
        <x:v>일반</x:v>
      </x:c>
      <x:c r="C111" s="6" t="n">
        <x:v>7</x:v>
      </x:c>
      <x:c r="D111" s="6" t="n">
        <x:v>3333</x:v>
      </x:c>
      <x:c r="E111" s="6" t="n">
        <x:v>76</x:v>
      </x:c>
      <x:c r="F111" s="6" t="n">
        <x:f>C111*D111</x:f>
        <x:v>23331</x:v>
      </x:c>
      <x:c r="G111" s="6" t="n">
        <x:f>ROUND(F111*$M$4,0)</x:f>
        <x:v>2333</x:v>
      </x:c>
      <x:c r="H111" s="6" t="n">
        <x:f>F111+G111</x:f>
        <x:v>25664</x:v>
      </x:c>
      <x:c r="I111" s="6" t="n">
        <x:f>H111-E111</x:f>
        <x:v>25588</x:v>
      </x:c>
      <x:c r="J111" s="6" t="n">
        <x:f>IFERROR(I111/C111,0)</x:f>
        <x:v>3655.4285714285716</x:v>
      </x:c>
      <x:c r="K111" s="2"/>
      <x:c r="L111" s="2"/>
      <x:c r="M111" s="2"/>
    </x:row>
    <x:row r="112" ht="22" customHeight="1">
      <x:c r="A112" s="9" t="str">
        <x:v>TXN-2-0105</x:v>
      </x:c>
      <x:c r="B112" s="9" t="str">
        <x:v>일반</x:v>
      </x:c>
      <x:c r="C112" s="6" t="n">
        <x:v>1</x:v>
      </x:c>
      <x:c r="D112" s="6" t="n">
        <x:v>3356</x:v>
      </x:c>
      <x:c r="E112" s="6" t="n">
        <x:v>0</x:v>
      </x:c>
      <x:c r="F112" s="6" t="n">
        <x:f>C112*D112</x:f>
        <x:v>3356</x:v>
      </x:c>
      <x:c r="G112" s="6" t="n">
        <x:f>ROUND(F112*$M$4,0)</x:f>
        <x:v>336</x:v>
      </x:c>
      <x:c r="H112" s="6" t="n">
        <x:f>F112+G112</x:f>
        <x:v>3692</x:v>
      </x:c>
      <x:c r="I112" s="6" t="n">
        <x:f>H112-E112</x:f>
        <x:v>3692</x:v>
      </x:c>
      <x:c r="J112" s="6" t="n">
        <x:f>IFERROR(I112/C112,0)</x:f>
        <x:v>3692</x:v>
      </x:c>
      <x:c r="K112" s="2"/>
      <x:c r="L112" s="2"/>
      <x:c r="M112" s="2"/>
    </x:row>
    <x:row r="113" ht="22" customHeight="1">
      <x:c r="A113" s="9" t="str">
        <x:v>TXN-2-0106</x:v>
      </x:c>
      <x:c r="B113" s="9" t="str">
        <x:v>일반</x:v>
      </x:c>
      <x:c r="C113" s="6" t="n">
        <x:v>2</x:v>
      </x:c>
      <x:c r="D113" s="6" t="n">
        <x:v>3379</x:v>
      </x:c>
      <x:c r="E113" s="6" t="n">
        <x:v>19</x:v>
      </x:c>
      <x:c r="F113" s="6" t="n">
        <x:f>C113*D113</x:f>
        <x:v>6758</x:v>
      </x:c>
      <x:c r="G113" s="6" t="n">
        <x:f>ROUND(F113*$M$4,0)</x:f>
        <x:v>676</x:v>
      </x:c>
      <x:c r="H113" s="6" t="n">
        <x:f>F113+G113</x:f>
        <x:v>7434</x:v>
      </x:c>
      <x:c r="I113" s="6" t="n">
        <x:f>H113-E113</x:f>
        <x:v>7415</x:v>
      </x:c>
      <x:c r="J113" s="6" t="n">
        <x:f>IFERROR(I113/C113,0)</x:f>
        <x:v>3707.5</x:v>
      </x:c>
      <x:c r="K113" s="2"/>
      <x:c r="L113" s="2"/>
      <x:c r="M113" s="2"/>
    </x:row>
    <x:row r="114" ht="22" customHeight="1">
      <x:c r="A114" s="9" t="str">
        <x:v>TXN-2-0107</x:v>
      </x:c>
      <x:c r="B114" s="9" t="str">
        <x:v>일반</x:v>
      </x:c>
      <x:c r="C114" s="6" t="n">
        <x:v>3</x:v>
      </x:c>
      <x:c r="D114" s="6" t="n">
        <x:v>3402</x:v>
      </x:c>
      <x:c r="E114" s="6" t="n">
        <x:v>38</x:v>
      </x:c>
      <x:c r="F114" s="6" t="n">
        <x:f>C114*D114</x:f>
        <x:v>10206</x:v>
      </x:c>
      <x:c r="G114" s="6" t="n">
        <x:f>ROUND(F114*$M$4,0)</x:f>
        <x:v>1021</x:v>
      </x:c>
      <x:c r="H114" s="6" t="n">
        <x:f>F114+G114</x:f>
        <x:v>11227</x:v>
      </x:c>
      <x:c r="I114" s="6" t="n">
        <x:f>H114-E114</x:f>
        <x:v>11189</x:v>
      </x:c>
      <x:c r="J114" s="6" t="n">
        <x:f>IFERROR(I114/C114,0)</x:f>
        <x:v>3729.6666666666665</x:v>
      </x:c>
      <x:c r="K114" s="2"/>
      <x:c r="L114" s="2"/>
      <x:c r="M114" s="2"/>
    </x:row>
    <x:row r="115" ht="22" customHeight="1">
      <x:c r="A115" s="9" t="str">
        <x:v>TXN-2-0108</x:v>
      </x:c>
      <x:c r="B115" s="9" t="str">
        <x:v>일반</x:v>
      </x:c>
      <x:c r="C115" s="6" t="n">
        <x:v>4</x:v>
      </x:c>
      <x:c r="D115" s="6" t="n">
        <x:v>3425</x:v>
      </x:c>
      <x:c r="E115" s="6" t="n">
        <x:v>57</x:v>
      </x:c>
      <x:c r="F115" s="6" t="n">
        <x:f>C115*D115</x:f>
        <x:v>13700</x:v>
      </x:c>
      <x:c r="G115" s="6" t="n">
        <x:f>ROUND(F115*$M$4,0)</x:f>
        <x:v>1370</x:v>
      </x:c>
      <x:c r="H115" s="6" t="n">
        <x:f>F115+G115</x:f>
        <x:v>15070</x:v>
      </x:c>
      <x:c r="I115" s="6" t="n">
        <x:f>H115-E115</x:f>
        <x:v>15013</x:v>
      </x:c>
      <x:c r="J115" s="6" t="n">
        <x:f>IFERROR(I115/C115,0)</x:f>
        <x:v>3753.25</x:v>
      </x:c>
      <x:c r="K115" s="2"/>
      <x:c r="L115" s="2"/>
      <x:c r="M115" s="2"/>
    </x:row>
    <x:row r="116" ht="22" customHeight="1">
      <x:c r="A116" s="9" t="str">
        <x:v>TXN-2-0109</x:v>
      </x:c>
      <x:c r="B116" s="9" t="str">
        <x:v>일반</x:v>
      </x:c>
      <x:c r="C116" s="6" t="n">
        <x:v>5</x:v>
      </x:c>
      <x:c r="D116" s="6" t="n">
        <x:v>3448</x:v>
      </x:c>
      <x:c r="E116" s="6" t="n">
        <x:v>76</x:v>
      </x:c>
      <x:c r="F116" s="6" t="n">
        <x:f>C116*D116</x:f>
        <x:v>17240</x:v>
      </x:c>
      <x:c r="G116" s="6" t="n">
        <x:f>ROUND(F116*$M$4,0)</x:f>
        <x:v>1724</x:v>
      </x:c>
      <x:c r="H116" s="6" t="n">
        <x:f>F116+G116</x:f>
        <x:v>18964</x:v>
      </x:c>
      <x:c r="I116" s="6" t="n">
        <x:f>H116-E116</x:f>
        <x:v>18888</x:v>
      </x:c>
      <x:c r="J116" s="6" t="n">
        <x:f>IFERROR(I116/C116,0)</x:f>
        <x:v>3777.6</x:v>
      </x:c>
      <x:c r="K116" s="2"/>
      <x:c r="L116" s="2"/>
      <x:c r="M116" s="2"/>
    </x:row>
    <x:row r="117" ht="22" customHeight="1">
      <x:c r="A117" s="9" t="str">
        <x:v>TXN-2-0110</x:v>
      </x:c>
      <x:c r="B117" s="9" t="str">
        <x:v>일반</x:v>
      </x:c>
      <x:c r="C117" s="6" t="n">
        <x:v>6</x:v>
      </x:c>
      <x:c r="D117" s="6" t="n">
        <x:v>3471</x:v>
      </x:c>
      <x:c r="E117" s="6" t="n">
        <x:v>0</x:v>
      </x:c>
      <x:c r="F117" s="6" t="n">
        <x:f>C117*D117</x:f>
        <x:v>20826</x:v>
      </x:c>
      <x:c r="G117" s="6" t="n">
        <x:f>ROUND(F117*$M$4,0)</x:f>
        <x:v>2083</x:v>
      </x:c>
      <x:c r="H117" s="6" t="n">
        <x:f>F117+G117</x:f>
        <x:v>22909</x:v>
      </x:c>
      <x:c r="I117" s="6" t="n">
        <x:f>H117-E117</x:f>
        <x:v>22909</x:v>
      </x:c>
      <x:c r="J117" s="6" t="n">
        <x:f>IFERROR(I117/C117,0)</x:f>
        <x:v>3818.1666666666665</x:v>
      </x:c>
      <x:c r="K117" s="2"/>
      <x:c r="L117" s="2"/>
      <x:c r="M117" s="2"/>
    </x:row>
    <x:row r="118" ht="22" customHeight="1">
      <x:c r="A118" s="9" t="str">
        <x:v>TXN-2-0111</x:v>
      </x:c>
      <x:c r="B118" s="9" t="str">
        <x:v>일반</x:v>
      </x:c>
      <x:c r="C118" s="6" t="n">
        <x:v>7</x:v>
      </x:c>
      <x:c r="D118" s="6" t="n">
        <x:v>3494</x:v>
      </x:c>
      <x:c r="E118" s="6" t="n">
        <x:v>19</x:v>
      </x:c>
      <x:c r="F118" s="6" t="n">
        <x:f>C118*D118</x:f>
        <x:v>24458</x:v>
      </x:c>
      <x:c r="G118" s="6" t="n">
        <x:f>ROUND(F118*$M$4,0)</x:f>
        <x:v>2446</x:v>
      </x:c>
      <x:c r="H118" s="6" t="n">
        <x:f>SUM(F118:F118)</x:f>
        <x:v>24458</x:v>
      </x:c>
      <x:c r="I118" s="6" t="n">
        <x:f>H118-E118</x:f>
        <x:v>24439</x:v>
      </x:c>
      <x:c r="J118" s="6" t="n">
        <x:f>IFERROR(I118/C118,0)</x:f>
        <x:v>3491.285714285714</x:v>
      </x:c>
      <x:c r="K118" s="2"/>
      <x:c r="L118" s="2"/>
      <x:c r="M118" s="2"/>
    </x:row>
    <x:row r="119" ht="22" customHeight="1">
      <x:c r="A119" s="9" t="str">
        <x:v>TXN-2-0112</x:v>
      </x:c>
      <x:c r="B119" s="9" t="str">
        <x:v>일반</x:v>
      </x:c>
      <x:c r="C119" s="6" t="n">
        <x:v>1</x:v>
      </x:c>
      <x:c r="D119" s="6" t="n">
        <x:v>3517</x:v>
      </x:c>
      <x:c r="E119" s="6" t="n">
        <x:v>38</x:v>
      </x:c>
      <x:c r="F119" s="6" t="n">
        <x:f>C119*D119</x:f>
        <x:v>3517</x:v>
      </x:c>
      <x:c r="G119" s="6" t="n">
        <x:f>ROUND(F119*$M$4,0)</x:f>
        <x:v>352</x:v>
      </x:c>
      <x:c r="H119" s="6" t="n">
        <x:f>F119+G119</x:f>
        <x:v>3869</x:v>
      </x:c>
      <x:c r="I119" s="6" t="n">
        <x:f>H119-E119</x:f>
        <x:v>3831</x:v>
      </x:c>
      <x:c r="J119" s="6" t="n">
        <x:f>IFERROR(I119/C119,0)</x:f>
        <x:v>3831</x:v>
      </x:c>
      <x:c r="K119" s="2"/>
      <x:c r="L119" s="2"/>
      <x:c r="M119" s="2"/>
    </x:row>
    <x:row r="120" ht="22" customHeight="1">
      <x:c r="A120" s="9" t="str">
        <x:v>TXN-2-0113</x:v>
      </x:c>
      <x:c r="B120" s="9" t="str">
        <x:v>수동 조정</x:v>
      </x:c>
      <x:c r="C120" s="6" t="n">
        <x:v>2</x:v>
      </x:c>
      <x:c r="D120" s="6" t="n">
        <x:v>3540</x:v>
      </x:c>
      <x:c r="E120" s="6" t="n">
        <x:v>57</x:v>
      </x:c>
      <x:c r="F120" s="6" t="n">
        <x:f>C120*D120</x:f>
        <x:v>7080</x:v>
      </x:c>
      <x:c r="G120" s="6" t="n">
        <x:f>ROUND(F120*$M$4,0)</x:f>
        <x:v>708</x:v>
      </x:c>
      <x:c r="H120" s="6" t="n">
        <x:f>F120+G120</x:f>
        <x:v>7788</x:v>
      </x:c>
      <x:c r="I120" s="6" t="n">
        <x:f>H120-E120</x:f>
        <x:v>7731</x:v>
      </x:c>
      <x:c r="J120" s="6" t="n">
        <x:f>IFERROR(I120/C120,0)</x:f>
        <x:v>3865.5</x:v>
      </x:c>
      <x:c r="K120" s="2"/>
      <x:c r="L120" s="2"/>
      <x:c r="M120" s="2"/>
    </x:row>
    <x:row r="121" ht="22" customHeight="1">
      <x:c r="A121" s="9" t="str">
        <x:v>TXN-2-0114</x:v>
      </x:c>
      <x:c r="B121" s="9" t="str">
        <x:v>일반</x:v>
      </x:c>
      <x:c r="C121" s="6" t="n">
        <x:v>3</x:v>
      </x:c>
      <x:c r="D121" s="6" t="n">
        <x:v>3563</x:v>
      </x:c>
      <x:c r="E121" s="6" t="n">
        <x:v>76</x:v>
      </x:c>
      <x:c r="F121" s="6" t="n">
        <x:f>C121*D121</x:f>
        <x:v>10689</x:v>
      </x:c>
      <x:c r="G121" s="6" t="n">
        <x:f>ROUND(F121*$M$4,0)</x:f>
        <x:v>1069</x:v>
      </x:c>
      <x:c r="H121" s="6" t="n">
        <x:f>F121+G121</x:f>
        <x:v>11758</x:v>
      </x:c>
      <x:c r="I121" s="6" t="n">
        <x:f>H121-E121</x:f>
        <x:v>11682</x:v>
      </x:c>
      <x:c r="J121" s="6" t="n">
        <x:f>IFERROR(I121/C121,0)</x:f>
        <x:v>3894</x:v>
      </x:c>
      <x:c r="K121" s="2"/>
      <x:c r="L121" s="2"/>
      <x:c r="M121" s="2"/>
    </x:row>
    <x:row r="122" ht="22" customHeight="1">
      <x:c r="A122" s="9" t="str">
        <x:v>TXN-2-0115</x:v>
      </x:c>
      <x:c r="B122" s="9" t="str">
        <x:v>일반</x:v>
      </x:c>
      <x:c r="C122" s="6" t="n">
        <x:v>4</x:v>
      </x:c>
      <x:c r="D122" s="6" t="n">
        <x:v>3586</x:v>
      </x:c>
      <x:c r="E122" s="6" t="n">
        <x:v>0</x:v>
      </x:c>
      <x:c r="F122" s="6" t="n">
        <x:f>C122*D122</x:f>
        <x:v>14344</x:v>
      </x:c>
      <x:c r="G122" s="6" t="n">
        <x:f>ROUND(F122*$M$4,0)</x:f>
        <x:v>1434</x:v>
      </x:c>
      <x:c r="H122" s="6" t="n">
        <x:f>F122+G122</x:f>
        <x:v>15778</x:v>
      </x:c>
      <x:c r="I122" s="6" t="n">
        <x:f>H122-E122</x:f>
        <x:v>15778</x:v>
      </x:c>
      <x:c r="J122" s="6" t="n">
        <x:f>IFERROR(I122/C122,0)</x:f>
        <x:v>3944.5</x:v>
      </x:c>
      <x:c r="K122" s="2"/>
      <x:c r="L122" s="2"/>
      <x:c r="M122" s="2"/>
    </x:row>
    <x:row r="123" ht="22" customHeight="1">
      <x:c r="A123" s="9" t="str">
        <x:v>TXN-2-0116</x:v>
      </x:c>
      <x:c r="B123" s="9" t="str">
        <x:v>일반</x:v>
      </x:c>
      <x:c r="C123" s="6" t="n">
        <x:v>5</x:v>
      </x:c>
      <x:c r="D123" s="6" t="n">
        <x:v>3609</x:v>
      </x:c>
      <x:c r="E123" s="6" t="n">
        <x:v>19</x:v>
      </x:c>
      <x:c r="F123" s="6" t="n">
        <x:f>C123*D123</x:f>
        <x:v>18045</x:v>
      </x:c>
      <x:c r="G123" s="6" t="n">
        <x:f>ROUND(F123*$M$4,0)</x:f>
        <x:v>1805</x:v>
      </x:c>
      <x:c r="H123" s="6" t="n">
        <x:f>F123+G123</x:f>
        <x:v>19850</x:v>
      </x:c>
      <x:c r="I123" s="6" t="n">
        <x:f>H123-E123</x:f>
        <x:v>19831</x:v>
      </x:c>
      <x:c r="J123" s="6" t="n">
        <x:f>IFERROR(I123/C123,0)</x:f>
        <x:v>3966.2</x:v>
      </x:c>
      <x:c r="K123" s="2"/>
      <x:c r="L123" s="2"/>
      <x:c r="M123" s="2"/>
    </x:row>
    <x:row r="124" ht="22" customHeight="1">
      <x:c r="A124" s="9" t="str">
        <x:v>TXN-2-0117</x:v>
      </x:c>
      <x:c r="B124" s="9" t="str">
        <x:v>일반</x:v>
      </x:c>
      <x:c r="C124" s="6" t="n">
        <x:v>6</x:v>
      </x:c>
      <x:c r="D124" s="6" t="n">
        <x:v>3632</x:v>
      </x:c>
      <x:c r="E124" s="6" t="n">
        <x:v>38</x:v>
      </x:c>
      <x:c r="F124" s="6" t="n">
        <x:f>C124*D124</x:f>
        <x:v>21792</x:v>
      </x:c>
      <x:c r="G124" s="6" t="n">
        <x:f>ROUND(F124*$M$4,0)</x:f>
        <x:v>2179</x:v>
      </x:c>
      <x:c r="H124" s="6" t="n">
        <x:f>F124+G124</x:f>
        <x:v>23971</x:v>
      </x:c>
      <x:c r="I124" s="6" t="n">
        <x:f>H124-E124</x:f>
        <x:v>23933</x:v>
      </x:c>
      <x:c r="J124" s="6" t="n">
        <x:f>IFERROR(I124/C124,0)</x:f>
        <x:v>3988.8333333333335</x:v>
      </x:c>
      <x:c r="K124" s="2"/>
      <x:c r="L124" s="2"/>
      <x:c r="M124" s="2"/>
    </x:row>
    <x:row r="125" ht="22" customHeight="1">
      <x:c r="A125" s="9" t="str">
        <x:v>TXN-2-0118</x:v>
      </x:c>
      <x:c r="B125" s="9" t="str">
        <x:v>일반</x:v>
      </x:c>
      <x:c r="C125" s="6" t="n">
        <x:v>7</x:v>
      </x:c>
      <x:c r="D125" s="6" t="n">
        <x:v>3655</x:v>
      </x:c>
      <x:c r="E125" s="6" t="n">
        <x:v>57</x:v>
      </x:c>
      <x:c r="F125" s="6" t="n">
        <x:f>C125*D125</x:f>
        <x:v>25585</x:v>
      </x:c>
      <x:c r="G125" s="6" t="n">
        <x:f>ROUND(F125*$M$4,0)</x:f>
        <x:v>2559</x:v>
      </x:c>
      <x:c r="H125" s="6" t="n">
        <x:f>F125+G125</x:f>
        <x:v>28144</x:v>
      </x:c>
      <x:c r="I125" s="6" t="n">
        <x:f>H125-E125</x:f>
        <x:v>28087</x:v>
      </x:c>
      <x:c r="J125" s="6" t="n">
        <x:f>IFERROR(I125/C125,0)</x:f>
        <x:v>4012.4285714285716</x:v>
      </x:c>
      <x:c r="K125" s="2"/>
      <x:c r="L125" s="2"/>
      <x:c r="M125" s="2"/>
    </x:row>
    <x:row r="126" ht="22" customHeight="1">
      <x:c r="A126" s="9" t="str">
        <x:v>TXN-2-0119</x:v>
      </x:c>
      <x:c r="B126" s="9" t="str">
        <x:v>일반</x:v>
      </x:c>
      <x:c r="C126" s="6" t="n">
        <x:v>1</x:v>
      </x:c>
      <x:c r="D126" s="6" t="n">
        <x:v>3678</x:v>
      </x:c>
      <x:c r="E126" s="6" t="n">
        <x:v>76</x:v>
      </x:c>
      <x:c r="F126" s="6" t="n">
        <x:f>C126*D126</x:f>
        <x:v>3678</x:v>
      </x:c>
      <x:c r="G126" s="6" t="n">
        <x:f>ROUND(F126*$M$4,0)</x:f>
        <x:v>368</x:v>
      </x:c>
      <x:c r="H126" s="6" t="n">
        <x:f>F126+G126</x:f>
        <x:v>4046</x:v>
      </x:c>
      <x:c r="I126" s="6" t="n">
        <x:f>H126-E126</x:f>
        <x:v>3970</x:v>
      </x:c>
      <x:c r="J126" s="6" t="n">
        <x:f>IFERROR(I126/C126,0)</x:f>
        <x:v>3970</x:v>
      </x:c>
      <x:c r="K126" s="2"/>
      <x:c r="L126" s="2"/>
      <x:c r="M126" s="2"/>
    </x:row>
    <x:row r="127" ht="22" customHeight="1">
      <x:c r="A127" s="9" t="str">
        <x:v>TXN-2-0120</x:v>
      </x:c>
      <x:c r="B127" s="9" t="str">
        <x:v>일반</x:v>
      </x:c>
      <x:c r="C127" s="6" t="n">
        <x:v>2</x:v>
      </x:c>
      <x:c r="D127" s="6" t="n">
        <x:v>3701</x:v>
      </x:c>
      <x:c r="E127" s="6" t="n">
        <x:v>0</x:v>
      </x:c>
      <x:c r="F127" s="6" t="n">
        <x:f>C127*D127</x:f>
        <x:v>7402</x:v>
      </x:c>
      <x:c r="G127" s="6" t="n">
        <x:f>ROUND(F127*$M$4,0)</x:f>
        <x:v>740</x:v>
      </x:c>
      <x:c r="H127" s="6" t="n">
        <x:f>F127+G127</x:f>
        <x:v>8142</x:v>
      </x:c>
      <x:c r="I127" s="6" t="n">
        <x:f>H127-E127</x:f>
        <x:v>8142</x:v>
      </x:c>
      <x:c r="J127" s="6" t="n">
        <x:f>IFERROR(I127/C127,0)</x:f>
        <x:v>4071</x:v>
      </x:c>
      <x:c r="K127" s="2"/>
      <x:c r="L127" s="2"/>
      <x:c r="M127" s="2"/>
    </x:row>
    <x:row r="128" ht="22" customHeight="1">
      <x:c r="A128" s="9" t="str">
        <x:v>TXN-2-0121</x:v>
      </x:c>
      <x:c r="B128" s="9" t="str">
        <x:v>일반</x:v>
      </x:c>
      <x:c r="C128" s="6" t="n">
        <x:v>3</x:v>
      </x:c>
      <x:c r="D128" s="6" t="n">
        <x:v>3724</x:v>
      </x:c>
      <x:c r="E128" s="6" t="n">
        <x:v>19</x:v>
      </x:c>
      <x:c r="F128" s="6" t="n">
        <x:f>C128*D128</x:f>
        <x:v>11172</x:v>
      </x:c>
      <x:c r="G128" s="6" t="n">
        <x:f>ROUND(F128*$M$4,0)</x:f>
        <x:v>1117</x:v>
      </x:c>
      <x:c r="H128" s="6" t="n">
        <x:f>F128+G128</x:f>
        <x:v>12289</x:v>
      </x:c>
      <x:c r="I128" s="6" t="n">
        <x:f>H128-E128</x:f>
        <x:v>12270</x:v>
      </x:c>
      <x:c r="J128" s="6" t="n">
        <x:f>IFERROR(I128/C128,0)</x:f>
        <x:v>4090</x:v>
      </x:c>
      <x:c r="K128" s="2"/>
      <x:c r="L128" s="2"/>
      <x:c r="M128" s="2"/>
    </x:row>
    <x:row r="129" ht="22" customHeight="1">
      <x:c r="A129" s="9" t="str">
        <x:v>TXN-2-0122</x:v>
      </x:c>
      <x:c r="B129" s="9" t="str">
        <x:v>일반</x:v>
      </x:c>
      <x:c r="C129" s="6" t="n">
        <x:v>4</x:v>
      </x:c>
      <x:c r="D129" s="6" t="n">
        <x:v>3747</x:v>
      </x:c>
      <x:c r="E129" s="6" t="n">
        <x:v>38</x:v>
      </x:c>
      <x:c r="F129" s="6" t="n">
        <x:f>C129*D129</x:f>
        <x:v>14988</x:v>
      </x:c>
      <x:c r="G129" s="6" t="n">
        <x:f>ROUND(F129*$M$4,0)</x:f>
        <x:v>1499</x:v>
      </x:c>
      <x:c r="H129" s="6" t="n">
        <x:f>F129+G129</x:f>
        <x:v>16487</x:v>
      </x:c>
      <x:c r="I129" s="6" t="n">
        <x:f>H129-E129</x:f>
        <x:v>16449</x:v>
      </x:c>
      <x:c r="J129" s="6" t="n">
        <x:f>IFERROR(I129/C129,0)</x:f>
        <x:v>4112.25</x:v>
      </x:c>
      <x:c r="K129" s="2"/>
      <x:c r="L129" s="2"/>
      <x:c r="M129" s="2"/>
    </x:row>
    <x:row r="130" ht="22" customHeight="1">
      <x:c r="A130" s="9" t="str">
        <x:v>TXN-2-0123</x:v>
      </x:c>
      <x:c r="B130" s="9" t="str">
        <x:v>일반</x:v>
      </x:c>
      <x:c r="C130" s="6" t="n">
        <x:v>5</x:v>
      </x:c>
      <x:c r="D130" s="6" t="n">
        <x:v>3770</x:v>
      </x:c>
      <x:c r="E130" s="6" t="n">
        <x:v>57</x:v>
      </x:c>
      <x:c r="F130" s="6" t="n">
        <x:f>C130*D130</x:f>
        <x:v>18850</x:v>
      </x:c>
      <x:c r="G130" s="6" t="n">
        <x:f>ROUND(F130*$M$4,0)</x:f>
        <x:v>1885</x:v>
      </x:c>
      <x:c r="H130" s="6" t="n">
        <x:f>F130+G130</x:f>
        <x:v>20735</x:v>
      </x:c>
      <x:c r="I130" s="6" t="n">
        <x:f>H130-E130</x:f>
        <x:v>20678</x:v>
      </x:c>
      <x:c r="J130" s="6" t="n">
        <x:f>IFERROR(I130/C130,0)</x:f>
        <x:v>4135.6</x:v>
      </x:c>
      <x:c r="K130" s="2"/>
      <x:c r="L130" s="2"/>
      <x:c r="M130" s="2"/>
    </x:row>
    <x:row r="131" ht="22" customHeight="1">
      <x:c r="A131" s="9" t="str">
        <x:v>TXN-2-0124</x:v>
      </x:c>
      <x:c r="B131" s="9" t="str">
        <x:v>일반</x:v>
      </x:c>
      <x:c r="C131" s="6" t="n">
        <x:v>6</x:v>
      </x:c>
      <x:c r="D131" s="6" t="n">
        <x:v>3793</x:v>
      </x:c>
      <x:c r="E131" s="6" t="n">
        <x:v>76</x:v>
      </x:c>
      <x:c r="F131" s="6" t="n">
        <x:f>C131*D131</x:f>
        <x:v>22758</x:v>
      </x:c>
      <x:c r="G131" s="6" t="n">
        <x:f>ROUND(F131*$M$4,0)</x:f>
        <x:v>2276</x:v>
      </x:c>
      <x:c r="H131" s="6" t="n">
        <x:f>F131+G131</x:f>
        <x:v>25034</x:v>
      </x:c>
      <x:c r="I131" s="6" t="n">
        <x:f>H131-E131</x:f>
        <x:v>24958</x:v>
      </x:c>
      <x:c r="J131" s="6" t="n">
        <x:f>IFERROR(I131/C131,0)</x:f>
        <x:v>4159.666666666667</x:v>
      </x:c>
      <x:c r="K131" s="2"/>
      <x:c r="L131" s="2"/>
      <x:c r="M131" s="2"/>
    </x:row>
    <x:row r="132" ht="22" customHeight="1">
      <x:c r="A132" s="9" t="str">
        <x:v>TXN-2-0125</x:v>
      </x:c>
      <x:c r="B132" s="9" t="str">
        <x:v>일반</x:v>
      </x:c>
      <x:c r="C132" s="6" t="n">
        <x:v>7</x:v>
      </x:c>
      <x:c r="D132" s="6" t="n">
        <x:v>3816</x:v>
      </x:c>
      <x:c r="E132" s="6" t="n">
        <x:v>0</x:v>
      </x:c>
      <x:c r="F132" s="6" t="n">
        <x:f>C132*D132</x:f>
        <x:v>26712</x:v>
      </x:c>
      <x:c r="G132" s="6" t="n">
        <x:f>ROUND(F132*$M$4,0)</x:f>
        <x:v>2671</x:v>
      </x:c>
      <x:c r="H132" s="6" t="n">
        <x:f>F132+G132</x:f>
        <x:v>29383</x:v>
      </x:c>
      <x:c r="I132" s="6" t="n">
        <x:f>H132-E132</x:f>
        <x:v>29383</x:v>
      </x:c>
      <x:c r="J132" s="6" t="n">
        <x:f>IFERROR(I132/C132,0)</x:f>
        <x:v>4197.571428571428</x:v>
      </x:c>
      <x:c r="K132" s="2"/>
      <x:c r="L132" s="2"/>
      <x:c r="M132" s="2"/>
    </x:row>
    <x:row r="133" ht="22" customHeight="1">
      <x:c r="A133" s="9" t="str">
        <x:v>TXN-2-0126</x:v>
      </x:c>
      <x:c r="B133" s="9" t="str">
        <x:v>일반</x:v>
      </x:c>
      <x:c r="C133" s="6" t="n">
        <x:v>1</x:v>
      </x:c>
      <x:c r="D133" s="6" t="n">
        <x:v>3839</x:v>
      </x:c>
      <x:c r="E133" s="6" t="n">
        <x:v>19</x:v>
      </x:c>
      <x:c r="F133" s="6" t="n">
        <x:f>C133*D133</x:f>
        <x:v>3839</x:v>
      </x:c>
      <x:c r="G133" s="6" t="n">
        <x:f>ROUND(F133*$M$4,0)</x:f>
        <x:v>384</x:v>
      </x:c>
      <x:c r="H133" s="6" t="n">
        <x:f>F133+G133</x:f>
        <x:v>4223</x:v>
      </x:c>
      <x:c r="I133" s="6" t="n">
        <x:f>H133-E133</x:f>
        <x:v>4204</x:v>
      </x:c>
      <x:c r="J133" s="6" t="n">
        <x:f>IFERROR(I133/C133,0)</x:f>
        <x:v>4204</x:v>
      </x:c>
      <x:c r="K133" s="2"/>
      <x:c r="L133" s="2"/>
      <x:c r="M133" s="2"/>
    </x:row>
    <x:row r="134" ht="22" customHeight="1">
      <x:c r="A134" s="9" t="str">
        <x:v>TXN-2-0127</x:v>
      </x:c>
      <x:c r="B134" s="9" t="str">
        <x:v>일반</x:v>
      </x:c>
      <x:c r="C134" s="6" t="n">
        <x:v>2</x:v>
      </x:c>
      <x:c r="D134" s="6" t="n">
        <x:v>3862</x:v>
      </x:c>
      <x:c r="E134" s="6" t="n">
        <x:v>38</x:v>
      </x:c>
      <x:c r="F134" s="6" t="n">
        <x:f>C134*D134</x:f>
        <x:v>7724</x:v>
      </x:c>
      <x:c r="G134" s="6" t="n">
        <x:f>ROUND(F134*$M$4,0)</x:f>
        <x:v>772</x:v>
      </x:c>
      <x:c r="H134" s="6" t="n">
        <x:f>F134+G134</x:f>
        <x:v>8496</x:v>
      </x:c>
      <x:c r="I134" s="6" t="n">
        <x:f>H134-E134</x:f>
        <x:v>8458</x:v>
      </x:c>
      <x:c r="J134" s="6" t="n">
        <x:f>IFERROR(I134/C134,0)</x:f>
        <x:v>4229</x:v>
      </x:c>
      <x:c r="K134" s="2"/>
      <x:c r="L134" s="2"/>
      <x:c r="M134" s="2"/>
    </x:row>
    <x:row r="135" ht="22" customHeight="1">
      <x:c r="A135" s="9" t="str">
        <x:v>TXN-2-0128</x:v>
      </x:c>
      <x:c r="B135" s="9" t="str">
        <x:v>일반</x:v>
      </x:c>
      <x:c r="C135" s="6" t="n">
        <x:v>3</x:v>
      </x:c>
      <x:c r="D135" s="6" t="n">
        <x:v>3885</x:v>
      </x:c>
      <x:c r="E135" s="6" t="n">
        <x:v>57</x:v>
      </x:c>
      <x:c r="F135" s="6" t="n">
        <x:f>C135*D135</x:f>
        <x:v>11655</x:v>
      </x:c>
      <x:c r="G135" s="6" t="n">
        <x:f>ROUND(F135*$M$4,0)</x:f>
        <x:v>1166</x:v>
      </x:c>
      <x:c r="H135" s="6" t="n">
        <x:f>F135+G135</x:f>
        <x:v>12821</x:v>
      </x:c>
      <x:c r="I135" s="6" t="n">
        <x:f>H135-E135</x:f>
        <x:v>12764</x:v>
      </x:c>
      <x:c r="J135" s="6" t="n">
        <x:f>IFERROR(I135/C135,0)</x:f>
        <x:v>4254.666666666667</x:v>
      </x:c>
      <x:c r="K135" s="2"/>
      <x:c r="L135" s="2"/>
      <x:c r="M135" s="2"/>
    </x:row>
    <x:row r="136" ht="22" customHeight="1">
      <x:c r="A136" s="9" t="str">
        <x:v>TXN-2-0129</x:v>
      </x:c>
      <x:c r="B136" s="9" t="str">
        <x:v>일반</x:v>
      </x:c>
      <x:c r="C136" s="6" t="n">
        <x:v>4</x:v>
      </x:c>
      <x:c r="D136" s="6" t="n">
        <x:v>3908</x:v>
      </x:c>
      <x:c r="E136" s="6" t="n">
        <x:v>76</x:v>
      </x:c>
      <x:c r="F136" s="6" t="n">
        <x:f>C136*D136</x:f>
        <x:v>15632</x:v>
      </x:c>
      <x:c r="G136" s="6" t="n">
        <x:f>ROUND(F136*$M$4,0)</x:f>
        <x:v>1563</x:v>
      </x:c>
      <x:c r="H136" s="6" t="n">
        <x:f>F136+G136</x:f>
        <x:v>17195</x:v>
      </x:c>
      <x:c r="I136" s="6" t="n">
        <x:f>H136-E136</x:f>
        <x:v>17119</x:v>
      </x:c>
      <x:c r="J136" s="6" t="n">
        <x:f>IFERROR(I136/C136,0)</x:f>
        <x:v>4279.75</x:v>
      </x:c>
      <x:c r="K136" s="2"/>
      <x:c r="L136" s="2"/>
      <x:c r="M136" s="2"/>
    </x:row>
    <x:row r="137" ht="22" customHeight="1">
      <x:c r="A137" s="9" t="str">
        <x:v>TXN-2-0130</x:v>
      </x:c>
      <x:c r="B137" s="9" t="str">
        <x:v>일반</x:v>
      </x:c>
      <x:c r="C137" s="6" t="n">
        <x:v>5</x:v>
      </x:c>
      <x:c r="D137" s="6" t="n">
        <x:v>3931</x:v>
      </x:c>
      <x:c r="E137" s="6" t="n">
        <x:v>0</x:v>
      </x:c>
      <x:c r="F137" s="6" t="n">
        <x:f>C137*D137</x:f>
        <x:v>19655</x:v>
      </x:c>
      <x:c r="G137" s="6" t="n">
        <x:f>ROUND(F137*$M$4,0)</x:f>
        <x:v>1966</x:v>
      </x:c>
      <x:c r="H137" s="6" t="n">
        <x:f>F137+G137</x:f>
        <x:v>21621</x:v>
      </x:c>
      <x:c r="I137" s="6" t="n">
        <x:f>H137-E137</x:f>
        <x:v>21621</x:v>
      </x:c>
      <x:c r="J137" s="6" t="n">
        <x:f>IFERROR(I137/C137,0)</x:f>
        <x:v>4324.2</x:v>
      </x:c>
      <x:c r="K137" s="2"/>
      <x:c r="L137" s="2"/>
      <x:c r="M137" s="2"/>
    </x:row>
    <x:row r="138" ht="22" customHeight="1">
      <x:c r="A138" s="9" t="str">
        <x:v>TXN-2-0131</x:v>
      </x:c>
      <x:c r="B138" s="9" t="str">
        <x:v>일반</x:v>
      </x:c>
      <x:c r="C138" s="6" t="n">
        <x:v>6</x:v>
      </x:c>
      <x:c r="D138" s="6" t="n">
        <x:v>3954</x:v>
      </x:c>
      <x:c r="E138" s="6" t="n">
        <x:v>19</x:v>
      </x:c>
      <x:c r="F138" s="6" t="n">
        <x:f>C138*D138</x:f>
        <x:v>23724</x:v>
      </x:c>
      <x:c r="G138" s="6" t="n">
        <x:f>ROUND(F138*$M$4,0)</x:f>
        <x:v>2372</x:v>
      </x:c>
      <x:c r="H138" s="6" t="n">
        <x:f>F138+G138</x:f>
        <x:v>26096</x:v>
      </x:c>
      <x:c r="I138" s="6" t="n">
        <x:f>H138-E138</x:f>
        <x:v>26077</x:v>
      </x:c>
      <x:c r="J138" s="6" t="n">
        <x:f>IFERROR(I138/C138,0)</x:f>
        <x:v>4346.166666666667</x:v>
      </x:c>
      <x:c r="K138" s="2"/>
      <x:c r="L138" s="2"/>
      <x:c r="M138" s="2"/>
    </x:row>
    <x:row r="139" ht="22" customHeight="1">
      <x:c r="A139" s="9" t="str">
        <x:v>TXN-2-0132</x:v>
      </x:c>
      <x:c r="B139" s="9" t="str">
        <x:v>일반</x:v>
      </x:c>
      <x:c r="C139" s="6" t="n">
        <x:v>7</x:v>
      </x:c>
      <x:c r="D139" s="6" t="n">
        <x:v>3977</x:v>
      </x:c>
      <x:c r="E139" s="6" t="n">
        <x:v>38</x:v>
      </x:c>
      <x:c r="F139" s="6" t="n">
        <x:f>C139*D139</x:f>
        <x:v>27839</x:v>
      </x:c>
      <x:c r="G139" s="6" t="n">
        <x:f>ROUND(F139*$M$4,0)</x:f>
        <x:v>2784</x:v>
      </x:c>
      <x:c r="H139" s="6" t="n">
        <x:f>F139+G139</x:f>
        <x:v>30623</x:v>
      </x:c>
      <x:c r="I139" s="6" t="n">
        <x:f>H139-E139</x:f>
        <x:v>30585</x:v>
      </x:c>
      <x:c r="J139" s="6" t="n">
        <x:f>IFERROR(I139/C139,0)</x:f>
        <x:v>4369.285714285715</x:v>
      </x:c>
      <x:c r="K139" s="2"/>
      <x:c r="L139" s="2"/>
      <x:c r="M139" s="2"/>
    </x:row>
    <x:row r="140" ht="22" customHeight="1">
      <x:c r="A140" s="9" t="str">
        <x:v>TXN-2-0133</x:v>
      </x:c>
      <x:c r="B140" s="9" t="str">
        <x:v>일반</x:v>
      </x:c>
      <x:c r="C140" s="6" t="n">
        <x:v>1</x:v>
      </x:c>
      <x:c r="D140" s="6" t="n">
        <x:v>4000</x:v>
      </x:c>
      <x:c r="E140" s="6" t="n">
        <x:v>57</x:v>
      </x:c>
      <x:c r="F140" s="6" t="n">
        <x:f>C140*D140</x:f>
        <x:v>4000</x:v>
      </x:c>
      <x:c r="G140" s="6" t="n">
        <x:f>ROUND(F140*$M$4,0)</x:f>
        <x:v>400</x:v>
      </x:c>
      <x:c r="H140" s="6" t="n">
        <x:f>F140+G140</x:f>
        <x:v>4400</x:v>
      </x:c>
      <x:c r="I140" s="6" t="n">
        <x:f>H140-E140</x:f>
        <x:v>4343</x:v>
      </x:c>
      <x:c r="J140" s="6" t="n">
        <x:f>IFERROR(I140/C140,0)</x:f>
        <x:v>4343</x:v>
      </x:c>
      <x:c r="K140" s="2"/>
      <x:c r="L140" s="2"/>
      <x:c r="M140" s="2"/>
    </x:row>
    <x:row r="141" ht="22" customHeight="1">
      <x:c r="A141" s="9" t="str">
        <x:v>TXN-2-0134</x:v>
      </x:c>
      <x:c r="B141" s="9" t="str">
        <x:v>일반</x:v>
      </x:c>
      <x:c r="C141" s="6" t="n">
        <x:v>2</x:v>
      </x:c>
      <x:c r="D141" s="6" t="n">
        <x:v>4023</x:v>
      </x:c>
      <x:c r="E141" s="6" t="n">
        <x:v>76</x:v>
      </x:c>
      <x:c r="F141" s="6" t="n">
        <x:f>C141*D141</x:f>
        <x:v>8046</x:v>
      </x:c>
      <x:c r="G141" s="6" t="n">
        <x:f>ROUND(F141*$M$4,0)</x:f>
        <x:v>805</x:v>
      </x:c>
      <x:c r="H141" s="6" t="n">
        <x:f>F141+G141</x:f>
        <x:v>8851</x:v>
      </x:c>
      <x:c r="I141" s="6" t="n">
        <x:f>H141-E141</x:f>
        <x:v>8775</x:v>
      </x:c>
      <x:c r="J141" s="6" t="n">
        <x:f>IFERROR(I141/C141,0)</x:f>
        <x:v>4387.5</x:v>
      </x:c>
      <x:c r="K141" s="2"/>
      <x:c r="L141" s="2"/>
      <x:c r="M141" s="2"/>
    </x:row>
    <x:row r="142" ht="22" customHeight="1">
      <x:c r="A142" s="9" t="str">
        <x:v>TXN-2-0135</x:v>
      </x:c>
      <x:c r="B142" s="9" t="str">
        <x:v>일반</x:v>
      </x:c>
      <x:c r="C142" s="6" t="n">
        <x:v>3</x:v>
      </x:c>
      <x:c r="D142" s="6" t="n">
        <x:v>4046</x:v>
      </x:c>
      <x:c r="E142" s="6" t="n">
        <x:v>0</x:v>
      </x:c>
      <x:c r="F142" s="6" t="n">
        <x:f>C142*D142</x:f>
        <x:v>12138</x:v>
      </x:c>
      <x:c r="G142" s="6" t="n">
        <x:f>ROUND(F142*$M$4,0)</x:f>
        <x:v>1214</x:v>
      </x:c>
      <x:c r="H142" s="6" t="n">
        <x:f>F142+G142</x:f>
        <x:v>13352</x:v>
      </x:c>
      <x:c r="I142" s="6" t="n">
        <x:f>H142-E142</x:f>
        <x:v>13352</x:v>
      </x:c>
      <x:c r="J142" s="6" t="n">
        <x:f>IFERROR(I142/C142,0)</x:f>
        <x:v>4450.666666666667</x:v>
      </x:c>
      <x:c r="K142" s="2"/>
      <x:c r="L142" s="2"/>
      <x:c r="M142" s="2"/>
    </x:row>
    <x:row r="143" ht="22" customHeight="1">
      <x:c r="A143" s="9" t="str">
        <x:v>TXN-2-0136</x:v>
      </x:c>
      <x:c r="B143" s="9" t="str">
        <x:v>일반</x:v>
      </x:c>
      <x:c r="C143" s="6" t="n">
        <x:v>4</x:v>
      </x:c>
      <x:c r="D143" s="6" t="n">
        <x:v>4069</x:v>
      </x:c>
      <x:c r="E143" s="6" t="n">
        <x:v>19</x:v>
      </x:c>
      <x:c r="F143" s="6" t="n">
        <x:f>C143*D143</x:f>
        <x:v>16276</x:v>
      </x:c>
      <x:c r="G143" s="6" t="n">
        <x:f>ROUND(F143*$M$4,0)</x:f>
        <x:v>1628</x:v>
      </x:c>
      <x:c r="H143" s="6" t="n">
        <x:f>F143+G143</x:f>
        <x:v>17904</x:v>
      </x:c>
      <x:c r="I143" s="6" t="n">
        <x:f>H143-E143</x:f>
        <x:v>17885</x:v>
      </x:c>
      <x:c r="J143" s="6" t="n">
        <x:f>IFERROR(I143/C143,0)</x:f>
        <x:v>4471.25</x:v>
      </x:c>
      <x:c r="K143" s="2"/>
      <x:c r="L143" s="2"/>
      <x:c r="M143" s="2"/>
    </x:row>
    <x:row r="144" ht="22" customHeight="1">
      <x:c r="A144" s="9" t="str">
        <x:v>TXN-2-0137</x:v>
      </x:c>
      <x:c r="B144" s="9" t="str">
        <x:v>일반</x:v>
      </x:c>
      <x:c r="C144" s="6" t="n">
        <x:v>5</x:v>
      </x:c>
      <x:c r="D144" s="6" t="n">
        <x:v>4092</x:v>
      </x:c>
      <x:c r="E144" s="6" t="n">
        <x:v>38</x:v>
      </x:c>
      <x:c r="F144" s="6" t="n">
        <x:f>C144*D144</x:f>
        <x:v>20460</x:v>
      </x:c>
      <x:c r="G144" s="6" t="n">
        <x:f>ROUND(F144*$M$4,0)</x:f>
        <x:v>2046</x:v>
      </x:c>
      <x:c r="H144" s="6" t="n">
        <x:f>F144+G144</x:f>
        <x:v>22506</x:v>
      </x:c>
      <x:c r="I144" s="6" t="n">
        <x:f>H144-E144</x:f>
        <x:v>22468</x:v>
      </x:c>
      <x:c r="J144" s="6" t="n">
        <x:f>IFERROR(I144/C144,0)</x:f>
        <x:v>4493.6</x:v>
      </x:c>
      <x:c r="K144" s="2"/>
      <x:c r="L144" s="2"/>
      <x:c r="M144" s="2"/>
    </x:row>
    <x:row r="145" ht="22" customHeight="1">
      <x:c r="A145" s="9" t="str">
        <x:v>TXN-2-0138</x:v>
      </x:c>
      <x:c r="B145" s="9" t="str">
        <x:v>일반</x:v>
      </x:c>
      <x:c r="C145" s="6" t="n">
        <x:v>6</x:v>
      </x:c>
      <x:c r="D145" s="6" t="n">
        <x:v>4115</x:v>
      </x:c>
      <x:c r="E145" s="6" t="n">
        <x:v>57</x:v>
      </x:c>
      <x:c r="F145" s="6" t="n">
        <x:f>C145*D145</x:f>
        <x:v>24690</x:v>
      </x:c>
      <x:c r="G145" s="6" t="n">
        <x:f>ROUND(F145*$M$4,0)</x:f>
        <x:v>2469</x:v>
      </x:c>
      <x:c r="H145" s="6" t="n">
        <x:f>F145+G145</x:f>
        <x:v>27159</x:v>
      </x:c>
      <x:c r="I145" s="6"/>
      <x:c r="J145" s="6" t="n">
        <x:f>IFERROR(I145/C145,0)</x:f>
        <x:v>0</x:v>
      </x:c>
      <x:c r="K145" s="2"/>
      <x:c r="L145" s="2"/>
      <x:c r="M145" s="2"/>
    </x:row>
    <x:row r="146" ht="22" customHeight="1">
      <x:c r="A146" s="9" t="str">
        <x:v>TXN-2-0139</x:v>
      </x:c>
      <x:c r="B146" s="9" t="str">
        <x:v>일반</x:v>
      </x:c>
      <x:c r="C146" s="6" t="n">
        <x:v>7</x:v>
      </x:c>
      <x:c r="D146" s="6" t="n">
        <x:v>4138</x:v>
      </x:c>
      <x:c r="E146" s="6" t="n">
        <x:v>76</x:v>
      </x:c>
      <x:c r="F146" s="6" t="n">
        <x:f>C146*D146</x:f>
        <x:v>28966</x:v>
      </x:c>
      <x:c r="G146" s="6" t="n">
        <x:f>ROUND(F146*$M$4,0)</x:f>
        <x:v>2897</x:v>
      </x:c>
      <x:c r="H146" s="6" t="n">
        <x:f>F146+G146</x:f>
        <x:v>31863</x:v>
      </x:c>
      <x:c r="I146" s="6" t="n">
        <x:f>H146-E146</x:f>
        <x:v>31787</x:v>
      </x:c>
      <x:c r="J146" s="6" t="n">
        <x:f>IFERROR(I146/C146,0)</x:f>
        <x:v>4541</x:v>
      </x:c>
      <x:c r="K146" s="2"/>
      <x:c r="L146" s="2"/>
      <x:c r="M146" s="2"/>
    </x:row>
    <x:row r="147" ht="22" customHeight="1">
      <x:c r="A147" s="9" t="str">
        <x:v>TXN-2-0140</x:v>
      </x:c>
      <x:c r="B147" s="9" t="str">
        <x:v>일반</x:v>
      </x:c>
      <x:c r="C147" s="6" t="n">
        <x:v>1</x:v>
      </x:c>
      <x:c r="D147" s="6" t="n">
        <x:v>4161</x:v>
      </x:c>
      <x:c r="E147" s="6" t="n">
        <x:v>0</x:v>
      </x:c>
      <x:c r="F147" s="6" t="n">
        <x:f>C147*D147</x:f>
        <x:v>4161</x:v>
      </x:c>
      <x:c r="G147" s="6" t="n">
        <x:f>ROUND(F147*$M$4,0)</x:f>
        <x:v>416</x:v>
      </x:c>
      <x:c r="H147" s="6" t="n">
        <x:f>F147+G147</x:f>
        <x:v>4577</x:v>
      </x:c>
      <x:c r="I147" s="6" t="n">
        <x:f>H147-E147</x:f>
        <x:v>4577</x:v>
      </x:c>
      <x:c r="J147" s="6" t="n">
        <x:f>IFERROR(I147/C147,0)</x:f>
        <x:v>4577</x:v>
      </x:c>
      <x:c r="K147" s="2"/>
      <x:c r="L147" s="2"/>
      <x:c r="M147" s="2"/>
    </x:row>
    <x:row r="148" ht="22" customHeight="1">
      <x:c r="A148" s="9" t="str">
        <x:v>TXN-2-0141</x:v>
      </x:c>
      <x:c r="B148" s="9" t="str">
        <x:v>일반</x:v>
      </x:c>
      <x:c r="C148" s="6" t="n">
        <x:v>2</x:v>
      </x:c>
      <x:c r="D148" s="6" t="n">
        <x:v>4184</x:v>
      </x:c>
      <x:c r="E148" s="6" t="n">
        <x:v>19</x:v>
      </x:c>
      <x:c r="F148" s="6" t="n">
        <x:f>C148*D148</x:f>
        <x:v>8368</x:v>
      </x:c>
      <x:c r="G148" s="6" t="n">
        <x:f>ROUND(F148*$M$4,0)</x:f>
        <x:v>837</x:v>
      </x:c>
      <x:c r="H148" s="6" t="n">
        <x:f>F148+G148</x:f>
        <x:v>9205</x:v>
      </x:c>
      <x:c r="I148" s="6" t="n">
        <x:f>H148-E148</x:f>
        <x:v>9186</x:v>
      </x:c>
      <x:c r="J148" s="6" t="n">
        <x:f>IFERROR(I148/C148,0)</x:f>
        <x:v>4593</x:v>
      </x:c>
      <x:c r="K148" s="2"/>
      <x:c r="L148" s="2"/>
      <x:c r="M148" s="2"/>
    </x:row>
    <x:row r="149" ht="22" customHeight="1">
      <x:c r="A149" s="9" t="str">
        <x:v>TXN-2-0142</x:v>
      </x:c>
      <x:c r="B149" s="9" t="str">
        <x:v>일반</x:v>
      </x:c>
      <x:c r="C149" s="6" t="n">
        <x:v>3</x:v>
      </x:c>
      <x:c r="D149" s="6" t="n">
        <x:v>4207</x:v>
      </x:c>
      <x:c r="E149" s="6" t="n">
        <x:v>38</x:v>
      </x:c>
      <x:c r="F149" s="6" t="n">
        <x:f>C149*D149</x:f>
        <x:v>12621</x:v>
      </x:c>
      <x:c r="G149" s="6" t="n">
        <x:f>ROUND(F149*$M$4,0)</x:f>
        <x:v>1262</x:v>
      </x:c>
      <x:c r="H149" s="6" t="n">
        <x:f>F149+G149</x:f>
        <x:v>13883</x:v>
      </x:c>
      <x:c r="I149" s="6" t="n">
        <x:f>H149-E149</x:f>
        <x:v>13845</x:v>
      </x:c>
      <x:c r="J149" s="6" t="n">
        <x:f>IFERROR(I149/C149,0)</x:f>
        <x:v>4615</x:v>
      </x:c>
      <x:c r="K149" s="2"/>
      <x:c r="L149" s="2"/>
      <x:c r="M149" s="2"/>
    </x:row>
    <x:row r="150" ht="22" customHeight="1">
      <x:c r="A150" s="9" t="str">
        <x:v>TXN-2-0143</x:v>
      </x:c>
      <x:c r="B150" s="9" t="str">
        <x:v>일반</x:v>
      </x:c>
      <x:c r="C150" s="6" t="n">
        <x:v>4</x:v>
      </x:c>
      <x:c r="D150" s="6" t="n">
        <x:v>4230</x:v>
      </x:c>
      <x:c r="E150" s="6" t="n">
        <x:v>57</x:v>
      </x:c>
      <x:c r="F150" s="6" t="n">
        <x:f>C150*D150</x:f>
        <x:v>16920</x:v>
      </x:c>
      <x:c r="G150" s="6" t="n">
        <x:f>ROUND(F150*$M$4,0)</x:f>
        <x:v>1692</x:v>
      </x:c>
      <x:c r="H150" s="6" t="n">
        <x:f>F150+G150</x:f>
        <x:v>18612</x:v>
      </x:c>
      <x:c r="I150" s="6" t="n">
        <x:f>H150-E150</x:f>
        <x:v>18555</x:v>
      </x:c>
      <x:c r="J150" s="6" t="n">
        <x:f>IFERROR(I150/C150,0)</x:f>
        <x:v>4638.75</x:v>
      </x:c>
      <x:c r="K150" s="2"/>
      <x:c r="L150" s="2"/>
      <x:c r="M150" s="2"/>
    </x:row>
    <x:row r="151" ht="22" customHeight="1">
      <x:c r="A151" s="9" t="str">
        <x:v>TXN-2-0144</x:v>
      </x:c>
      <x:c r="B151" s="9" t="str">
        <x:v>일반</x:v>
      </x:c>
      <x:c r="C151" s="6" t="n">
        <x:v>5</x:v>
      </x:c>
      <x:c r="D151" s="6" t="n">
        <x:v>4253</x:v>
      </x:c>
      <x:c r="E151" s="6" t="n">
        <x:v>76</x:v>
      </x:c>
      <x:c r="F151" s="6" t="n">
        <x:f>C151*D151</x:f>
        <x:v>21265</x:v>
      </x:c>
      <x:c r="G151" s="6" t="n">
        <x:f>ROUND(F151*$M$4,0)</x:f>
        <x:v>2127</x:v>
      </x:c>
      <x:c r="H151" s="6" t="n">
        <x:f>F151+G151</x:f>
        <x:v>23392</x:v>
      </x:c>
      <x:c r="I151" s="6" t="n">
        <x:f>H151-E151</x:f>
        <x:v>23316</x:v>
      </x:c>
      <x:c r="J151" s="6" t="n">
        <x:f>IFERROR(I151/C151,0)</x:f>
        <x:v>4663.2</x:v>
      </x:c>
      <x:c r="K151" s="2"/>
      <x:c r="L151" s="2"/>
      <x:c r="M151" s="2"/>
    </x:row>
    <x:row r="152" ht="22" customHeight="1">
      <x:c r="A152" s="9" t="str">
        <x:v>TXN-2-0145</x:v>
      </x:c>
      <x:c r="B152" s="9" t="str">
        <x:v>일반</x:v>
      </x:c>
      <x:c r="C152" s="6" t="n">
        <x:v>6</x:v>
      </x:c>
      <x:c r="D152" s="6" t="n">
        <x:v>4276</x:v>
      </x:c>
      <x:c r="E152" s="6" t="n">
        <x:v>0</x:v>
      </x:c>
      <x:c r="F152" s="6" t="n">
        <x:f>C152*D152</x:f>
        <x:v>25656</x:v>
      </x:c>
      <x:c r="G152" s="6" t="n">
        <x:f>ROUND(F152*$M$4,0)</x:f>
        <x:v>2566</x:v>
      </x:c>
      <x:c r="H152" s="6" t="n">
        <x:f>F152+G152</x:f>
        <x:v>28222</x:v>
      </x:c>
      <x:c r="I152" s="6" t="n">
        <x:f>H152-E152</x:f>
        <x:v>28222</x:v>
      </x:c>
      <x:c r="J152" s="6" t="n">
        <x:f>IFERROR(I152/C152,0)</x:f>
        <x:v>4703.666666666667</x:v>
      </x:c>
      <x:c r="K152" s="2"/>
      <x:c r="L152" s="2"/>
      <x:c r="M152" s="2"/>
    </x:row>
    <x:row r="153" ht="22" customHeight="1">
      <x:c r="A153" s="9" t="str">
        <x:v>TXN-2-0146</x:v>
      </x:c>
      <x:c r="B153" s="9" t="str">
        <x:v>일반</x:v>
      </x:c>
      <x:c r="C153" s="6" t="n">
        <x:v>7</x:v>
      </x:c>
      <x:c r="D153" s="6" t="n">
        <x:v>4299</x:v>
      </x:c>
      <x:c r="E153" s="6" t="n">
        <x:v>19</x:v>
      </x:c>
      <x:c r="F153" s="6" t="n">
        <x:f>C153*D153</x:f>
        <x:v>30093</x:v>
      </x:c>
      <x:c r="G153" s="6" t="n">
        <x:f>ROUND(F153*$M$4,0)</x:f>
        <x:v>3009</x:v>
      </x:c>
      <x:c r="H153" s="6" t="n">
        <x:f>F153+G153</x:f>
        <x:v>33102</x:v>
      </x:c>
      <x:c r="I153" s="6" t="n">
        <x:f>H153-E153</x:f>
        <x:v>33083</x:v>
      </x:c>
      <x:c r="J153" s="6" t="n">
        <x:f>IFERROR(I153/C153,0)</x:f>
        <x:v>4726.142857142857</x:v>
      </x:c>
      <x:c r="K153" s="2"/>
      <x:c r="L153" s="2"/>
      <x:c r="M153" s="2"/>
    </x:row>
    <x:row r="154" ht="22" customHeight="1">
      <x:c r="A154" s="9" t="str">
        <x:v>TXN-2-0147</x:v>
      </x:c>
      <x:c r="B154" s="9" t="str">
        <x:v>일반</x:v>
      </x:c>
      <x:c r="C154" s="6" t="n">
        <x:v>1</x:v>
      </x:c>
      <x:c r="D154" s="6" t="n">
        <x:v>4322</x:v>
      </x:c>
      <x:c r="E154" s="6" t="n">
        <x:v>38</x:v>
      </x:c>
      <x:c r="F154" s="6" t="n">
        <x:f>C154*D154</x:f>
        <x:v>4322</x:v>
      </x:c>
      <x:c r="G154" s="6" t="n">
        <x:f>ROUND(F154*$M$4,0)</x:f>
        <x:v>432</x:v>
      </x:c>
      <x:c r="H154" s="6" t="n">
        <x:f>F154+G154</x:f>
        <x:v>4754</x:v>
      </x:c>
      <x:c r="I154" s="6" t="n">
        <x:f>H154-E154</x:f>
        <x:v>4716</x:v>
      </x:c>
      <x:c r="J154" s="6" t="n">
        <x:f>IFERROR(I154/C154,0)</x:f>
        <x:v>4716</x:v>
      </x:c>
      <x:c r="K154" s="2"/>
      <x:c r="L154" s="2"/>
      <x:c r="M154" s="2"/>
    </x:row>
    <x:row r="155" ht="22" customHeight="1">
      <x:c r="A155" s="9" t="str">
        <x:v>TXN-2-0148</x:v>
      </x:c>
      <x:c r="B155" s="9" t="str">
        <x:v>일반</x:v>
      </x:c>
      <x:c r="C155" s="6" t="n">
        <x:v>2</x:v>
      </x:c>
      <x:c r="D155" s="6" t="n">
        <x:v>4345</x:v>
      </x:c>
      <x:c r="E155" s="6" t="n">
        <x:v>57</x:v>
      </x:c>
      <x:c r="F155" s="6" t="n">
        <x:f>C155*D155</x:f>
        <x:v>8690</x:v>
      </x:c>
      <x:c r="G155" s="6" t="n">
        <x:f>ROUND(F155*$M$4,0)</x:f>
        <x:v>869</x:v>
      </x:c>
      <x:c r="H155" s="6" t="n">
        <x:f>F155+G155</x:f>
        <x:v>9559</x:v>
      </x:c>
      <x:c r="I155" s="6" t="n">
        <x:f>H155-E155</x:f>
        <x:v>9502</x:v>
      </x:c>
      <x:c r="J155" s="6" t="n">
        <x:f>IFERROR(I155/C155,0)</x:f>
        <x:v>4751</x:v>
      </x:c>
      <x:c r="K155" s="2"/>
      <x:c r="L155" s="2"/>
      <x:c r="M155" s="2"/>
    </x:row>
    <x:row r="156" ht="22" customHeight="1">
      <x:c r="A156" s="9" t="str">
        <x:v>TXN-2-0149</x:v>
      </x:c>
      <x:c r="B156" s="9" t="str">
        <x:v>일반</x:v>
      </x:c>
      <x:c r="C156" s="6" t="n">
        <x:v>3</x:v>
      </x:c>
      <x:c r="D156" s="6" t="n">
        <x:v>4368</x:v>
      </x:c>
      <x:c r="E156" s="6" t="n">
        <x:v>76</x:v>
      </x:c>
      <x:c r="F156" s="6" t="n">
        <x:f>C156*D156</x:f>
        <x:v>13104</x:v>
      </x:c>
      <x:c r="G156" s="6" t="n">
        <x:f>ROUND(F156*$M$4,0)</x:f>
        <x:v>1310</x:v>
      </x:c>
      <x:c r="H156" s="6" t="n">
        <x:f>F156+G156</x:f>
        <x:v>14414</x:v>
      </x:c>
      <x:c r="I156" s="6" t="n">
        <x:f>H156-E156</x:f>
        <x:v>14338</x:v>
      </x:c>
      <x:c r="J156" s="6" t="n">
        <x:f>IFERROR(I156/C156,0)</x:f>
        <x:v>4779.333333333333</x:v>
      </x:c>
      <x:c r="K156" s="2"/>
      <x:c r="L156" s="2"/>
      <x:c r="M156" s="2"/>
    </x:row>
    <x:row r="157" ht="22" customHeight="1">
      <x:c r="A157" s="9" t="str">
        <x:v>TXN-2-0150</x:v>
      </x:c>
      <x:c r="B157" s="9" t="str">
        <x:v>일반</x:v>
      </x:c>
      <x:c r="C157" s="6" t="n">
        <x:v>4</x:v>
      </x:c>
      <x:c r="D157" s="6" t="n">
        <x:v>4391</x:v>
      </x:c>
      <x:c r="E157" s="6" t="n">
        <x:v>0</x:v>
      </x:c>
      <x:c r="F157" s="6" t="n">
        <x:f>C157*D157</x:f>
        <x:v>17564</x:v>
      </x:c>
      <x:c r="G157" s="6" t="n">
        <x:f>ROUND(F157*$M$4,0)</x:f>
        <x:v>1756</x:v>
      </x:c>
      <x:c r="H157" s="6" t="n">
        <x:f>F157+G157</x:f>
        <x:v>19320</x:v>
      </x:c>
      <x:c r="I157" s="6" t="n">
        <x:f>H157-E157</x:f>
        <x:v>19320</x:v>
      </x:c>
      <x:c r="J157" s="6" t="n">
        <x:f>IFERROR(I157/C157,0)</x:f>
        <x:v>4830</x:v>
      </x:c>
      <x:c r="K157" s="2"/>
      <x:c r="L157" s="2"/>
      <x:c r="M157" s="2"/>
    </x:row>
    <x:row r="158" ht="22" customHeight="1">
      <x:c r="A158" s="9" t="str">
        <x:v>TXN-2-0151</x:v>
      </x:c>
      <x:c r="B158" s="9" t="str">
        <x:v>일반</x:v>
      </x:c>
      <x:c r="C158" s="6" t="n">
        <x:v>5</x:v>
      </x:c>
      <x:c r="D158" s="6" t="n">
        <x:v>4414</x:v>
      </x:c>
      <x:c r="E158" s="6" t="n">
        <x:v>19</x:v>
      </x:c>
      <x:c r="F158" s="6" t="n">
        <x:f>C158*D158</x:f>
        <x:v>22070</x:v>
      </x:c>
      <x:c r="G158" s="6" t="n">
        <x:f>ROUND(F158*$M$4,0)</x:f>
        <x:v>2207</x:v>
      </x:c>
      <x:c r="H158" s="6" t="n">
        <x:f>F158+G158</x:f>
        <x:v>24277</x:v>
      </x:c>
      <x:c r="I158" s="6" t="n">
        <x:f>H158-E158</x:f>
        <x:v>24258</x:v>
      </x:c>
      <x:c r="J158" s="6" t="n">
        <x:f>IFERROR(I158/C158,0)</x:f>
        <x:v>4851.6</x:v>
      </x:c>
      <x:c r="K158" s="2"/>
      <x:c r="L158" s="2"/>
      <x:c r="M158" s="2"/>
    </x:row>
    <x:row r="159" ht="22" customHeight="1">
      <x:c r="A159" s="9" t="str">
        <x:v>TXN-2-0152</x:v>
      </x:c>
      <x:c r="B159" s="9" t="str">
        <x:v>일반</x:v>
      </x:c>
      <x:c r="C159" s="6" t="n">
        <x:v>6</x:v>
      </x:c>
      <x:c r="D159" s="6" t="n">
        <x:v>4437</x:v>
      </x:c>
      <x:c r="E159" s="6" t="n">
        <x:v>38</x:v>
      </x:c>
      <x:c r="F159" s="6" t="n">
        <x:f>C159*D159</x:f>
        <x:v>26622</x:v>
      </x:c>
      <x:c r="G159" s="6" t="n">
        <x:f>ROUND(F159*$M$4,0)</x:f>
        <x:v>2662</x:v>
      </x:c>
      <x:c r="H159" s="6" t="n">
        <x:f>F159+G159</x:f>
        <x:v>29284</x:v>
      </x:c>
      <x:c r="I159" s="6" t="n">
        <x:f>H159-E159</x:f>
        <x:v>29246</x:v>
      </x:c>
      <x:c r="J159" s="6" t="n">
        <x:f>IFERROR(I159/C159,0)</x:f>
        <x:v>4874.333333333333</x:v>
      </x:c>
      <x:c r="K159" s="2"/>
      <x:c r="L159" s="2"/>
      <x:c r="M159" s="2"/>
    </x:row>
    <x:row r="160" ht="22" customHeight="1">
      <x:c r="A160" s="9" t="str">
        <x:v>TXN-2-0153</x:v>
      </x:c>
      <x:c r="B160" s="9" t="str">
        <x:v>일반</x:v>
      </x:c>
      <x:c r="C160" s="6" t="n">
        <x:v>7</x:v>
      </x:c>
      <x:c r="D160" s="6" t="n">
        <x:v>4460</x:v>
      </x:c>
      <x:c r="E160" s="6" t="n">
        <x:v>57</x:v>
      </x:c>
      <x:c r="F160" s="6" t="n">
        <x:f>C160*D160</x:f>
        <x:v>31220</x:v>
      </x:c>
      <x:c r="G160" s="6" t="n">
        <x:f>ROUND(F160*$M$4,0)</x:f>
        <x:v>3122</x:v>
      </x:c>
      <x:c r="H160" s="6" t="n">
        <x:f>F160+G160</x:f>
        <x:v>34342</x:v>
      </x:c>
      <x:c r="I160" s="6" t="n">
        <x:f>H160-E160</x:f>
        <x:v>34285</x:v>
      </x:c>
      <x:c r="J160" s="6" t="n">
        <x:f>IFERROR(I160/C160,0)</x:f>
        <x:v>4897.857142857143</x:v>
      </x:c>
      <x:c r="K160" s="2"/>
      <x:c r="L160" s="2"/>
      <x:c r="M160" s="2"/>
    </x:row>
    <x:row r="161" ht="22" customHeight="1">
      <x:c r="A161" s="9" t="str">
        <x:v>TXN-2-0154</x:v>
      </x:c>
      <x:c r="B161" s="9" t="str">
        <x:v>일반</x:v>
      </x:c>
      <x:c r="C161" s="6" t="n">
        <x:v>1</x:v>
      </x:c>
      <x:c r="D161" s="6" t="n">
        <x:v>4483</x:v>
      </x:c>
      <x:c r="E161" s="6" t="n">
        <x:v>76</x:v>
      </x:c>
      <x:c r="F161" s="6" t="n">
        <x:f>C161*D161</x:f>
        <x:v>4483</x:v>
      </x:c>
      <x:c r="G161" s="6" t="n">
        <x:f>ROUND(F161*$M$4,0)</x:f>
        <x:v>448</x:v>
      </x:c>
      <x:c r="H161" s="6" t="n">
        <x:f>F161+G161</x:f>
        <x:v>4931</x:v>
      </x:c>
      <x:c r="I161" s="6" t="n">
        <x:f>H161-E161</x:f>
        <x:v>4855</x:v>
      </x:c>
      <x:c r="J161" s="6" t="n">
        <x:f>IFERROR(I161/C161,0)</x:f>
        <x:v>4855</x:v>
      </x:c>
      <x:c r="K161" s="2"/>
      <x:c r="L161" s="2"/>
      <x:c r="M161" s="2"/>
    </x:row>
    <x:row r="162" ht="22" customHeight="1">
      <x:c r="A162" s="9" t="str">
        <x:v>TXN-2-0155</x:v>
      </x:c>
      <x:c r="B162" s="9" t="str">
        <x:v>일반</x:v>
      </x:c>
      <x:c r="C162" s="6" t="n">
        <x:v>2</x:v>
      </x:c>
      <x:c r="D162" s="6" t="n">
        <x:v>4506</x:v>
      </x:c>
      <x:c r="E162" s="6" t="n">
        <x:v>0</x:v>
      </x:c>
      <x:c r="F162" s="6" t="n">
        <x:f>C162*D162</x:f>
        <x:v>9012</x:v>
      </x:c>
      <x:c r="G162" s="6" t="n">
        <x:f>ROUND(F162*$M$4,0)</x:f>
        <x:v>901</x:v>
      </x:c>
      <x:c r="H162" s="6" t="n">
        <x:f>F162+G162</x:f>
        <x:v>9913</x:v>
      </x:c>
      <x:c r="I162" s="6" t="n">
        <x:f>H162-E162</x:f>
        <x:v>9913</x:v>
      </x:c>
      <x:c r="J162" s="6" t="n">
        <x:f>IFERROR(I162/C162,0)</x:f>
        <x:v>4956.5</x:v>
      </x:c>
      <x:c r="K162" s="2"/>
      <x:c r="L162" s="2"/>
      <x:c r="M162" s="2"/>
    </x:row>
    <x:row r="163" ht="22" customHeight="1">
      <x:c r="A163" s="9" t="str">
        <x:v>TXN-2-0156</x:v>
      </x:c>
      <x:c r="B163" s="9" t="str">
        <x:v>일반</x:v>
      </x:c>
      <x:c r="C163" s="6" t="n">
        <x:v>3</x:v>
      </x:c>
      <x:c r="D163" s="6" t="n">
        <x:v>4529</x:v>
      </x:c>
      <x:c r="E163" s="6" t="n">
        <x:v>19</x:v>
      </x:c>
      <x:c r="F163" s="6" t="n">
        <x:f>C163*D163</x:f>
        <x:v>13587</x:v>
      </x:c>
      <x:c r="G163" s="6" t="n">
        <x:f>ROUND(F163*$M$4,0)</x:f>
        <x:v>1359</x:v>
      </x:c>
      <x:c r="H163" s="6" t="n">
        <x:f>F163+G163</x:f>
        <x:v>14946</x:v>
      </x:c>
      <x:c r="I163" s="6" t="n">
        <x:f>H163-E163</x:f>
        <x:v>14927</x:v>
      </x:c>
      <x:c r="J163" s="6" t="n">
        <x:f>IFERROR(I163/C163,0)</x:f>
        <x:v>4975.666666666667</x:v>
      </x:c>
      <x:c r="K163" s="2"/>
      <x:c r="L163" s="2"/>
      <x:c r="M163" s="2"/>
    </x:row>
    <x:row r="164" ht="22" customHeight="1">
      <x:c r="A164" s="9" t="str">
        <x:v>TXN-2-0157</x:v>
      </x:c>
      <x:c r="B164" s="9" t="str">
        <x:v>일반</x:v>
      </x:c>
      <x:c r="C164" s="6" t="n">
        <x:v>4</x:v>
      </x:c>
      <x:c r="D164" s="6" t="n">
        <x:v>4552</x:v>
      </x:c>
      <x:c r="E164" s="6" t="n">
        <x:v>38</x:v>
      </x:c>
      <x:c r="F164" s="6" t="n">
        <x:f>C164*D164</x:f>
        <x:v>18208</x:v>
      </x:c>
      <x:c r="G164" s="6" t="n">
        <x:f>ROUND(F164*$M$4,0)</x:f>
        <x:v>1821</x:v>
      </x:c>
      <x:c r="H164" s="6" t="n">
        <x:f>F164+G164</x:f>
        <x:v>20029</x:v>
      </x:c>
      <x:c r="I164" s="6" t="n">
        <x:f>H164-E164</x:f>
        <x:v>19991</x:v>
      </x:c>
      <x:c r="J164" s="6" t="n">
        <x:f>IFERROR(I164/C164,0)</x:f>
        <x:v>4997.75</x:v>
      </x:c>
      <x:c r="K164" s="2"/>
      <x:c r="L164" s="2"/>
      <x:c r="M164" s="2"/>
    </x:row>
    <x:row r="165" ht="22" customHeight="1">
      <x:c r="A165" s="9" t="str">
        <x:v>TXN-2-0158</x:v>
      </x:c>
      <x:c r="B165" s="9" t="str">
        <x:v>일반</x:v>
      </x:c>
      <x:c r="C165" s="6" t="n">
        <x:v>5</x:v>
      </x:c>
      <x:c r="D165" s="6" t="n">
        <x:v>4575</x:v>
      </x:c>
      <x:c r="E165" s="6" t="n">
        <x:v>57</x:v>
      </x:c>
      <x:c r="F165" s="6" t="n">
        <x:f>C165*D165</x:f>
        <x:v>22875</x:v>
      </x:c>
      <x:c r="G165" s="6" t="n">
        <x:f>ROUND(F165*$M$4,0)</x:f>
        <x:v>2288</x:v>
      </x:c>
      <x:c r="H165" s="6" t="n">
        <x:f>F165+G165</x:f>
        <x:v>25163</x:v>
      </x:c>
      <x:c r="I165" s="6" t="n">
        <x:f>H165-E165</x:f>
        <x:v>25106</x:v>
      </x:c>
      <x:c r="J165" s="6" t="n">
        <x:f>IFERROR(I165/C165,0)</x:f>
        <x:v>5021.2</x:v>
      </x:c>
      <x:c r="K165" s="2"/>
      <x:c r="L165" s="2"/>
      <x:c r="M165" s="2"/>
    </x:row>
    <x:row r="166" ht="22" customHeight="1">
      <x:c r="A166" s="9" t="str">
        <x:v>TXN-2-0159</x:v>
      </x:c>
      <x:c r="B166" s="9" t="str">
        <x:v>일반</x:v>
      </x:c>
      <x:c r="C166" s="6" t="n">
        <x:v>6</x:v>
      </x:c>
      <x:c r="D166" s="6" t="n">
        <x:v>4598</x:v>
      </x:c>
      <x:c r="E166" s="6" t="n">
        <x:v>76</x:v>
      </x:c>
      <x:c r="F166" s="6" t="n">
        <x:f>C166*D166</x:f>
        <x:v>27588</x:v>
      </x:c>
      <x:c r="G166" s="6" t="n">
        <x:f>ROUND(F166*$M$4,0)</x:f>
        <x:v>2759</x:v>
      </x:c>
      <x:c r="H166" s="6" t="n">
        <x:f>F166+G166</x:f>
        <x:v>30347</x:v>
      </x:c>
      <x:c r="I166" s="6" t="n">
        <x:f>H166-E166</x:f>
        <x:v>30271</x:v>
      </x:c>
      <x:c r="J166" s="6" t="n">
        <x:f>IFERROR(I166/C166,0)</x:f>
        <x:v>5045.166666666667</x:v>
      </x:c>
      <x:c r="K166" s="2"/>
      <x:c r="L166" s="2"/>
      <x:c r="M166" s="2"/>
    </x:row>
    <x:row r="167" ht="22" customHeight="1">
      <x:c r="A167" s="9" t="str">
        <x:v>TXN-2-0160</x:v>
      </x:c>
      <x:c r="B167" s="9" t="str">
        <x:v>일반</x:v>
      </x:c>
      <x:c r="C167" s="6" t="n">
        <x:v>7</x:v>
      </x:c>
      <x:c r="D167" s="6" t="n">
        <x:v>4621</x:v>
      </x:c>
      <x:c r="E167" s="6" t="n">
        <x:v>0</x:v>
      </x:c>
      <x:c r="F167" s="6" t="n">
        <x:f>C167*D167</x:f>
        <x:v>32347</x:v>
      </x:c>
      <x:c r="G167" s="6" t="n">
        <x:f>ROUND(F167*$M$4,0)</x:f>
        <x:v>3235</x:v>
      </x:c>
      <x:c r="H167" s="6" t="n">
        <x:f>F167+G167</x:f>
        <x:v>35582</x:v>
      </x:c>
      <x:c r="I167" s="6" t="n">
        <x:f>H167-E167</x:f>
        <x:v>35582</x:v>
      </x:c>
      <x:c r="J167" s="6" t="n">
        <x:f>IFERROR(I167/C167,0)</x:f>
        <x:v>5083.142857142857</x:v>
      </x:c>
      <x:c r="K167" s="2"/>
      <x:c r="L167" s="2"/>
      <x:c r="M167" s="2"/>
    </x:row>
    <x:row r="168" ht="22" customHeight="1">
      <x:c r="A168" s="9"/>
      <x:c r="B168" s="9"/>
      <x:c r="C168" s="6"/>
      <x:c r="D168" s="6"/>
      <x:c r="E168" s="6"/>
      <x:c r="F168" s="6"/>
      <x:c r="G168" s="6"/>
      <x:c r="H168" s="6"/>
      <x:c r="I168" s="6"/>
      <x:c r="J168" s="6"/>
      <x:c r="K168" s="2"/>
      <x:c r="L168" s="2"/>
      <x:c r="M168" s="2"/>
    </x:row>
    <x:row r="169" ht="22" customHeight="1">
      <x:c r="A169" s="9"/>
      <x:c r="B169" s="9"/>
      <x:c r="C169" s="6"/>
      <x:c r="D169" s="6"/>
      <x:c r="E169" s="6"/>
      <x:c r="F169" s="6"/>
      <x:c r="G169" s="6"/>
      <x:c r="H169" s="6"/>
      <x:c r="I169" s="6"/>
      <x:c r="J169" s="6"/>
      <x:c r="K169" s="2"/>
      <x:c r="L169" s="2"/>
      <x:c r="M169" s="2"/>
    </x:row>
    <x:row r="170" ht="22" customHeight="1">
      <x:c r="A170" s="9"/>
      <x:c r="B170" s="9"/>
      <x:c r="C170" s="6"/>
      <x:c r="D170" s="6"/>
      <x:c r="E170" s="6"/>
      <x:c r="F170" s="6"/>
      <x:c r="G170" s="6"/>
      <x:c r="H170" s="6"/>
      <x:c r="I170" s="6"/>
      <x:c r="J170" s="6"/>
      <x:c r="K170" s="2"/>
      <x:c r="L170" s="2"/>
      <x:c r="M170" s="2"/>
    </x:row>
    <x:row r="171" ht="22" customHeight="1">
      <x:c r="A171" s="12" t="str">
        <x:v>합계</x:v>
      </x:c>
      <x:c r="B171" s="12"/>
      <x:c r="C171" s="13"/>
      <x:c r="D171" s="13"/>
      <x:c r="E171" s="13"/>
      <x:c r="F171" s="13"/>
      <x:c r="G171" s="13"/>
      <x:c r="H171" s="13"/>
      <x:c r="I171" s="13" t="n">
        <x:f>SUM(I8:I167)</x:f>
        <x:v>1935269</x:v>
      </x:c>
      <x:c r="J171" s="13"/>
      <x:c r="K171" s="2"/>
      <x:c r="L171" s="2"/>
      <x:c r="M17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반품 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</x:v>
      </x:c>
      <x:c r="M4" s="8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대조세율</x:v>
      </x:c>
      <x:c r="M5" s="8" t="n">
        <x:v>0.2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5" t="str">
        <x:v>거래번호</x:v>
      </x:c>
      <x:c r="B7" s="5" t="str">
        <x:v>구분</x:v>
      </x:c>
      <x:c r="C7" s="5" t="str">
        <x:v>수량</x:v>
      </x:c>
      <x:c r="D7" s="5" t="str">
        <x:v>단가</x:v>
      </x:c>
      <x:c r="E7" s="5" t="str">
        <x:v>공제액</x:v>
      </x:c>
      <x:c r="F7" s="5" t="str">
        <x:v>공급액</x:v>
      </x:c>
      <x:c r="G7" s="5" t="str">
        <x:v>세액</x:v>
      </x:c>
      <x:c r="H7" s="5" t="str">
        <x:v>합산액</x:v>
      </x:c>
      <x:c r="I7" s="5" t="str">
        <x:v>정산액</x:v>
      </x:c>
      <x:c r="J7" s="5" t="str">
        <x:v>단가환산</x:v>
      </x:c>
      <x:c r="K7" s="2"/>
      <x:c r="L7" s="2"/>
      <x:c r="M7" s="2"/>
    </x:row>
    <x:row r="8" ht="22" customHeight="1">
      <x:c r="A8" s="9" t="str">
        <x:v>TXN-3-0001</x:v>
      </x:c>
      <x:c r="B8" s="9" t="str">
        <x:v>일반</x:v>
      </x:c>
      <x:c r="C8" s="6" t="n">
        <x:v>2</x:v>
      </x:c>
      <x:c r="D8" s="6" t="n">
        <x:v>1035</x:v>
      </x:c>
      <x:c r="E8" s="6" t="n">
        <x:v>19</x:v>
      </x:c>
      <x:c r="F8" s="6" t="n">
        <x:f>C8*D8</x:f>
        <x:v>2070</x:v>
      </x:c>
      <x:c r="G8" s="6" t="n">
        <x:f>ROUND(F8*$M$4,0)</x:f>
        <x:v>207</x:v>
      </x:c>
      <x:c r="H8" s="6" t="n">
        <x:f>F8+G8</x:f>
        <x:v>2277</x:v>
      </x:c>
      <x:c r="I8" s="6" t="n">
        <x:f>H8-E8</x:f>
        <x:v>2258</x:v>
      </x:c>
      <x:c r="J8" s="6" t="n">
        <x:f>IFERROR(I8/C8,0)</x:f>
        <x:v>1129</x:v>
      </x:c>
      <x:c r="K8" s="2"/>
      <x:c r="L8" s="2"/>
      <x:c r="M8" s="2"/>
    </x:row>
    <x:row r="9" ht="22" customHeight="1">
      <x:c r="A9" s="9" t="str">
        <x:v>TXN-3-0002</x:v>
      </x:c>
      <x:c r="B9" s="9" t="str">
        <x:v>일반</x:v>
      </x:c>
      <x:c r="C9" s="6" t="n">
        <x:v>3</x:v>
      </x:c>
      <x:c r="D9" s="6" t="n">
        <x:v>1058</x:v>
      </x:c>
      <x:c r="E9" s="6" t="n">
        <x:v>38</x:v>
      </x:c>
      <x:c r="F9" s="6" t="n">
        <x:f>C9*D9</x:f>
        <x:v>3174</x:v>
      </x:c>
      <x:c r="G9" s="6" t="n">
        <x:f>ROUND(F9*$M$4,0)</x:f>
        <x:v>317</x:v>
      </x:c>
      <x:c r="H9" s="6" t="n">
        <x:f>F9+G9</x:f>
        <x:v>3491</x:v>
      </x:c>
      <x:c r="I9" s="6" t="n">
        <x:f>H9-E9</x:f>
        <x:v>3453</x:v>
      </x:c>
      <x:c r="J9" s="6" t="n">
        <x:f>IFERROR(I9/C9,0)</x:f>
        <x:v>1151</x:v>
      </x:c>
      <x:c r="K9" s="2"/>
      <x:c r="L9" s="2"/>
      <x:c r="M9" s="2"/>
    </x:row>
    <x:row r="10" ht="22" customHeight="1">
      <x:c r="A10" s="9" t="str">
        <x:v>TXN-3-0003</x:v>
      </x:c>
      <x:c r="B10" s="9" t="str">
        <x:v>일반</x:v>
      </x:c>
      <x:c r="C10" s="6" t="n">
        <x:v>4</x:v>
      </x:c>
      <x:c r="D10" s="6" t="n">
        <x:v>1081</x:v>
      </x:c>
      <x:c r="E10" s="6" t="n">
        <x:v>57</x:v>
      </x:c>
      <x:c r="F10" s="6" t="n">
        <x:f>C10*D10</x:f>
        <x:v>4324</x:v>
      </x:c>
      <x:c r="G10" s="6" t="n">
        <x:f>ROUND(F10*$M$4,0)</x:f>
        <x:v>432</x:v>
      </x:c>
      <x:c r="H10" s="6" t="n">
        <x:f>F10+G10</x:f>
        <x:v>4756</x:v>
      </x:c>
      <x:c r="I10" s="6" t="n">
        <x:f>H10-E10</x:f>
        <x:v>4699</x:v>
      </x:c>
      <x:c r="J10" s="6" t="n">
        <x:f>IFERROR(I10/C10,0)</x:f>
        <x:v>1174.75</x:v>
      </x:c>
      <x:c r="K10" s="2"/>
      <x:c r="L10" s="2"/>
      <x:c r="M10" s="2"/>
    </x:row>
    <x:row r="11" ht="22" customHeight="1">
      <x:c r="A11" s="9" t="str">
        <x:v>TXN-3-0004</x:v>
      </x:c>
      <x:c r="B11" s="9" t="str">
        <x:v>일반</x:v>
      </x:c>
      <x:c r="C11" s="6" t="n">
        <x:v>5</x:v>
      </x:c>
      <x:c r="D11" s="6" t="n">
        <x:v>1104</x:v>
      </x:c>
      <x:c r="E11" s="6" t="n">
        <x:v>76</x:v>
      </x:c>
      <x:c r="F11" s="6" t="n">
        <x:f>C11*D11</x:f>
        <x:v>5520</x:v>
      </x:c>
      <x:c r="G11" s="6" t="n">
        <x:f>ROUND(F11*$M$4,0)</x:f>
        <x:v>552</x:v>
      </x:c>
      <x:c r="H11" s="6" t="n">
        <x:f>F11+G11</x:f>
        <x:v>6072</x:v>
      </x:c>
      <x:c r="I11" s="6" t="n">
        <x:f>H11-E11</x:f>
        <x:v>5996</x:v>
      </x:c>
      <x:c r="J11" s="6" t="n">
        <x:f>IFERROR(I11/C11,0)</x:f>
        <x:v>1199.2</x:v>
      </x:c>
      <x:c r="K11" s="2"/>
      <x:c r="L11" s="2"/>
      <x:c r="M11" s="2"/>
    </x:row>
    <x:row r="12" ht="22" customHeight="1">
      <x:c r="A12" s="9" t="str">
        <x:v>TXN-3-0005</x:v>
      </x:c>
      <x:c r="B12" s="9" t="str">
        <x:v>일반</x:v>
      </x:c>
      <x:c r="C12" s="6" t="n">
        <x:v>6</x:v>
      </x:c>
      <x:c r="D12" s="6" t="n">
        <x:v>1127</x:v>
      </x:c>
      <x:c r="E12" s="6" t="n">
        <x:v>0</x:v>
      </x:c>
      <x:c r="F12" s="6" t="n">
        <x:f>C12*D12</x:f>
        <x:v>6762</x:v>
      </x:c>
      <x:c r="G12" s="6" t="n">
        <x:f>ROUND(F12*$M$4,0)</x:f>
        <x:v>676</x:v>
      </x:c>
      <x:c r="H12" s="6" t="n">
        <x:f>F12+G12</x:f>
        <x:v>7438</x:v>
      </x:c>
      <x:c r="I12" s="6" t="n">
        <x:f>H12-E12</x:f>
        <x:v>7438</x:v>
      </x:c>
      <x:c r="J12" s="6" t="n">
        <x:f>IFERROR(I12/C12,0)</x:f>
        <x:v>1239.6666666666667</x:v>
      </x:c>
      <x:c r="K12" s="2"/>
      <x:c r="L12" s="2"/>
      <x:c r="M12" s="2"/>
    </x:row>
    <x:row r="13" ht="22" customHeight="1">
      <x:c r="A13" s="9" t="str">
        <x:v>TXN-3-0006</x:v>
      </x:c>
      <x:c r="B13" s="9" t="str">
        <x:v>일반</x:v>
      </x:c>
      <x:c r="C13" s="6" t="n">
        <x:v>7</x:v>
      </x:c>
      <x:c r="D13" s="6" t="n">
        <x:v>1150</x:v>
      </x:c>
      <x:c r="E13" s="6" t="n">
        <x:v>19</x:v>
      </x:c>
      <x:c r="F13" s="6" t="n">
        <x:f>C13*D13</x:f>
        <x:v>8050</x:v>
      </x:c>
      <x:c r="G13" s="6" t="n">
        <x:f>ROUND(F13*$M$4,0)</x:f>
        <x:v>805</x:v>
      </x:c>
      <x:c r="H13" s="6" t="n">
        <x:f>F13+G13</x:f>
        <x:v>8855</x:v>
      </x:c>
      <x:c r="I13" s="6" t="n">
        <x:f>H13-E13</x:f>
        <x:v>8836</x:v>
      </x:c>
      <x:c r="J13" s="6" t="n">
        <x:f>IFERROR(I13/C13,0)</x:f>
        <x:v>1262.2857142857142</x:v>
      </x:c>
      <x:c r="K13" s="2"/>
      <x:c r="L13" s="2"/>
      <x:c r="M13" s="2"/>
    </x:row>
    <x:row r="14" ht="22" customHeight="1">
      <x:c r="A14" s="9" t="str">
        <x:v>TXN-3-0007</x:v>
      </x:c>
      <x:c r="B14" s="9" t="str">
        <x:v>일반</x:v>
      </x:c>
      <x:c r="C14" s="6" t="n">
        <x:v>1</x:v>
      </x:c>
      <x:c r="D14" s="6" t="n">
        <x:v>1173</x:v>
      </x:c>
      <x:c r="E14" s="6" t="n">
        <x:v>38</x:v>
      </x:c>
      <x:c r="F14" s="6" t="n">
        <x:f>C14*D14</x:f>
        <x:v>1173</x:v>
      </x:c>
      <x:c r="G14" s="6" t="n">
        <x:f>ROUND(F14*$M$4,0)</x:f>
        <x:v>117</x:v>
      </x:c>
      <x:c r="H14" s="6" t="n">
        <x:f>F14+G14</x:f>
        <x:v>1290</x:v>
      </x:c>
      <x:c r="I14" s="6" t="n">
        <x:f>H14-E14</x:f>
        <x:v>1252</x:v>
      </x:c>
      <x:c r="J14" s="6" t="n">
        <x:f>IFERROR(I14/C14,0)</x:f>
        <x:v>1252</x:v>
      </x:c>
      <x:c r="K14" s="2"/>
      <x:c r="L14" s="2"/>
      <x:c r="M14" s="2"/>
    </x:row>
    <x:row r="15" ht="22" customHeight="1">
      <x:c r="A15" s="9" t="str">
        <x:v>TXN-3-0008</x:v>
      </x:c>
      <x:c r="B15" s="9" t="str">
        <x:v>일반</x:v>
      </x:c>
      <x:c r="C15" s="6" t="n">
        <x:v>2</x:v>
      </x:c>
      <x:c r="D15" s="6" t="n">
        <x:v>1196</x:v>
      </x:c>
      <x:c r="E15" s="6" t="n">
        <x:v>57</x:v>
      </x:c>
      <x:c r="F15" s="6" t="n">
        <x:f>C15*D15</x:f>
        <x:v>2392</x:v>
      </x:c>
      <x:c r="G15" s="6" t="n">
        <x:f>ROUND(F15*$M$4,0)</x:f>
        <x:v>239</x:v>
      </x:c>
      <x:c r="H15" s="6" t="n">
        <x:f>F15+G15</x:f>
        <x:v>2631</x:v>
      </x:c>
      <x:c r="I15" s="6" t="n">
        <x:f>H15-E15</x:f>
        <x:v>2574</x:v>
      </x:c>
      <x:c r="J15" s="6" t="n">
        <x:f>IFERROR(I15/C15,0)</x:f>
        <x:v>1287</x:v>
      </x:c>
      <x:c r="K15" s="2"/>
      <x:c r="L15" s="2"/>
      <x:c r="M15" s="2"/>
    </x:row>
    <x:row r="16" ht="22" customHeight="1">
      <x:c r="A16" s="9" t="str">
        <x:v>TXN-3-0009</x:v>
      </x:c>
      <x:c r="B16" s="9" t="str">
        <x:v>일반</x:v>
      </x:c>
      <x:c r="C16" s="6" t="n">
        <x:v>3</x:v>
      </x:c>
      <x:c r="D16" s="6" t="n">
        <x:v>1219</x:v>
      </x:c>
      <x:c r="E16" s="6" t="n">
        <x:v>76</x:v>
      </x:c>
      <x:c r="F16" s="6" t="n">
        <x:f>C16*D16</x:f>
        <x:v>3657</x:v>
      </x:c>
      <x:c r="G16" s="6" t="n">
        <x:f>ROUND(F16*$M$4,0)</x:f>
        <x:v>366</x:v>
      </x:c>
      <x:c r="H16" s="6" t="n">
        <x:f>F16+G16</x:f>
        <x:v>4023</x:v>
      </x:c>
      <x:c r="I16" s="6" t="n">
        <x:f>H16-E16</x:f>
        <x:v>3947</x:v>
      </x:c>
      <x:c r="J16" s="6" t="n">
        <x:f>IFERROR(I16/C16,0)</x:f>
        <x:v>1315.6666666666667</x:v>
      </x:c>
      <x:c r="K16" s="2"/>
      <x:c r="L16" s="2"/>
      <x:c r="M16" s="2"/>
    </x:row>
    <x:row r="17" ht="22" customHeight="1">
      <x:c r="A17" s="9" t="str">
        <x:v>TXN-3-0010</x:v>
      </x:c>
      <x:c r="B17" s="9" t="str">
        <x:v>일반</x:v>
      </x:c>
      <x:c r="C17" s="6" t="n">
        <x:v>4</x:v>
      </x:c>
      <x:c r="D17" s="6" t="n">
        <x:v>1242</x:v>
      </x:c>
      <x:c r="E17" s="6" t="n">
        <x:v>0</x:v>
      </x:c>
      <x:c r="F17" s="6" t="n">
        <x:f>C17*D17</x:f>
        <x:v>4968</x:v>
      </x:c>
      <x:c r="G17" s="6" t="n">
        <x:f>ROUND(F17*$M$4,0)</x:f>
        <x:v>497</x:v>
      </x:c>
      <x:c r="H17" s="6" t="n">
        <x:f>F17+G17</x:f>
        <x:v>5465</x:v>
      </x:c>
      <x:c r="I17" s="6" t="n">
        <x:f>H17-E17</x:f>
        <x:v>5465</x:v>
      </x:c>
      <x:c r="J17" s="6" t="n">
        <x:f>IFERROR(I17/C17,0)</x:f>
        <x:v>1366.25</x:v>
      </x:c>
      <x:c r="K17" s="2"/>
      <x:c r="L17" s="2"/>
      <x:c r="M17" s="2"/>
    </x:row>
    <x:row r="18" ht="22" customHeight="1">
      <x:c r="A18" s="9" t="str">
        <x:v>TXN-3-0011</x:v>
      </x:c>
      <x:c r="B18" s="9" t="str">
        <x:v>일반</x:v>
      </x:c>
      <x:c r="C18" s="6" t="n">
        <x:v>5</x:v>
      </x:c>
      <x:c r="D18" s="6" t="n">
        <x:v>1265</x:v>
      </x:c>
      <x:c r="E18" s="6" t="n">
        <x:v>19</x:v>
      </x:c>
      <x:c r="F18" s="6" t="n">
        <x:f>C18*D18</x:f>
        <x:v>6325</x:v>
      </x:c>
      <x:c r="G18" s="6" t="n">
        <x:f>ROUND(F18*$M$4,0)</x:f>
        <x:v>633</x:v>
      </x:c>
      <x:c r="H18" s="6" t="n">
        <x:f>F18+G18</x:f>
        <x:v>6958</x:v>
      </x:c>
      <x:c r="I18" s="6" t="n">
        <x:f>H18-E18</x:f>
        <x:v>6939</x:v>
      </x:c>
      <x:c r="J18" s="6" t="n">
        <x:f>IFERROR(I18/C18,0)</x:f>
        <x:v>1387.8</x:v>
      </x:c>
      <x:c r="K18" s="2"/>
      <x:c r="L18" s="2"/>
      <x:c r="M18" s="2"/>
    </x:row>
    <x:row r="19" ht="22" customHeight="1">
      <x:c r="A19" s="9" t="str">
        <x:v>TXN-3-0012</x:v>
      </x:c>
      <x:c r="B19" s="9" t="str">
        <x:v>일반</x:v>
      </x:c>
      <x:c r="C19" s="6" t="n">
        <x:v>6</x:v>
      </x:c>
      <x:c r="D19" s="6" t="n">
        <x:v>1288</x:v>
      </x:c>
      <x:c r="E19" s="6" t="n">
        <x:v>38</x:v>
      </x:c>
      <x:c r="F19" s="6" t="n">
        <x:f>C19*D19</x:f>
        <x:v>7728</x:v>
      </x:c>
      <x:c r="G19" s="6" t="n">
        <x:f>ROUND(F19*$M$4,0)</x:f>
        <x:v>773</x:v>
      </x:c>
      <x:c r="H19" s="6" t="n">
        <x:f>F19+G19</x:f>
        <x:v>8501</x:v>
      </x:c>
      <x:c r="I19" s="6" t="n">
        <x:f>H19-E19</x:f>
        <x:v>8463</x:v>
      </x:c>
      <x:c r="J19" s="6" t="n">
        <x:f>IFERROR(I19/C19,0)</x:f>
        <x:v>1410.5</x:v>
      </x:c>
      <x:c r="K19" s="2"/>
      <x:c r="L19" s="2"/>
      <x:c r="M19" s="2"/>
    </x:row>
    <x:row r="20" ht="22" customHeight="1">
      <x:c r="A20" s="9" t="str">
        <x:v>TXN-3-0013</x:v>
      </x:c>
      <x:c r="B20" s="9" t="str">
        <x:v>일반</x:v>
      </x:c>
      <x:c r="C20" s="6" t="n">
        <x:v>7</x:v>
      </x:c>
      <x:c r="D20" s="6" t="n">
        <x:v>1311</x:v>
      </x:c>
      <x:c r="E20" s="6" t="n">
        <x:v>57</x:v>
      </x:c>
      <x:c r="F20" s="6" t="n">
        <x:f>C20*D20</x:f>
        <x:v>9177</x:v>
      </x:c>
      <x:c r="G20" s="6" t="n">
        <x:f>ROUND(F20*$M$4,0)</x:f>
        <x:v>918</x:v>
      </x:c>
      <x:c r="H20" s="6" t="n">
        <x:f>F20+G20</x:f>
        <x:v>10095</x:v>
      </x:c>
      <x:c r="I20" s="6" t="n">
        <x:f>H20-E20</x:f>
        <x:v>10038</x:v>
      </x:c>
      <x:c r="J20" s="6" t="n">
        <x:f>IFERROR(I20/C20,0)</x:f>
        <x:v>1434</x:v>
      </x:c>
      <x:c r="K20" s="2"/>
      <x:c r="L20" s="2"/>
      <x:c r="M20" s="2"/>
    </x:row>
    <x:row r="21" ht="22" customHeight="1">
      <x:c r="A21" s="9" t="str">
        <x:v>TXN-3-0014</x:v>
      </x:c>
      <x:c r="B21" s="9" t="str">
        <x:v>일반</x:v>
      </x:c>
      <x:c r="C21" s="6" t="n">
        <x:v>1</x:v>
      </x:c>
      <x:c r="D21" s="6" t="n">
        <x:v>1334</x:v>
      </x:c>
      <x:c r="E21" s="6" t="n">
        <x:v>76</x:v>
      </x:c>
      <x:c r="F21" s="6" t="n">
        <x:f>C21*D21</x:f>
        <x:v>1334</x:v>
      </x:c>
      <x:c r="G21" s="6" t="n">
        <x:f>ROUND(F21*$M$4,0)</x:f>
        <x:v>133</x:v>
      </x:c>
      <x:c r="H21" s="6" t="n">
        <x:f>F21+G21</x:f>
        <x:v>1467</x:v>
      </x:c>
      <x:c r="I21" s="6" t="n">
        <x:f>H21-E21</x:f>
        <x:v>1391</x:v>
      </x:c>
      <x:c r="J21" s="6" t="n">
        <x:f>IFERROR(I21/C21,0)</x:f>
        <x:v>1391</x:v>
      </x:c>
      <x:c r="K21" s="2"/>
      <x:c r="L21" s="2"/>
      <x:c r="M21" s="2"/>
    </x:row>
    <x:row r="22" ht="22" customHeight="1">
      <x:c r="A22" s="9" t="str">
        <x:v>TXN-3-0015</x:v>
      </x:c>
      <x:c r="B22" s="9" t="str">
        <x:v>일반</x:v>
      </x:c>
      <x:c r="C22" s="6" t="n">
        <x:v>2</x:v>
      </x:c>
      <x:c r="D22" s="6" t="n">
        <x:v>1357</x:v>
      </x:c>
      <x:c r="E22" s="6" t="n">
        <x:v>0</x:v>
      </x:c>
      <x:c r="F22" s="6" t="n">
        <x:f>C22*D21</x:f>
        <x:v>2668</x:v>
      </x:c>
      <x:c r="G22" s="6" t="n">
        <x:f>ROUND(F22*$M$4,0)</x:f>
        <x:v>267</x:v>
      </x:c>
      <x:c r="H22" s="6" t="n">
        <x:f>F22+G22</x:f>
        <x:v>2935</x:v>
      </x:c>
      <x:c r="I22" s="6" t="n">
        <x:f>H22-E22</x:f>
        <x:v>2935</x:v>
      </x:c>
      <x:c r="J22" s="6" t="n">
        <x:f>IFERROR(I22/C22,0)</x:f>
        <x:v>1467.5</x:v>
      </x:c>
      <x:c r="K22" s="2"/>
      <x:c r="L22" s="2"/>
      <x:c r="M22" s="2"/>
    </x:row>
    <x:row r="23" ht="22" customHeight="1">
      <x:c r="A23" s="9" t="str">
        <x:v>TXN-3-0016</x:v>
      </x:c>
      <x:c r="B23" s="9" t="str">
        <x:v>일반</x:v>
      </x:c>
      <x:c r="C23" s="6" t="n">
        <x:v>3</x:v>
      </x:c>
      <x:c r="D23" s="6" t="n">
        <x:v>1380</x:v>
      </x:c>
      <x:c r="E23" s="6" t="n">
        <x:v>19</x:v>
      </x:c>
      <x:c r="F23" s="6" t="n">
        <x:f>C23*D23</x:f>
        <x:v>4140</x:v>
      </x:c>
      <x:c r="G23" s="6" t="n">
        <x:f>ROUND(F23*$M$4,0)</x:f>
        <x:v>414</x:v>
      </x:c>
      <x:c r="H23" s="6" t="n">
        <x:f>F23+G23</x:f>
        <x:v>4554</x:v>
      </x:c>
      <x:c r="I23" s="6" t="n">
        <x:f>H23-E23</x:f>
        <x:v>4535</x:v>
      </x:c>
      <x:c r="J23" s="6" t="n">
        <x:f>IFERROR(I23/C23,0)</x:f>
        <x:v>1511.6666666666667</x:v>
      </x:c>
      <x:c r="K23" s="2"/>
      <x:c r="L23" s="2"/>
      <x:c r="M23" s="2"/>
    </x:row>
    <x:row r="24" ht="22" customHeight="1">
      <x:c r="A24" s="9" t="str">
        <x:v>TXN-3-0017</x:v>
      </x:c>
      <x:c r="B24" s="9" t="str">
        <x:v>일반</x:v>
      </x:c>
      <x:c r="C24" s="6" t="n">
        <x:v>4</x:v>
      </x:c>
      <x:c r="D24" s="6" t="n">
        <x:v>1403</x:v>
      </x:c>
      <x:c r="E24" s="6" t="n">
        <x:v>38</x:v>
      </x:c>
      <x:c r="F24" s="6" t="n">
        <x:f>C24*D24</x:f>
        <x:v>5612</x:v>
      </x:c>
      <x:c r="G24" s="6" t="n">
        <x:f>ROUND(F24*$M$4,0)</x:f>
        <x:v>561</x:v>
      </x:c>
      <x:c r="H24" s="6" t="n">
        <x:f>F24+G24</x:f>
        <x:v>6173</x:v>
      </x:c>
      <x:c r="I24" s="6" t="n">
        <x:f>H24-E24</x:f>
        <x:v>6135</x:v>
      </x:c>
      <x:c r="J24" s="6" t="n">
        <x:f>IFERROR(I24/C24,0)</x:f>
        <x:v>1533.75</x:v>
      </x:c>
      <x:c r="K24" s="2"/>
      <x:c r="L24" s="2"/>
      <x:c r="M24" s="2"/>
    </x:row>
    <x:row r="25" ht="22" customHeight="1">
      <x:c r="A25" s="9" t="str">
        <x:v>TXN-3-0018</x:v>
      </x:c>
      <x:c r="B25" s="9" t="str">
        <x:v>일반</x:v>
      </x:c>
      <x:c r="C25" s="6" t="n">
        <x:v>5</x:v>
      </x:c>
      <x:c r="D25" s="6" t="n">
        <x:v>1426</x:v>
      </x:c>
      <x:c r="E25" s="6" t="n">
        <x:v>57</x:v>
      </x:c>
      <x:c r="F25" s="6" t="n">
        <x:f>C25*D25</x:f>
        <x:v>7130</x:v>
      </x:c>
      <x:c r="G25" s="6" t="n">
        <x:f>ROUND(F25*$M$4,0)</x:f>
        <x:v>713</x:v>
      </x:c>
      <x:c r="H25" s="6" t="n">
        <x:f>F25+G25</x:f>
        <x:v>7843</x:v>
      </x:c>
      <x:c r="I25" s="6" t="n">
        <x:f>H25-E25</x:f>
        <x:v>7786</x:v>
      </x:c>
      <x:c r="J25" s="6" t="n">
        <x:f>IFERROR(I25/C25,0)</x:f>
        <x:v>1557.2</x:v>
      </x:c>
      <x:c r="K25" s="2"/>
      <x:c r="L25" s="2"/>
      <x:c r="M25" s="2"/>
    </x:row>
    <x:row r="26" ht="22" customHeight="1">
      <x:c r="A26" s="9" t="str">
        <x:v>TXN-3-0019</x:v>
      </x:c>
      <x:c r="B26" s="9" t="str">
        <x:v>일반</x:v>
      </x:c>
      <x:c r="C26" s="6" t="n">
        <x:v>6</x:v>
      </x:c>
      <x:c r="D26" s="6" t="n">
        <x:v>1449</x:v>
      </x:c>
      <x:c r="E26" s="6" t="n">
        <x:v>76</x:v>
      </x:c>
      <x:c r="F26" s="6" t="n">
        <x:f>C26*D26</x:f>
        <x:v>8694</x:v>
      </x:c>
      <x:c r="G26" s="6" t="n">
        <x:f>ROUND(F26*$M$4,0)</x:f>
        <x:v>869</x:v>
      </x:c>
      <x:c r="H26" s="6" t="n">
        <x:f>F26+G26</x:f>
        <x:v>9563</x:v>
      </x:c>
      <x:c r="I26" s="6" t="n">
        <x:f>H26-E26</x:f>
        <x:v>9487</x:v>
      </x:c>
      <x:c r="J26" s="6" t="n">
        <x:f>IFERROR(I26/C26,0)</x:f>
        <x:v>1581.1666666666667</x:v>
      </x:c>
      <x:c r="K26" s="2"/>
      <x:c r="L26" s="2"/>
      <x:c r="M26" s="2"/>
    </x:row>
    <x:row r="27" ht="22" customHeight="1">
      <x:c r="A27" s="9" t="str">
        <x:v>TXN-3-0020</x:v>
      </x:c>
      <x:c r="B27" s="9" t="str">
        <x:v>일반</x:v>
      </x:c>
      <x:c r="C27" s="6" t="n">
        <x:v>7</x:v>
      </x:c>
      <x:c r="D27" s="6" t="n">
        <x:v>1472</x:v>
      </x:c>
      <x:c r="E27" s="6" t="n">
        <x:v>0</x:v>
      </x:c>
      <x:c r="F27" s="6" t="n">
        <x:f>C27*D27</x:f>
        <x:v>10304</x:v>
      </x:c>
      <x:c r="G27" s="6" t="n">
        <x:f>ROUND(F27*$M$4,0)</x:f>
        <x:v>1030</x:v>
      </x:c>
      <x:c r="H27" s="6" t="n">
        <x:f>F27+G27</x:f>
        <x:v>11334</x:v>
      </x:c>
      <x:c r="I27" s="6" t="n">
        <x:f>H27-E27</x:f>
        <x:v>11334</x:v>
      </x:c>
      <x:c r="J27" s="6" t="n">
        <x:f>IFERROR(I27/C27,0)</x:f>
        <x:v>1619.142857142857</x:v>
      </x:c>
      <x:c r="K27" s="2"/>
      <x:c r="L27" s="2"/>
      <x:c r="M27" s="2"/>
    </x:row>
    <x:row r="28" ht="22" customHeight="1">
      <x:c r="A28" s="9" t="str">
        <x:v>TXN-3-0021</x:v>
      </x:c>
      <x:c r="B28" s="9" t="str">
        <x:v>일반</x:v>
      </x:c>
      <x:c r="C28" s="6" t="n">
        <x:v>1</x:v>
      </x:c>
      <x:c r="D28" s="6" t="n">
        <x:v>1495</x:v>
      </x:c>
      <x:c r="E28" s="6" t="n">
        <x:v>19</x:v>
      </x:c>
      <x:c r="F28" s="6" t="n">
        <x:f>C28*D28</x:f>
        <x:v>1495</x:v>
      </x:c>
      <x:c r="G28" s="6" t="n">
        <x:f>ROUND(F28*$M$4,0)</x:f>
        <x:v>150</x:v>
      </x:c>
      <x:c r="H28" s="6" t="n">
        <x:f>F28+G28</x:f>
        <x:v>1645</x:v>
      </x:c>
      <x:c r="I28" s="6" t="n">
        <x:f>H28-E28</x:f>
        <x:v>1626</x:v>
      </x:c>
      <x:c r="J28" s="6" t="n">
        <x:f>IFERROR(I28/C28,0)</x:f>
        <x:v>1626</x:v>
      </x:c>
      <x:c r="K28" s="2"/>
      <x:c r="L28" s="2"/>
      <x:c r="M28" s="2"/>
    </x:row>
    <x:row r="29" ht="22" customHeight="1">
      <x:c r="A29" s="9" t="str">
        <x:v>TXN-3-0022</x:v>
      </x:c>
      <x:c r="B29" s="9" t="str">
        <x:v>일반</x:v>
      </x:c>
      <x:c r="C29" s="6" t="n">
        <x:v>2</x:v>
      </x:c>
      <x:c r="D29" s="6" t="n">
        <x:v>1518</x:v>
      </x:c>
      <x:c r="E29" s="6" t="n">
        <x:v>38</x:v>
      </x:c>
      <x:c r="F29" s="6" t="n">
        <x:f>C29*D29</x:f>
        <x:v>3036</x:v>
      </x:c>
      <x:c r="G29" s="6" t="n">
        <x:f>ROUND(F29*$M$4,0)</x:f>
        <x:v>304</x:v>
      </x:c>
      <x:c r="H29" s="6" t="n">
        <x:f>F29+G29</x:f>
        <x:v>3340</x:v>
      </x:c>
      <x:c r="I29" s="6" t="n">
        <x:f>H29-E29</x:f>
        <x:v>3302</x:v>
      </x:c>
      <x:c r="J29" s="6" t="n">
        <x:f>IFERROR(I29/C29,0)</x:f>
        <x:v>1651</x:v>
      </x:c>
      <x:c r="K29" s="2"/>
      <x:c r="L29" s="2"/>
      <x:c r="M29" s="2"/>
    </x:row>
    <x:row r="30" ht="22" customHeight="1">
      <x:c r="A30" s="9" t="str">
        <x:v>TXN-3-0023</x:v>
      </x:c>
      <x:c r="B30" s="9" t="str">
        <x:v>일반</x:v>
      </x:c>
      <x:c r="C30" s="6" t="n">
        <x:v>3</x:v>
      </x:c>
      <x:c r="D30" s="6" t="n">
        <x:v>1541</x:v>
      </x:c>
      <x:c r="E30" s="6" t="n">
        <x:v>57</x:v>
      </x:c>
      <x:c r="F30" s="6" t="n">
        <x:f>C30*D30</x:f>
        <x:v>4623</x:v>
      </x:c>
      <x:c r="G30" s="6" t="n">
        <x:f>ROUND(F30*$M$4,0)</x:f>
        <x:v>462</x:v>
      </x:c>
      <x:c r="H30" s="6" t="n">
        <x:f>F30+G30</x:f>
        <x:v>5085</x:v>
      </x:c>
      <x:c r="I30" s="6" t="n">
        <x:f>H30-E30</x:f>
        <x:v>5028</x:v>
      </x:c>
      <x:c r="J30" s="6" t="n">
        <x:f>IFERROR(I30/C30,0)</x:f>
        <x:v>1676</x:v>
      </x:c>
      <x:c r="K30" s="2"/>
      <x:c r="L30" s="2"/>
      <x:c r="M30" s="2"/>
    </x:row>
    <x:row r="31" ht="22" customHeight="1">
      <x:c r="A31" s="9" t="str">
        <x:v>TXN-3-0024</x:v>
      </x:c>
      <x:c r="B31" s="9" t="str">
        <x:v>일반</x:v>
      </x:c>
      <x:c r="C31" s="6" t="n">
        <x:v>4</x:v>
      </x:c>
      <x:c r="D31" s="6" t="n">
        <x:v>1564</x:v>
      </x:c>
      <x:c r="E31" s="6" t="n">
        <x:v>76</x:v>
      </x:c>
      <x:c r="F31" s="6" t="n">
        <x:f>C31*D31</x:f>
        <x:v>6256</x:v>
      </x:c>
      <x:c r="G31" s="6" t="n">
        <x:f>ROUND(F31*$M$4,0)</x:f>
        <x:v>626</x:v>
      </x:c>
      <x:c r="H31" s="6" t="n">
        <x:f>F31+G31</x:f>
        <x:v>6882</x:v>
      </x:c>
      <x:c r="I31" s="6" t="n">
        <x:f>H31-E31</x:f>
        <x:v>6806</x:v>
      </x:c>
      <x:c r="J31" s="6" t="n">
        <x:f>IFERROR(I31/C31,0)</x:f>
        <x:v>1701.5</x:v>
      </x:c>
      <x:c r="K31" s="2"/>
      <x:c r="L31" s="2"/>
      <x:c r="M31" s="2"/>
    </x:row>
    <x:row r="32" ht="22" customHeight="1">
      <x:c r="A32" s="9" t="str">
        <x:v>TXN-3-0025</x:v>
      </x:c>
      <x:c r="B32" s="9" t="str">
        <x:v>일반</x:v>
      </x:c>
      <x:c r="C32" s="6" t="n">
        <x:v>5</x:v>
      </x:c>
      <x:c r="D32" s="6" t="n">
        <x:v>1587</x:v>
      </x:c>
      <x:c r="E32" s="6" t="n">
        <x:v>0</x:v>
      </x:c>
      <x:c r="F32" s="6" t="n">
        <x:f>C32*D32</x:f>
        <x:v>7935</x:v>
      </x:c>
      <x:c r="G32" s="6" t="n">
        <x:f>ROUND(F32*$M$4,0)</x:f>
        <x:v>794</x:v>
      </x:c>
      <x:c r="H32" s="6" t="n">
        <x:f>F32+G32</x:f>
        <x:v>8729</x:v>
      </x:c>
      <x:c r="I32" s="6" t="n">
        <x:f>H32-E32</x:f>
        <x:v>8729</x:v>
      </x:c>
      <x:c r="J32" s="6" t="n">
        <x:f>IFERROR(I32/C32,0)</x:f>
        <x:v>1745.8</x:v>
      </x:c>
      <x:c r="K32" s="2"/>
      <x:c r="L32" s="2"/>
      <x:c r="M32" s="2"/>
    </x:row>
    <x:row r="33" ht="22" customHeight="1">
      <x:c r="A33" s="9" t="str">
        <x:v>TXN-3-0026</x:v>
      </x:c>
      <x:c r="B33" s="9" t="str">
        <x:v>일반</x:v>
      </x:c>
      <x:c r="C33" s="6" t="n">
        <x:v>6</x:v>
      </x:c>
      <x:c r="D33" s="6" t="n">
        <x:v>1610</x:v>
      </x:c>
      <x:c r="E33" s="6" t="n">
        <x:v>19</x:v>
      </x:c>
      <x:c r="F33" s="6" t="n">
        <x:f>C33*D33</x:f>
        <x:v>9660</x:v>
      </x:c>
      <x:c r="G33" s="6" t="n">
        <x:f>ROUND(F33*$M$4,0)</x:f>
        <x:v>966</x:v>
      </x:c>
      <x:c r="H33" s="6" t="n">
        <x:f>F33+G33</x:f>
        <x:v>10626</x:v>
      </x:c>
      <x:c r="I33" s="6" t="n">
        <x:f>H33-E33</x:f>
        <x:v>10607</x:v>
      </x:c>
      <x:c r="J33" s="6" t="n">
        <x:f>IFERROR(I33/C33,0)</x:f>
        <x:v>1767.8333333333333</x:v>
      </x:c>
      <x:c r="K33" s="2"/>
      <x:c r="L33" s="2"/>
      <x:c r="M33" s="2"/>
    </x:row>
    <x:row r="34" ht="22" customHeight="1">
      <x:c r="A34" s="9" t="str">
        <x:v>TXN-3-0027</x:v>
      </x:c>
      <x:c r="B34" s="9" t="str">
        <x:v>일반</x:v>
      </x:c>
      <x:c r="C34" s="6" t="n">
        <x:v>7</x:v>
      </x:c>
      <x:c r="D34" s="6" t="n">
        <x:v>1633</x:v>
      </x:c>
      <x:c r="E34" s="6" t="n">
        <x:v>38</x:v>
      </x:c>
      <x:c r="F34" s="6" t="n">
        <x:f>C34*D34</x:f>
        <x:v>11431</x:v>
      </x:c>
      <x:c r="G34" s="6" t="n">
        <x:f>ROUND(F34*$M$4,0)</x:f>
        <x:v>1143</x:v>
      </x:c>
      <x:c r="H34" s="6" t="n">
        <x:f>F34+G34</x:f>
        <x:v>12574</x:v>
      </x:c>
      <x:c r="I34" s="6" t="n">
        <x:f>H34-E34</x:f>
        <x:v>12536</x:v>
      </x:c>
      <x:c r="J34" s="6" t="n">
        <x:f>IFERROR(I34/C34,0)</x:f>
        <x:v>1790.857142857143</x:v>
      </x:c>
      <x:c r="K34" s="2"/>
      <x:c r="L34" s="2"/>
      <x:c r="M34" s="2"/>
    </x:row>
    <x:row r="35" ht="22" customHeight="1">
      <x:c r="A35" s="9" t="str">
        <x:v>TXN-3-0028</x:v>
      </x:c>
      <x:c r="B35" s="9" t="str">
        <x:v>일반</x:v>
      </x:c>
      <x:c r="C35" s="6" t="n">
        <x:v>1</x:v>
      </x:c>
      <x:c r="D35" s="6" t="n">
        <x:v>1656</x:v>
      </x:c>
      <x:c r="E35" s="6" t="n">
        <x:v>57</x:v>
      </x:c>
      <x:c r="F35" s="6" t="n">
        <x:f>C35*D35</x:f>
        <x:v>1656</x:v>
      </x:c>
      <x:c r="G35" s="6" t="n">
        <x:f>ROUND(F35*$M$4,0)</x:f>
        <x:v>166</x:v>
      </x:c>
      <x:c r="H35" s="6" t="n">
        <x:f>F35+G35</x:f>
        <x:v>1822</x:v>
      </x:c>
      <x:c r="I35" s="6" t="n">
        <x:f>H35-E35</x:f>
        <x:v>1765</x:v>
      </x:c>
      <x:c r="J35" s="6" t="n">
        <x:f>IFERROR(I35/C35,0)</x:f>
        <x:v>1765</x:v>
      </x:c>
      <x:c r="K35" s="2"/>
      <x:c r="L35" s="2"/>
      <x:c r="M35" s="2"/>
    </x:row>
    <x:row r="36" ht="22" customHeight="1">
      <x:c r="A36" s="9" t="str">
        <x:v>TXN-3-0029</x:v>
      </x:c>
      <x:c r="B36" s="9" t="str">
        <x:v>일반</x:v>
      </x:c>
      <x:c r="C36" s="6" t="n">
        <x:v>2</x:v>
      </x:c>
      <x:c r="D36" s="6" t="n">
        <x:v>1679</x:v>
      </x:c>
      <x:c r="E36" s="6" t="n">
        <x:v>76</x:v>
      </x:c>
      <x:c r="F36" s="6" t="n">
        <x:f>C36*D36</x:f>
        <x:v>3358</x:v>
      </x:c>
      <x:c r="G36" s="6" t="n">
        <x:f>ROUND(F36*$M$4,0)</x:f>
        <x:v>336</x:v>
      </x:c>
      <x:c r="H36" s="6" t="n">
        <x:f>F36+G36</x:f>
        <x:v>3694</x:v>
      </x:c>
      <x:c r="I36" s="6" t="n">
        <x:f>H36-E36</x:f>
        <x:v>3618</x:v>
      </x:c>
      <x:c r="J36" s="6" t="n">
        <x:f>IFERROR(I36/C36,0)</x:f>
        <x:v>1809</x:v>
      </x:c>
      <x:c r="K36" s="2"/>
      <x:c r="L36" s="2"/>
      <x:c r="M36" s="2"/>
    </x:row>
    <x:row r="37" ht="22" customHeight="1">
      <x:c r="A37" s="9" t="str">
        <x:v>TXN-3-0030</x:v>
      </x:c>
      <x:c r="B37" s="9" t="str">
        <x:v>일반</x:v>
      </x:c>
      <x:c r="C37" s="6" t="n">
        <x:v>3</x:v>
      </x:c>
      <x:c r="D37" s="6" t="n">
        <x:v>1702</x:v>
      </x:c>
      <x:c r="E37" s="6" t="n">
        <x:v>0</x:v>
      </x:c>
      <x:c r="F37" s="6" t="n">
        <x:f>C37*D37</x:f>
        <x:v>5106</x:v>
      </x:c>
      <x:c r="G37" s="6" t="n">
        <x:f>ROUND(F37*$M$4,0)</x:f>
        <x:v>511</x:v>
      </x:c>
      <x:c r="H37" s="6" t="n">
        <x:f>F37+G37</x:f>
        <x:v>5617</x:v>
      </x:c>
      <x:c r="I37" s="6" t="n">
        <x:f>H37-E37</x:f>
        <x:v>5617</x:v>
      </x:c>
      <x:c r="J37" s="6" t="n">
        <x:f>IFERROR(I37/C37,0)</x:f>
        <x:v>1872.3333333333333</x:v>
      </x:c>
      <x:c r="K37" s="2"/>
      <x:c r="L37" s="2"/>
      <x:c r="M37" s="2"/>
    </x:row>
    <x:row r="38" ht="22" customHeight="1">
      <x:c r="A38" s="9" t="str">
        <x:v>TXN-3-0031</x:v>
      </x:c>
      <x:c r="B38" s="9" t="str">
        <x:v>일반</x:v>
      </x:c>
      <x:c r="C38" s="6" t="n">
        <x:v>4</x:v>
      </x:c>
      <x:c r="D38" s="6" t="n">
        <x:v>1725</x:v>
      </x:c>
      <x:c r="E38" s="6" t="n">
        <x:v>19</x:v>
      </x:c>
      <x:c r="F38" s="6" t="n">
        <x:f>C38*D38</x:f>
        <x:v>6900</x:v>
      </x:c>
      <x:c r="G38" s="6" t="n">
        <x:f>ROUND(F38*$M$4,0)</x:f>
        <x:v>690</x:v>
      </x:c>
      <x:c r="H38" s="6" t="n">
        <x:f>F38+G38</x:f>
        <x:v>7590</x:v>
      </x:c>
      <x:c r="I38" s="6" t="n">
        <x:f>H38-E38</x:f>
        <x:v>7571</x:v>
      </x:c>
      <x:c r="J38" s="6" t="n">
        <x:f>IFERROR(I38/C38,0)</x:f>
        <x:v>1892.75</x:v>
      </x:c>
      <x:c r="K38" s="2"/>
      <x:c r="L38" s="2"/>
      <x:c r="M38" s="2"/>
    </x:row>
    <x:row r="39" ht="22" customHeight="1">
      <x:c r="A39" s="9" t="str">
        <x:v>TXN-3-0032</x:v>
      </x:c>
      <x:c r="B39" s="9" t="str">
        <x:v>일반</x:v>
      </x:c>
      <x:c r="C39" s="6" t="n">
        <x:v>5</x:v>
      </x:c>
      <x:c r="D39" s="6" t="n">
        <x:v>1748</x:v>
      </x:c>
      <x:c r="E39" s="6" t="n">
        <x:v>38</x:v>
      </x:c>
      <x:c r="F39" s="6" t="n">
        <x:f>C39*D39</x:f>
        <x:v>8740</x:v>
      </x:c>
      <x:c r="G39" s="6" t="n">
        <x:f>ROUND(F39*$M$4,0)</x:f>
        <x:v>874</x:v>
      </x:c>
      <x:c r="H39" s="6" t="n">
        <x:f>F39+G39</x:f>
        <x:v>9614</x:v>
      </x:c>
      <x:c r="I39" s="6" t="n">
        <x:f>H39-E39</x:f>
        <x:v>9576</x:v>
      </x:c>
      <x:c r="J39" s="6" t="n">
        <x:f>IFERROR(I39/C39,0)</x:f>
        <x:v>1915.2</x:v>
      </x:c>
      <x:c r="K39" s="2"/>
      <x:c r="L39" s="2"/>
      <x:c r="M39" s="2"/>
    </x:row>
    <x:row r="40" ht="22" customHeight="1">
      <x:c r="A40" s="9" t="str">
        <x:v>TXN-3-0033</x:v>
      </x:c>
      <x:c r="B40" s="9" t="str">
        <x:v>수동 조정</x:v>
      </x:c>
      <x:c r="C40" s="6" t="n">
        <x:v>6</x:v>
      </x:c>
      <x:c r="D40" s="6" t="n">
        <x:v>1771</x:v>
      </x:c>
      <x:c r="E40" s="6" t="n">
        <x:v>57</x:v>
      </x:c>
      <x:c r="F40" s="6" t="n">
        <x:f>C40*D40+100</x:f>
        <x:v>10726</x:v>
      </x:c>
      <x:c r="G40" s="6" t="n">
        <x:f>ROUND(F40*$M$4,0)</x:f>
        <x:v>1073</x:v>
      </x:c>
      <x:c r="H40" s="6" t="n">
        <x:f>F40+G40</x:f>
        <x:v>11799</x:v>
      </x:c>
      <x:c r="I40" s="6" t="n">
        <x:f>H40-E40</x:f>
        <x:v>11742</x:v>
      </x:c>
      <x:c r="J40" s="6" t="n">
        <x:f>IFERROR(I40/C40,0)</x:f>
        <x:v>1957</x:v>
      </x:c>
      <x:c r="K40" s="2"/>
      <x:c r="L40" s="2"/>
      <x:c r="M40" s="2"/>
    </x:row>
    <x:row r="41" ht="22" customHeight="1">
      <x:c r="A41" s="9" t="str">
        <x:v>TXN-3-0034</x:v>
      </x:c>
      <x:c r="B41" s="9" t="str">
        <x:v>일반</x:v>
      </x:c>
      <x:c r="C41" s="6" t="n">
        <x:v>7</x:v>
      </x:c>
      <x:c r="D41" s="6" t="n">
        <x:v>1794</x:v>
      </x:c>
      <x:c r="E41" s="6" t="n">
        <x:v>76</x:v>
      </x:c>
      <x:c r="F41" s="6" t="n">
        <x:f>C41*D41</x:f>
        <x:v>12558</x:v>
      </x:c>
      <x:c r="G41" s="6" t="n">
        <x:f>ROUND(F41*$M$4,0)</x:f>
        <x:v>1256</x:v>
      </x:c>
      <x:c r="H41" s="6" t="n">
        <x:f>F41+G41</x:f>
        <x:v>13814</x:v>
      </x:c>
      <x:c r="I41" s="6" t="n">
        <x:f>H41-E41</x:f>
        <x:v>13738</x:v>
      </x:c>
      <x:c r="J41" s="6" t="n">
        <x:f>IFERROR(I41/C41,0)</x:f>
        <x:v>1962.5714285714287</x:v>
      </x:c>
      <x:c r="K41" s="2"/>
      <x:c r="L41" s="2"/>
      <x:c r="M41" s="2"/>
    </x:row>
    <x:row r="42" ht="22" customHeight="1">
      <x:c r="A42" s="9" t="str">
        <x:v>TXN-3-0035</x:v>
      </x:c>
      <x:c r="B42" s="9" t="str">
        <x:v>일반</x:v>
      </x:c>
      <x:c r="C42" s="6" t="n">
        <x:v>1</x:v>
      </x:c>
      <x:c r="D42" s="6" t="n">
        <x:v>1817</x:v>
      </x:c>
      <x:c r="E42" s="6" t="n">
        <x:v>0</x:v>
      </x:c>
      <x:c r="F42" s="6" t="n">
        <x:f>C42*D42</x:f>
        <x:v>1817</x:v>
      </x:c>
      <x:c r="G42" s="6" t="n">
        <x:f>ROUND(F42*$M$4,0)</x:f>
        <x:v>182</x:v>
      </x:c>
      <x:c r="H42" s="6" t="n">
        <x:f>F42+G42</x:f>
        <x:v>1999</x:v>
      </x:c>
      <x:c r="I42" s="6" t="n">
        <x:f>H42-E42</x:f>
        <x:v>1999</x:v>
      </x:c>
      <x:c r="J42" s="6" t="n">
        <x:f>IFERROR(I42/C42,0)</x:f>
        <x:v>1999</x:v>
      </x:c>
      <x:c r="K42" s="2"/>
      <x:c r="L42" s="2"/>
      <x:c r="M42" s="2"/>
    </x:row>
    <x:row r="43" ht="22" customHeight="1">
      <x:c r="A43" s="9" t="str">
        <x:v>TXN-3-0036</x:v>
      </x:c>
      <x:c r="B43" s="9" t="str">
        <x:v>일반</x:v>
      </x:c>
      <x:c r="C43" s="6" t="n">
        <x:v>2</x:v>
      </x:c>
      <x:c r="D43" s="6" t="n">
        <x:v>1840</x:v>
      </x:c>
      <x:c r="E43" s="6" t="n">
        <x:v>19</x:v>
      </x:c>
      <x:c r="F43" s="6" t="n">
        <x:f>C43*D43</x:f>
        <x:v>3680</x:v>
      </x:c>
      <x:c r="G43" s="6" t="n">
        <x:f>ROUND(F43*$M$4,0)</x:f>
        <x:v>368</x:v>
      </x:c>
      <x:c r="H43" s="6" t="n">
        <x:f>F43+G43</x:f>
        <x:v>4048</x:v>
      </x:c>
      <x:c r="I43" s="6" t="n">
        <x:f>H43-E43</x:f>
        <x:v>4029</x:v>
      </x:c>
      <x:c r="J43" s="6" t="n">
        <x:f>IFERROR(I43/C43,0)</x:f>
        <x:v>2014.5</x:v>
      </x:c>
      <x:c r="K43" s="2"/>
      <x:c r="L43" s="2"/>
      <x:c r="M43" s="2"/>
    </x:row>
    <x:row r="44" ht="22" customHeight="1">
      <x:c r="A44" s="9" t="str">
        <x:v>TXN-3-0037</x:v>
      </x:c>
      <x:c r="B44" s="9" t="str">
        <x:v>일반</x:v>
      </x:c>
      <x:c r="C44" s="6" t="n">
        <x:v>3</x:v>
      </x:c>
      <x:c r="D44" s="6" t="n">
        <x:v>1863</x:v>
      </x:c>
      <x:c r="E44" s="6" t="n">
        <x:v>38</x:v>
      </x:c>
      <x:c r="F44" s="6" t="n">
        <x:f>C44*D44</x:f>
        <x:v>5589</x:v>
      </x:c>
      <x:c r="G44" s="6" t="n">
        <x:f>ROUND(F44*$M$4,0)</x:f>
        <x:v>559</x:v>
      </x:c>
      <x:c r="H44" s="6" t="n">
        <x:f>F44+G44</x:f>
        <x:v>6148</x:v>
      </x:c>
      <x:c r="I44" s="6" t="n">
        <x:f>H44-E44</x:f>
        <x:v>6110</x:v>
      </x:c>
      <x:c r="J44" s="6" t="n">
        <x:f>IFERROR(I44/C44,0)</x:f>
        <x:v>2036.6666666666667</x:v>
      </x:c>
      <x:c r="K44" s="2"/>
      <x:c r="L44" s="2"/>
      <x:c r="M44" s="2"/>
    </x:row>
    <x:row r="45" ht="22" customHeight="1">
      <x:c r="A45" s="9" t="str">
        <x:v>TXN-3-0038</x:v>
      </x:c>
      <x:c r="B45" s="9" t="str">
        <x:v>일반</x:v>
      </x:c>
      <x:c r="C45" s="6" t="n">
        <x:v>4</x:v>
      </x:c>
      <x:c r="D45" s="6" t="n">
        <x:v>1886</x:v>
      </x:c>
      <x:c r="E45" s="6" t="n">
        <x:v>57</x:v>
      </x:c>
      <x:c r="F45" s="6" t="n">
        <x:f>C45*D45</x:f>
        <x:v>7544</x:v>
      </x:c>
      <x:c r="G45" s="6" t="n">
        <x:f>ROUND(F45*$M$4,0)</x:f>
        <x:v>754</x:v>
      </x:c>
      <x:c r="H45" s="6" t="n">
        <x:f>F45+G45</x:f>
        <x:v>8298</x:v>
      </x:c>
      <x:c r="I45" s="6" t="n">
        <x:f>H45-E45</x:f>
        <x:v>8241</x:v>
      </x:c>
      <x:c r="J45" s="6" t="n">
        <x:f>IFERROR(I45/C45,0)</x:f>
        <x:v>2060.25</x:v>
      </x:c>
      <x:c r="K45" s="2"/>
      <x:c r="L45" s="2"/>
      <x:c r="M45" s="2"/>
    </x:row>
    <x:row r="46" ht="22" customHeight="1">
      <x:c r="A46" s="9" t="str">
        <x:v>TXN-3-0039</x:v>
      </x:c>
      <x:c r="B46" s="9" t="str">
        <x:v>일반</x:v>
      </x:c>
      <x:c r="C46" s="6" t="n">
        <x:v>5</x:v>
      </x:c>
      <x:c r="D46" s="6" t="n">
        <x:v>1909</x:v>
      </x:c>
      <x:c r="E46" s="6" t="n">
        <x:v>76</x:v>
      </x:c>
      <x:c r="F46" s="6" t="n">
        <x:f>C46*D46</x:f>
        <x:v>9545</x:v>
      </x:c>
      <x:c r="G46" s="6" t="n">
        <x:f>ROUND(F46*$M$4,0)</x:f>
        <x:v>955</x:v>
      </x:c>
      <x:c r="H46" s="6" t="n">
        <x:f>F46+G46</x:f>
        <x:v>10500</x:v>
      </x:c>
      <x:c r="I46" s="6" t="n">
        <x:f>H46-E46</x:f>
        <x:v>10424</x:v>
      </x:c>
      <x:c r="J46" s="6" t="n">
        <x:f>IFERROR(I46/C46,0)</x:f>
        <x:v>2084.8</x:v>
      </x:c>
      <x:c r="K46" s="2"/>
      <x:c r="L46" s="2"/>
      <x:c r="M46" s="2"/>
    </x:row>
    <x:row r="47" ht="22" customHeight="1">
      <x:c r="A47" s="9" t="str">
        <x:v>TXN-3-0040</x:v>
      </x:c>
      <x:c r="B47" s="9" t="str">
        <x:v>일반</x:v>
      </x:c>
      <x:c r="C47" s="6" t="n">
        <x:v>6</x:v>
      </x:c>
      <x:c r="D47" s="6" t="n">
        <x:v>1932</x:v>
      </x:c>
      <x:c r="E47" s="6" t="n">
        <x:v>0</x:v>
      </x:c>
      <x:c r="F47" s="6" t="n">
        <x:f>C47*D47</x:f>
        <x:v>11592</x:v>
      </x:c>
      <x:c r="G47" s="6" t="n">
        <x:f>ROUND(F47*$M$4,0)</x:f>
        <x:v>1159</x:v>
      </x:c>
      <x:c r="H47" s="6" t="n">
        <x:f>F47+G47</x:f>
        <x:v>12751</x:v>
      </x:c>
      <x:c r="I47" s="6" t="n">
        <x:f>H47-E47</x:f>
        <x:v>12751</x:v>
      </x:c>
      <x:c r="J47" s="6" t="n">
        <x:f>IFERROR(I47/C47,0)</x:f>
        <x:v>2125.1666666666665</x:v>
      </x:c>
      <x:c r="K47" s="2"/>
      <x:c r="L47" s="2"/>
      <x:c r="M47" s="2"/>
    </x:row>
    <x:row r="48" ht="22" customHeight="1">
      <x:c r="A48" s="9" t="str">
        <x:v>TXN-3-0041</x:v>
      </x:c>
      <x:c r="B48" s="9" t="str">
        <x:v>일반</x:v>
      </x:c>
      <x:c r="C48" s="6" t="n">
        <x:v>7</x:v>
      </x:c>
      <x:c r="D48" s="6" t="n">
        <x:v>1955</x:v>
      </x:c>
      <x:c r="E48" s="6" t="n">
        <x:v>19</x:v>
      </x:c>
      <x:c r="F48" s="6" t="n">
        <x:f>C48*D48</x:f>
        <x:v>13685</x:v>
      </x:c>
      <x:c r="G48" s="6" t="n">
        <x:f>ROUND(F48*$M$4,0)</x:f>
        <x:v>1369</x:v>
      </x:c>
      <x:c r="H48" s="6" t="n">
        <x:f>F48+G48</x:f>
        <x:v>15054</x:v>
      </x:c>
      <x:c r="I48" s="6" t="n">
        <x:f>H48-E48</x:f>
        <x:v>15035</x:v>
      </x:c>
      <x:c r="J48" s="6" t="n">
        <x:f>IFERROR(I48/C48,0)</x:f>
        <x:v>2147.8571428571427</x:v>
      </x:c>
      <x:c r="K48" s="2"/>
      <x:c r="L48" s="2"/>
      <x:c r="M48" s="2"/>
    </x:row>
    <x:row r="49" ht="22" customHeight="1">
      <x:c r="A49" s="9" t="str">
        <x:v>TXN-3-0042</x:v>
      </x:c>
      <x:c r="B49" s="9" t="str">
        <x:v>일반</x:v>
      </x:c>
      <x:c r="C49" s="6" t="n">
        <x:v>1</x:v>
      </x:c>
      <x:c r="D49" s="6" t="n">
        <x:v>1978</x:v>
      </x:c>
      <x:c r="E49" s="6" t="n">
        <x:v>38</x:v>
      </x:c>
      <x:c r="F49" s="6" t="n">
        <x:f>C49*D49</x:f>
        <x:v>1978</x:v>
      </x:c>
      <x:c r="G49" s="6" t="n">
        <x:f>ROUND(F49*$M$4,0)</x:f>
        <x:v>198</x:v>
      </x:c>
      <x:c r="H49" s="6" t="n">
        <x:f>F49+G49</x:f>
        <x:v>2176</x:v>
      </x:c>
      <x:c r="I49" s="6" t="n">
        <x:f>H49-E49</x:f>
        <x:v>2138</x:v>
      </x:c>
      <x:c r="J49" s="6" t="n">
        <x:f>IFERROR(I49/C49,0)</x:f>
        <x:v>2138</x:v>
      </x:c>
      <x:c r="K49" s="2"/>
      <x:c r="L49" s="2"/>
      <x:c r="M49" s="2"/>
    </x:row>
    <x:row r="50" ht="22" customHeight="1">
      <x:c r="A50" s="9" t="str">
        <x:v>TXN-3-0043</x:v>
      </x:c>
      <x:c r="B50" s="9" t="str">
        <x:v>일반</x:v>
      </x:c>
      <x:c r="C50" s="6" t="n">
        <x:v>2</x:v>
      </x:c>
      <x:c r="D50" s="6" t="n">
        <x:v>2001</x:v>
      </x:c>
      <x:c r="E50" s="6" t="n">
        <x:v>57</x:v>
      </x:c>
      <x:c r="F50" s="6" t="n">
        <x:f>C50*D50</x:f>
        <x:v>4002</x:v>
      </x:c>
      <x:c r="G50" s="6" t="n">
        <x:f>ROUND(F50*$M$4,0)</x:f>
        <x:v>400</x:v>
      </x:c>
      <x:c r="H50" s="6" t="n">
        <x:f>F50+G50</x:f>
        <x:v>4402</x:v>
      </x:c>
      <x:c r="I50" s="6" t="n">
        <x:f>H50-E50</x:f>
        <x:v>4345</x:v>
      </x:c>
      <x:c r="J50" s="6" t="n">
        <x:f>IFERROR(I50/C50,0)</x:f>
        <x:v>2172.5</x:v>
      </x:c>
      <x:c r="K50" s="2"/>
      <x:c r="L50" s="2"/>
      <x:c r="M50" s="2"/>
    </x:row>
    <x:row r="51" ht="22" customHeight="1">
      <x:c r="A51" s="9" t="str">
        <x:v>TXN-3-0044</x:v>
      </x:c>
      <x:c r="B51" s="9" t="str">
        <x:v>일반</x:v>
      </x:c>
      <x:c r="C51" s="6" t="n">
        <x:v>3</x:v>
      </x:c>
      <x:c r="D51" s="6" t="n">
        <x:v>2024</x:v>
      </x:c>
      <x:c r="E51" s="6" t="n">
        <x:v>76</x:v>
      </x:c>
      <x:c r="F51" s="6" t="n">
        <x:f>C51*D51</x:f>
        <x:v>6072</x:v>
      </x:c>
      <x:c r="G51" s="6" t="n">
        <x:f>ROUND(F51*$M$4,0)</x:f>
        <x:v>607</x:v>
      </x:c>
      <x:c r="H51" s="6" t="n">
        <x:f>F51+G51</x:f>
        <x:v>6679</x:v>
      </x:c>
      <x:c r="I51" s="6" t="n">
        <x:f>H51-E51</x:f>
        <x:v>6603</x:v>
      </x:c>
      <x:c r="J51" s="6" t="n">
        <x:f>IFERROR(I51/C51,0)</x:f>
        <x:v>2201</x:v>
      </x:c>
      <x:c r="K51" s="2"/>
      <x:c r="L51" s="2"/>
      <x:c r="M51" s="2"/>
    </x:row>
    <x:row r="52" ht="22" customHeight="1">
      <x:c r="A52" s="9" t="str">
        <x:v>TXN-3-0045</x:v>
      </x:c>
      <x:c r="B52" s="9" t="str">
        <x:v>일반</x:v>
      </x:c>
      <x:c r="C52" s="6" t="n">
        <x:v>4</x:v>
      </x:c>
      <x:c r="D52" s="6" t="n">
        <x:v>2047</x:v>
      </x:c>
      <x:c r="E52" s="6" t="n">
        <x:v>0</x:v>
      </x:c>
      <x:c r="F52" s="6" t="n">
        <x:f>C52*D52</x:f>
        <x:v>8188</x:v>
      </x:c>
      <x:c r="G52" s="6" t="n">
        <x:f>ROUND(F52*$M$4,0)</x:f>
        <x:v>819</x:v>
      </x:c>
      <x:c r="H52" s="6" t="n">
        <x:f>F52+G52</x:f>
        <x:v>9007</x:v>
      </x:c>
      <x:c r="I52" s="6" t="n">
        <x:f>H52-E52</x:f>
        <x:v>9007</x:v>
      </x:c>
      <x:c r="J52" s="6" t="n">
        <x:f>IFERROR(I52/C52,0)</x:f>
        <x:v>2251.75</x:v>
      </x:c>
      <x:c r="K52" s="2"/>
      <x:c r="L52" s="2"/>
      <x:c r="M52" s="2"/>
    </x:row>
    <x:row r="53" ht="22" customHeight="1">
      <x:c r="A53" s="9" t="str">
        <x:v>TXN-3-0046</x:v>
      </x:c>
      <x:c r="B53" s="9" t="str">
        <x:v>일반</x:v>
      </x:c>
      <x:c r="C53" s="6" t="n">
        <x:v>5</x:v>
      </x:c>
      <x:c r="D53" s="6" t="n">
        <x:v>2070</x:v>
      </x:c>
      <x:c r="E53" s="6" t="n">
        <x:v>19</x:v>
      </x:c>
      <x:c r="F53" s="6" t="n">
        <x:f>C53*D53</x:f>
        <x:v>10350</x:v>
      </x:c>
      <x:c r="G53" s="6" t="n">
        <x:f>ROUND(F53*$M$4,0)</x:f>
        <x:v>1035</x:v>
      </x:c>
      <x:c r="H53" s="6" t="n">
        <x:f>F53+G53</x:f>
        <x:v>11385</x:v>
      </x:c>
      <x:c r="I53" s="6" t="n">
        <x:f>H53-E53</x:f>
        <x:v>11366</x:v>
      </x:c>
      <x:c r="J53" s="6" t="n">
        <x:f>IFERROR(I53/C53,0)</x:f>
        <x:v>2273.2</x:v>
      </x:c>
      <x:c r="K53" s="2"/>
      <x:c r="L53" s="2"/>
      <x:c r="M53" s="2"/>
    </x:row>
    <x:row r="54" ht="22" customHeight="1">
      <x:c r="A54" s="9" t="str">
        <x:v>TXN-3-0047</x:v>
      </x:c>
      <x:c r="B54" s="9" t="str">
        <x:v>일반</x:v>
      </x:c>
      <x:c r="C54" s="6" t="n">
        <x:v>6</x:v>
      </x:c>
      <x:c r="D54" s="6" t="n">
        <x:v>2093</x:v>
      </x:c>
      <x:c r="E54" s="6" t="n">
        <x:v>38</x:v>
      </x:c>
      <x:c r="F54" s="6" t="n">
        <x:f>C54*D54</x:f>
        <x:v>12558</x:v>
      </x:c>
      <x:c r="G54" s="6" t="n">
        <x:f>ROUND(F54*$M$4,0)</x:f>
        <x:v>1256</x:v>
      </x:c>
      <x:c r="H54" s="6" t="n">
        <x:f>F54+G54</x:f>
        <x:v>13814</x:v>
      </x:c>
      <x:c r="I54" s="6" t="n">
        <x:f>H54-E54</x:f>
        <x:v>13776</x:v>
      </x:c>
      <x:c r="J54" s="6" t="n">
        <x:f>IFERROR(I54/C54,0)</x:f>
        <x:v>2296</x:v>
      </x:c>
      <x:c r="K54" s="2"/>
      <x:c r="L54" s="2"/>
      <x:c r="M54" s="2"/>
    </x:row>
    <x:row r="55" ht="22" customHeight="1">
      <x:c r="A55" s="9" t="str">
        <x:v>TXN-3-0048</x:v>
      </x:c>
      <x:c r="B55" s="9" t="str">
        <x:v>일반</x:v>
      </x:c>
      <x:c r="C55" s="6" t="n">
        <x:v>7</x:v>
      </x:c>
      <x:c r="D55" s="6" t="n">
        <x:v>2116</x:v>
      </x:c>
      <x:c r="E55" s="6" t="n">
        <x:v>57</x:v>
      </x:c>
      <x:c r="F55" s="6" t="n">
        <x:f>C55*D55</x:f>
        <x:v>14812</x:v>
      </x:c>
      <x:c r="G55" s="6" t="n">
        <x:f>ROUND(F55*$M$4,0)</x:f>
        <x:v>1481</x:v>
      </x:c>
      <x:c r="H55" s="6" t="n">
        <x:f>F55+G55</x:f>
        <x:v>16293</x:v>
      </x:c>
      <x:c r="I55" s="6" t="n">
        <x:f>H55-E55</x:f>
        <x:v>16236</x:v>
      </x:c>
      <x:c r="J55" s="6" t="n">
        <x:f>IFERROR(I55/C55,0)</x:f>
        <x:v>2319.4285714285716</x:v>
      </x:c>
      <x:c r="K55" s="2"/>
      <x:c r="L55" s="2"/>
      <x:c r="M55" s="2"/>
    </x:row>
    <x:row r="56" ht="22" customHeight="1">
      <x:c r="A56" s="9" t="str">
        <x:v>TXN-3-0049</x:v>
      </x:c>
      <x:c r="B56" s="9" t="str">
        <x:v>일반</x:v>
      </x:c>
      <x:c r="C56" s="6" t="n">
        <x:v>1</x:v>
      </x:c>
      <x:c r="D56" s="6" t="n">
        <x:v>2139</x:v>
      </x:c>
      <x:c r="E56" s="6" t="n">
        <x:v>76</x:v>
      </x:c>
      <x:c r="F56" s="6" t="n">
        <x:f>C56*D56</x:f>
        <x:v>2139</x:v>
      </x:c>
      <x:c r="G56" s="6" t="n">
        <x:f>ROUND(F56*$M$4,0)</x:f>
        <x:v>214</x:v>
      </x:c>
      <x:c r="H56" s="6" t="n">
        <x:f>F56+G56</x:f>
        <x:v>2353</x:v>
      </x:c>
      <x:c r="I56" s="6" t="n">
        <x:f>H56-E56</x:f>
        <x:v>2277</x:v>
      </x:c>
      <x:c r="J56" s="6" t="n">
        <x:f>IFERROR(I56/C56,0)</x:f>
        <x:v>2277</x:v>
      </x:c>
      <x:c r="K56" s="2"/>
      <x:c r="L56" s="2"/>
      <x:c r="M56" s="2"/>
    </x:row>
    <x:row r="57" ht="22" customHeight="1">
      <x:c r="A57" s="9" t="str">
        <x:v>TXN-3-0050</x:v>
      </x:c>
      <x:c r="B57" s="9" t="str">
        <x:v>일반</x:v>
      </x:c>
      <x:c r="C57" s="6" t="n">
        <x:v>2</x:v>
      </x:c>
      <x:c r="D57" s="6" t="n">
        <x:v>2162</x:v>
      </x:c>
      <x:c r="E57" s="6" t="n">
        <x:v>0</x:v>
      </x:c>
      <x:c r="F57" s="6" t="n">
        <x:f>C57*D57</x:f>
        <x:v>4324</x:v>
      </x:c>
      <x:c r="G57" s="6" t="n">
        <x:f>ROUND(F57*$M$4,0)</x:f>
        <x:v>432</x:v>
      </x:c>
      <x:c r="H57" s="6" t="n">
        <x:f>F57+G57</x:f>
        <x:v>4756</x:v>
      </x:c>
      <x:c r="I57" s="6" t="n">
        <x:f>H57-E57</x:f>
        <x:v>4756</x:v>
      </x:c>
      <x:c r="J57" s="6" t="n">
        <x:f>IFERROR(I57/C57,0)</x:f>
        <x:v>2378</x:v>
      </x:c>
      <x:c r="K57" s="2"/>
      <x:c r="L57" s="2"/>
      <x:c r="M57" s="2"/>
    </x:row>
    <x:row r="58" ht="22" customHeight="1">
      <x:c r="A58" s="9" t="str">
        <x:v>TXN-3-0051</x:v>
      </x:c>
      <x:c r="B58" s="9" t="str">
        <x:v>일반</x:v>
      </x:c>
      <x:c r="C58" s="6" t="n">
        <x:v>3</x:v>
      </x:c>
      <x:c r="D58" s="6" t="n">
        <x:v>2185</x:v>
      </x:c>
      <x:c r="E58" s="6" t="n">
        <x:v>19</x:v>
      </x:c>
      <x:c r="F58" s="6" t="n">
        <x:f>C58*D58</x:f>
        <x:v>6555</x:v>
      </x:c>
      <x:c r="G58" s="6" t="n">
        <x:f>ROUND(F58*$M$4,0)</x:f>
        <x:v>656</x:v>
      </x:c>
      <x:c r="H58" s="6" t="n">
        <x:f>F58+G58</x:f>
        <x:v>7211</x:v>
      </x:c>
      <x:c r="I58" s="6" t="n">
        <x:f>H58-E58</x:f>
        <x:v>7192</x:v>
      </x:c>
      <x:c r="J58" s="6" t="n">
        <x:f>IFERROR(I58/C58,0)</x:f>
        <x:v>2397.3333333333335</x:v>
      </x:c>
      <x:c r="K58" s="2"/>
      <x:c r="L58" s="2"/>
      <x:c r="M58" s="2"/>
    </x:row>
    <x:row r="59" ht="22" customHeight="1">
      <x:c r="A59" s="9" t="str">
        <x:v>TXN-3-0052</x:v>
      </x:c>
      <x:c r="B59" s="9" t="str">
        <x:v>일반</x:v>
      </x:c>
      <x:c r="C59" s="6" t="n">
        <x:v>4</x:v>
      </x:c>
      <x:c r="D59" s="6" t="n">
        <x:v>2208</x:v>
      </x:c>
      <x:c r="E59" s="6" t="n">
        <x:v>38</x:v>
      </x:c>
      <x:c r="F59" s="6" t="n">
        <x:f>C59*D59</x:f>
        <x:v>8832</x:v>
      </x:c>
      <x:c r="G59" s="6" t="n">
        <x:f>ROUND(F59*$M$4,0)</x:f>
        <x:v>883</x:v>
      </x:c>
      <x:c r="H59" s="6" t="n">
        <x:f>F59+G59</x:f>
        <x:v>9715</x:v>
      </x:c>
      <x:c r="I59" s="6" t="n">
        <x:f>H59-E59</x:f>
        <x:v>9677</x:v>
      </x:c>
      <x:c r="J59" s="6" t="n">
        <x:f>IFERROR(I59/C59,0)</x:f>
        <x:v>2419.25</x:v>
      </x:c>
      <x:c r="K59" s="2"/>
      <x:c r="L59" s="2"/>
      <x:c r="M59" s="2"/>
    </x:row>
    <x:row r="60" ht="22" customHeight="1">
      <x:c r="A60" s="9" t="str">
        <x:v>TXN-3-0053</x:v>
      </x:c>
      <x:c r="B60" s="9" t="str">
        <x:v>일반</x:v>
      </x:c>
      <x:c r="C60" s="6" t="n">
        <x:v>5</x:v>
      </x:c>
      <x:c r="D60" s="6" t="n">
        <x:v>2231</x:v>
      </x:c>
      <x:c r="E60" s="6" t="n">
        <x:v>57</x:v>
      </x:c>
      <x:c r="F60" s="6" t="n">
        <x:f>C60*D60</x:f>
        <x:v>11155</x:v>
      </x:c>
      <x:c r="G60" s="6" t="n">
        <x:f>ROUND(F60*$M$4,0)</x:f>
        <x:v>1116</x:v>
      </x:c>
      <x:c r="H60" s="6" t="n">
        <x:f>F60+G60</x:f>
        <x:v>12271</x:v>
      </x:c>
      <x:c r="I60" s="6" t="n">
        <x:f>H60-E60</x:f>
        <x:v>12214</x:v>
      </x:c>
      <x:c r="J60" s="6" t="n">
        <x:f>IFERROR(I60/C60,0)</x:f>
        <x:v>2442.8</x:v>
      </x:c>
      <x:c r="K60" s="2"/>
      <x:c r="L60" s="2"/>
      <x:c r="M60" s="2"/>
    </x:row>
    <x:row r="61" ht="22" customHeight="1">
      <x:c r="A61" s="9" t="str">
        <x:v>TXN-3-0054</x:v>
      </x:c>
      <x:c r="B61" s="9" t="str">
        <x:v>일반</x:v>
      </x:c>
      <x:c r="C61" s="6" t="n">
        <x:v>6</x:v>
      </x:c>
      <x:c r="D61" s="6" t="n">
        <x:v>2254</x:v>
      </x:c>
      <x:c r="E61" s="6" t="n">
        <x:v>76</x:v>
      </x:c>
      <x:c r="F61" s="6" t="n">
        <x:f>C61*D61</x:f>
        <x:v>13524</x:v>
      </x:c>
      <x:c r="G61" s="6" t="n">
        <x:f>ROUND(F61*$M$4,0)</x:f>
        <x:v>1352</x:v>
      </x:c>
      <x:c r="H61" s="6" t="n">
        <x:f>F61+G61</x:f>
        <x:v>14876</x:v>
      </x:c>
      <x:c r="I61" s="6" t="n">
        <x:f>H61-E61</x:f>
        <x:v>14800</x:v>
      </x:c>
      <x:c r="J61" s="6" t="n">
        <x:f>IFERROR(I61/C61,0)</x:f>
        <x:v>2466.6666666666665</x:v>
      </x:c>
      <x:c r="K61" s="2"/>
      <x:c r="L61" s="2"/>
      <x:c r="M61" s="2"/>
    </x:row>
    <x:row r="62" ht="22" customHeight="1">
      <x:c r="A62" s="9" t="str">
        <x:v>TXN-3-0055</x:v>
      </x:c>
      <x:c r="B62" s="9" t="str">
        <x:v>일반</x:v>
      </x:c>
      <x:c r="C62" s="6" t="n">
        <x:v>7</x:v>
      </x:c>
      <x:c r="D62" s="6" t="n">
        <x:v>2277</x:v>
      </x:c>
      <x:c r="E62" s="6" t="n">
        <x:v>0</x:v>
      </x:c>
      <x:c r="F62" s="6" t="n">
        <x:f>C62*D62</x:f>
        <x:v>15939</x:v>
      </x:c>
      <x:c r="G62" s="6" t="n">
        <x:f>ROUND(F62*$M$4,0)</x:f>
        <x:v>1594</x:v>
      </x:c>
      <x:c r="H62" s="6" t="n">
        <x:f>F62+G62</x:f>
        <x:v>17533</x:v>
      </x:c>
      <x:c r="I62" s="6" t="n">
        <x:f>H62-E62</x:f>
        <x:v>17533</x:v>
      </x:c>
      <x:c r="J62" s="6" t="n">
        <x:f>IFERROR(I62/C62,0)</x:f>
        <x:v>2504.714285714286</x:v>
      </x:c>
      <x:c r="K62" s="2"/>
      <x:c r="L62" s="2"/>
      <x:c r="M62" s="2"/>
    </x:row>
    <x:row r="63" ht="22" customHeight="1">
      <x:c r="A63" s="9" t="str">
        <x:v>TXN-3-0056</x:v>
      </x:c>
      <x:c r="B63" s="9" t="str">
        <x:v>일반</x:v>
      </x:c>
      <x:c r="C63" s="6" t="n">
        <x:v>1</x:v>
      </x:c>
      <x:c r="D63" s="6" t="n">
        <x:v>2300</x:v>
      </x:c>
      <x:c r="E63" s="6" t="n">
        <x:v>19</x:v>
      </x:c>
      <x:c r="F63" s="6" t="n">
        <x:f>C63*D63</x:f>
        <x:v>2300</x:v>
      </x:c>
      <x:c r="G63" s="6" t="n">
        <x:f>ROUND(F63*$M$4,0)</x:f>
        <x:v>230</x:v>
      </x:c>
      <x:c r="H63" s="6" t="n">
        <x:f>F63+G63</x:f>
        <x:v>2530</x:v>
      </x:c>
      <x:c r="I63" s="6" t="n">
        <x:f>H63-E63</x:f>
        <x:v>2511</x:v>
      </x:c>
      <x:c r="J63" s="6" t="n">
        <x:f>IFERROR(I63/C63,0)</x:f>
        <x:v>2511</x:v>
      </x:c>
      <x:c r="K63" s="2"/>
      <x:c r="L63" s="2"/>
      <x:c r="M63" s="2"/>
    </x:row>
    <x:row r="64" ht="22" customHeight="1">
      <x:c r="A64" s="9" t="str">
        <x:v>TXN-3-0057</x:v>
      </x:c>
      <x:c r="B64" s="9" t="str">
        <x:v>일반</x:v>
      </x:c>
      <x:c r="C64" s="6" t="n">
        <x:v>2</x:v>
      </x:c>
      <x:c r="D64" s="6" t="n">
        <x:v>2323</x:v>
      </x:c>
      <x:c r="E64" s="6" t="n">
        <x:v>38</x:v>
      </x:c>
      <x:c r="F64" s="6" t="n">
        <x:f>C64*D64</x:f>
        <x:v>4646</x:v>
      </x:c>
      <x:c r="G64" s="6" t="n">
        <x:f>ROUND(F64*$M$4,0)</x:f>
        <x:v>465</x:v>
      </x:c>
      <x:c r="H64" s="6" t="n">
        <x:f>F64+G64</x:f>
        <x:v>5111</x:v>
      </x:c>
      <x:c r="I64" s="6" t="n">
        <x:f>H64-E64</x:f>
        <x:v>5073</x:v>
      </x:c>
      <x:c r="J64" s="6" t="n">
        <x:f>IFERROR(I64/C64,0)</x:f>
        <x:v>2536.5</x:v>
      </x:c>
      <x:c r="K64" s="2"/>
      <x:c r="L64" s="2"/>
      <x:c r="M64" s="2"/>
    </x:row>
    <x:row r="65" ht="22" customHeight="1">
      <x:c r="A65" s="9" t="str">
        <x:v>TXN-3-0058</x:v>
      </x:c>
      <x:c r="B65" s="9" t="str">
        <x:v>일반</x:v>
      </x:c>
      <x:c r="C65" s="6" t="n">
        <x:v>3</x:v>
      </x:c>
      <x:c r="D65" s="6" t="n">
        <x:v>2346</x:v>
      </x:c>
      <x:c r="E65" s="6" t="n">
        <x:v>57</x:v>
      </x:c>
      <x:c r="F65" s="6" t="n">
        <x:f>C65*D65</x:f>
        <x:v>7038</x:v>
      </x:c>
      <x:c r="G65" s="6" t="n">
        <x:f>ROUND(F65*$M$4,0)</x:f>
        <x:v>704</x:v>
      </x:c>
      <x:c r="H65" s="6" t="n">
        <x:f>F65+G65</x:f>
        <x:v>7742</x:v>
      </x:c>
      <x:c r="I65" s="6" t="n">
        <x:f>H65-E65</x:f>
        <x:v>7685</x:v>
      </x:c>
      <x:c r="J65" s="6" t="n">
        <x:f>IFERROR(I65/C65,0)</x:f>
        <x:v>2561.6666666666665</x:v>
      </x:c>
      <x:c r="K65" s="2"/>
      <x:c r="L65" s="2"/>
      <x:c r="M65" s="2"/>
    </x:row>
    <x:row r="66" ht="22" customHeight="1">
      <x:c r="A66" s="9" t="str">
        <x:v>TXN-3-0059</x:v>
      </x:c>
      <x:c r="B66" s="9" t="str">
        <x:v>일반</x:v>
      </x:c>
      <x:c r="C66" s="6" t="n">
        <x:v>4</x:v>
      </x:c>
      <x:c r="D66" s="6" t="n">
        <x:v>2369</x:v>
      </x:c>
      <x:c r="E66" s="6" t="n">
        <x:v>76</x:v>
      </x:c>
      <x:c r="F66" s="6" t="n">
        <x:f>C66*D66</x:f>
        <x:v>9476</x:v>
      </x:c>
      <x:c r="G66" s="6" t="n">
        <x:f>ROUND(F66*$M$4,0)</x:f>
        <x:v>948</x:v>
      </x:c>
      <x:c r="H66" s="6" t="n">
        <x:f>F66+G66</x:f>
        <x:v>10424</x:v>
      </x:c>
      <x:c r="I66" s="6" t="n">
        <x:f>H66-E66</x:f>
        <x:v>10348</x:v>
      </x:c>
      <x:c r="J66" s="6" t="n">
        <x:f>IFERROR(I66/C66,0)</x:f>
        <x:v>2587</x:v>
      </x:c>
      <x:c r="K66" s="2"/>
      <x:c r="L66" s="2"/>
      <x:c r="M66" s="2"/>
    </x:row>
    <x:row r="67" ht="22" customHeight="1">
      <x:c r="A67" s="9" t="str">
        <x:v>TXN-3-0060</x:v>
      </x:c>
      <x:c r="B67" s="9" t="str">
        <x:v>일반</x:v>
      </x:c>
      <x:c r="C67" s="6" t="n">
        <x:v>5</x:v>
      </x:c>
      <x:c r="D67" s="6" t="n">
        <x:v>2392</x:v>
      </x:c>
      <x:c r="E67" s="6" t="n">
        <x:v>0</x:v>
      </x:c>
      <x:c r="F67" s="6" t="n">
        <x:f>C67*D67</x:f>
        <x:v>11960</x:v>
      </x:c>
      <x:c r="G67" s="6" t="n">
        <x:f>ROUND(F67*$M$4,0)</x:f>
        <x:v>1196</x:v>
      </x:c>
      <x:c r="H67" s="6" t="n">
        <x:f>F67+G67</x:f>
        <x:v>13156</x:v>
      </x:c>
      <x:c r="I67" s="6" t="n">
        <x:f>H67-E67</x:f>
        <x:v>13156</x:v>
      </x:c>
      <x:c r="J67" s="6" t="n">
        <x:f>IFERROR(I67/C67,0)</x:f>
        <x:v>2631.2</x:v>
      </x:c>
      <x:c r="K67" s="2"/>
      <x:c r="L67" s="2"/>
      <x:c r="M67" s="2"/>
    </x:row>
    <x:row r="68" ht="22" customHeight="1">
      <x:c r="A68" s="9" t="str">
        <x:v>TXN-3-0061</x:v>
      </x:c>
      <x:c r="B68" s="9" t="str">
        <x:v>일반</x:v>
      </x:c>
      <x:c r="C68" s="6" t="n">
        <x:v>6</x:v>
      </x:c>
      <x:c r="D68" s="6" t="n">
        <x:v>2415</x:v>
      </x:c>
      <x:c r="E68" s="6" t="n">
        <x:v>19</x:v>
      </x:c>
      <x:c r="F68" s="6" t="n">
        <x:f>C68*D68</x:f>
        <x:v>14490</x:v>
      </x:c>
      <x:c r="G68" s="6" t="n">
        <x:f>ROUND(F68*$M$4,0)</x:f>
        <x:v>1449</x:v>
      </x:c>
      <x:c r="H68" s="6" t="n">
        <x:f>F68+G68</x:f>
        <x:v>15939</x:v>
      </x:c>
      <x:c r="I68" s="6" t="n">
        <x:f>H68-E68</x:f>
        <x:v>15920</x:v>
      </x:c>
      <x:c r="J68" s="6" t="n">
        <x:f>IFERROR(I68/C68,0)</x:f>
        <x:v>2653.3333333333335</x:v>
      </x:c>
      <x:c r="K68" s="2"/>
      <x:c r="L68" s="2"/>
      <x:c r="M68" s="2"/>
    </x:row>
    <x:row r="69" ht="22" customHeight="1">
      <x:c r="A69" s="9" t="str">
        <x:v>TXN-3-0062</x:v>
      </x:c>
      <x:c r="B69" s="9" t="str">
        <x:v>일반</x:v>
      </x:c>
      <x:c r="C69" s="6" t="n">
        <x:v>7</x:v>
      </x:c>
      <x:c r="D69" s="6" t="n">
        <x:v>2438</x:v>
      </x:c>
      <x:c r="E69" s="6" t="n">
        <x:v>38</x:v>
      </x:c>
      <x:c r="F69" s="6" t="n">
        <x:f>C69*D69</x:f>
        <x:v>17066</x:v>
      </x:c>
      <x:c r="G69" s="6" t="n">
        <x:f>ROUND(F69*$M$4,0)</x:f>
        <x:v>1707</x:v>
      </x:c>
      <x:c r="H69" s="6" t="n">
        <x:f>F69+G69</x:f>
        <x:v>18773</x:v>
      </x:c>
      <x:c r="I69" s="6" t="n">
        <x:f>H69-E69</x:f>
        <x:v>18735</x:v>
      </x:c>
      <x:c r="J69" s="6" t="n">
        <x:f>IFERROR(I69/C69,0)</x:f>
        <x:v>2676.4285714285716</x:v>
      </x:c>
      <x:c r="K69" s="2"/>
      <x:c r="L69" s="2"/>
      <x:c r="M69" s="2"/>
    </x:row>
    <x:row r="70" ht="22" customHeight="1">
      <x:c r="A70" s="9" t="str">
        <x:v>TXN-3-0063</x:v>
      </x:c>
      <x:c r="B70" s="9" t="str">
        <x:v>일반</x:v>
      </x:c>
      <x:c r="C70" s="6" t="n">
        <x:v>1</x:v>
      </x:c>
      <x:c r="D70" s="6" t="n">
        <x:v>2461</x:v>
      </x:c>
      <x:c r="E70" s="6" t="n">
        <x:v>57</x:v>
      </x:c>
      <x:c r="F70" s="6" t="n">
        <x:f>C70*D70</x:f>
        <x:v>2461</x:v>
      </x:c>
      <x:c r="G70" s="6" t="n">
        <x:f>ROUND(F70*$M$4,0)</x:f>
        <x:v>246</x:v>
      </x:c>
      <x:c r="H70" s="6" t="n">
        <x:f>F70+G70</x:f>
        <x:v>2707</x:v>
      </x:c>
      <x:c r="I70" s="6" t="n">
        <x:f>H70-E70</x:f>
        <x:v>2650</x:v>
      </x:c>
      <x:c r="J70" s="6" t="n">
        <x:f>IFERROR(I70/C70,0)</x:f>
        <x:v>2650</x:v>
      </x:c>
      <x:c r="K70" s="2"/>
      <x:c r="L70" s="2"/>
      <x:c r="M70" s="2"/>
    </x:row>
    <x:row r="71" ht="22" customHeight="1">
      <x:c r="A71" s="9" t="str">
        <x:v>TXN-3-0064</x:v>
      </x:c>
      <x:c r="B71" s="9" t="str">
        <x:v>일반</x:v>
      </x:c>
      <x:c r="C71" s="6" t="n">
        <x:v>2</x:v>
      </x:c>
      <x:c r="D71" s="6" t="n">
        <x:v>2484</x:v>
      </x:c>
      <x:c r="E71" s="6" t="n">
        <x:v>76</x:v>
      </x:c>
      <x:c r="F71" s="6" t="n">
        <x:f>C71*D71</x:f>
        <x:v>4968</x:v>
      </x:c>
      <x:c r="G71" s="6" t="n">
        <x:f>ROUND(F71*$M$4,0)</x:f>
        <x:v>497</x:v>
      </x:c>
      <x:c r="H71" s="6" t="n">
        <x:f>F71+G71</x:f>
        <x:v>5465</x:v>
      </x:c>
      <x:c r="I71" s="6" t="n">
        <x:f>H71-E71</x:f>
        <x:v>5389</x:v>
      </x:c>
      <x:c r="J71" s="6" t="n">
        <x:f>IFERROR(I71/C71,0)</x:f>
        <x:v>2694.5</x:v>
      </x:c>
      <x:c r="K71" s="2"/>
      <x:c r="L71" s="2"/>
      <x:c r="M71" s="2"/>
    </x:row>
    <x:row r="72" ht="22" customHeight="1">
      <x:c r="A72" s="9" t="str">
        <x:v>TXN-3-0065</x:v>
      </x:c>
      <x:c r="B72" s="9" t="str">
        <x:v>일반</x:v>
      </x:c>
      <x:c r="C72" s="6" t="n">
        <x:v>3</x:v>
      </x:c>
      <x:c r="D72" s="6" t="n">
        <x:v>2507</x:v>
      </x:c>
      <x:c r="E72" s="6" t="n">
        <x:v>0</x:v>
      </x:c>
      <x:c r="F72" s="6" t="n">
        <x:f>C72*D72</x:f>
        <x:v>7521</x:v>
      </x:c>
      <x:c r="G72" s="6" t="n">
        <x:f>ROUND(F72*$M$4,0)</x:f>
        <x:v>752</x:v>
      </x:c>
      <x:c r="H72" s="6" t="n">
        <x:f>F72+G72</x:f>
        <x:v>8273</x:v>
      </x:c>
      <x:c r="I72" s="6" t="n">
        <x:f>H72-E72</x:f>
        <x:v>8273</x:v>
      </x:c>
      <x:c r="J72" s="6" t="n">
        <x:f>IFERROR(I72/C72,0)</x:f>
        <x:v>2757.6666666666665</x:v>
      </x:c>
      <x:c r="K72" s="2"/>
      <x:c r="L72" s="2"/>
      <x:c r="M72" s="2"/>
    </x:row>
    <x:row r="73" ht="22" customHeight="1">
      <x:c r="A73" s="9" t="str">
        <x:v>TXN-3-0066</x:v>
      </x:c>
      <x:c r="B73" s="9" t="str">
        <x:v>일반</x:v>
      </x:c>
      <x:c r="C73" s="6" t="n">
        <x:v>4</x:v>
      </x:c>
      <x:c r="D73" s="6" t="n">
        <x:v>2530</x:v>
      </x:c>
      <x:c r="E73" s="6" t="n">
        <x:v>19</x:v>
      </x:c>
      <x:c r="F73" s="6" t="n">
        <x:f>C73*D73</x:f>
        <x:v>10120</x:v>
      </x:c>
      <x:c r="G73" s="6" t="n">
        <x:f>ROUND(F73*$M$4,0)</x:f>
        <x:v>1012</x:v>
      </x:c>
      <x:c r="H73" s="6" t="n">
        <x:f>F73+G73</x:f>
        <x:v>11132</x:v>
      </x:c>
      <x:c r="I73" s="6" t="n">
        <x:f>H73-E73</x:f>
        <x:v>11113</x:v>
      </x:c>
      <x:c r="J73" s="6" t="n">
        <x:f>IFERROR(I73/C73,0)</x:f>
        <x:v>2778.25</x:v>
      </x:c>
      <x:c r="K73" s="2"/>
      <x:c r="L73" s="2"/>
      <x:c r="M73" s="2"/>
    </x:row>
    <x:row r="74" ht="22" customHeight="1">
      <x:c r="A74" s="9" t="str">
        <x:v>TXN-3-0067</x:v>
      </x:c>
      <x:c r="B74" s="9" t="str">
        <x:v>일반</x:v>
      </x:c>
      <x:c r="C74" s="6" t="n">
        <x:v>5</x:v>
      </x:c>
      <x:c r="D74" s="6" t="n">
        <x:v>2553</x:v>
      </x:c>
      <x:c r="E74" s="6" t="n">
        <x:v>38</x:v>
      </x:c>
      <x:c r="F74" s="6" t="n">
        <x:f>C74*D74</x:f>
        <x:v>12765</x:v>
      </x:c>
      <x:c r="G74" s="6" t="n">
        <x:f>ROUND(F74*$M$4,0)</x:f>
        <x:v>1277</x:v>
      </x:c>
      <x:c r="H74" s="6" t="n">
        <x:f>F74+G74</x:f>
        <x:v>14042</x:v>
      </x:c>
      <x:c r="I74" s="6" t="n">
        <x:f>H74-E74</x:f>
        <x:v>14004</x:v>
      </x:c>
      <x:c r="J74" s="6" t="n">
        <x:f>IFERROR(I74/C74,0)</x:f>
        <x:v>2800.8</x:v>
      </x:c>
      <x:c r="K74" s="2"/>
      <x:c r="L74" s="2"/>
      <x:c r="M74" s="2"/>
    </x:row>
    <x:row r="75" ht="22" customHeight="1">
      <x:c r="A75" s="9" t="str">
        <x:v>TXN-3-0068</x:v>
      </x:c>
      <x:c r="B75" s="9" t="str">
        <x:v>일반</x:v>
      </x:c>
      <x:c r="C75" s="6" t="n">
        <x:v>6</x:v>
      </x:c>
      <x:c r="D75" s="6" t="n">
        <x:v>2576</x:v>
      </x:c>
      <x:c r="E75" s="6" t="n">
        <x:v>57</x:v>
      </x:c>
      <x:c r="F75" s="6" t="n">
        <x:f>C75*D75</x:f>
        <x:v>15456</x:v>
      </x:c>
      <x:c r="G75" s="6" t="n">
        <x:f>ROUND(F75*$M$4,0)</x:f>
        <x:v>1546</x:v>
      </x:c>
      <x:c r="H75" s="6" t="n">
        <x:f>F75+G75</x:f>
        <x:v>17002</x:v>
      </x:c>
      <x:c r="I75" s="6" t="n">
        <x:f>H75-E75</x:f>
        <x:v>16945</x:v>
      </x:c>
      <x:c r="J75" s="6" t="n">
        <x:f>IFERROR(I75/C75,0)</x:f>
        <x:v>2824.1666666666665</x:v>
      </x:c>
      <x:c r="K75" s="2"/>
      <x:c r="L75" s="2"/>
      <x:c r="M75" s="2"/>
    </x:row>
    <x:row r="76" ht="22" customHeight="1">
      <x:c r="A76" s="9" t="str">
        <x:v>TXN-3-0069</x:v>
      </x:c>
      <x:c r="B76" s="9" t="str">
        <x:v>일반</x:v>
      </x:c>
      <x:c r="C76" s="6" t="n">
        <x:v>7</x:v>
      </x:c>
      <x:c r="D76" s="6" t="n">
        <x:v>2599</x:v>
      </x:c>
      <x:c r="E76" s="6" t="n">
        <x:v>76</x:v>
      </x:c>
      <x:c r="F76" s="6" t="n">
        <x:f>C76*D76</x:f>
        <x:v>18193</x:v>
      </x:c>
      <x:c r="G76" s="6" t="n">
        <x:f>ROUND(F76*$M$5,0)</x:f>
        <x:v>3639</x:v>
      </x:c>
      <x:c r="H76" s="6" t="n">
        <x:f>F76+G76</x:f>
        <x:v>21832</x:v>
      </x:c>
      <x:c r="I76" s="6" t="n">
        <x:f>H76-E76</x:f>
        <x:v>21756</x:v>
      </x:c>
      <x:c r="J76" s="6" t="n">
        <x:f>IFERROR(I76/C76,0)</x:f>
        <x:v>3108</x:v>
      </x:c>
      <x:c r="K76" s="2"/>
      <x:c r="L76" s="2"/>
      <x:c r="M76" s="2"/>
    </x:row>
    <x:row r="77" ht="22" customHeight="1">
      <x:c r="A77" s="9" t="str">
        <x:v>TXN-3-0070</x:v>
      </x:c>
      <x:c r="B77" s="9" t="str">
        <x:v>일반</x:v>
      </x:c>
      <x:c r="C77" s="6" t="n">
        <x:v>1</x:v>
      </x:c>
      <x:c r="D77" s="6" t="n">
        <x:v>2622</x:v>
      </x:c>
      <x:c r="E77" s="6" t="n">
        <x:v>0</x:v>
      </x:c>
      <x:c r="F77" s="6" t="n">
        <x:f>C77*D77</x:f>
        <x:v>2622</x:v>
      </x:c>
      <x:c r="G77" s="6" t="n">
        <x:f>ROUND(F77*$M$4,0)</x:f>
        <x:v>262</x:v>
      </x:c>
      <x:c r="H77" s="6" t="n">
        <x:f>F77+G77</x:f>
        <x:v>2884</x:v>
      </x:c>
      <x:c r="I77" s="6" t="n">
        <x:f>H77-E77</x:f>
        <x:v>2884</x:v>
      </x:c>
      <x:c r="J77" s="6" t="n">
        <x:f>IFERROR(I77/C77,0)</x:f>
        <x:v>2884</x:v>
      </x:c>
      <x:c r="K77" s="2"/>
      <x:c r="L77" s="2"/>
      <x:c r="M77" s="2"/>
    </x:row>
    <x:row r="78" ht="22" customHeight="1">
      <x:c r="A78" s="9" t="str">
        <x:v>TXN-3-0071</x:v>
      </x:c>
      <x:c r="B78" s="9" t="str">
        <x:v>일반</x:v>
      </x:c>
      <x:c r="C78" s="6" t="n">
        <x:v>2</x:v>
      </x:c>
      <x:c r="D78" s="6" t="n">
        <x:v>2645</x:v>
      </x:c>
      <x:c r="E78" s="6" t="n">
        <x:v>19</x:v>
      </x:c>
      <x:c r="F78" s="6" t="n">
        <x:f>C78*D78</x:f>
        <x:v>5290</x:v>
      </x:c>
      <x:c r="G78" s="6" t="n">
        <x:f>ROUND(F78*$M$4,0)</x:f>
        <x:v>529</x:v>
      </x:c>
      <x:c r="H78" s="6" t="n">
        <x:f>F78+G78</x:f>
        <x:v>5819</x:v>
      </x:c>
      <x:c r="I78" s="6" t="n">
        <x:f>H78-E78</x:f>
        <x:v>5800</x:v>
      </x:c>
      <x:c r="J78" s="6" t="n">
        <x:f>IFERROR(I78/C78,0)</x:f>
        <x:v>2900</x:v>
      </x:c>
      <x:c r="K78" s="2"/>
      <x:c r="L78" s="2"/>
      <x:c r="M78" s="2"/>
    </x:row>
    <x:row r="79" ht="22" customHeight="1">
      <x:c r="A79" s="9" t="str">
        <x:v>TXN-3-0072</x:v>
      </x:c>
      <x:c r="B79" s="9" t="str">
        <x:v>일반</x:v>
      </x:c>
      <x:c r="C79" s="6" t="n">
        <x:v>3</x:v>
      </x:c>
      <x:c r="D79" s="6" t="n">
        <x:v>2668</x:v>
      </x:c>
      <x:c r="E79" s="6" t="n">
        <x:v>38</x:v>
      </x:c>
      <x:c r="F79" s="6" t="n">
        <x:f>C79*D79</x:f>
        <x:v>8004</x:v>
      </x:c>
      <x:c r="G79" s="6" t="n">
        <x:f>ROUND(F79*$M$4,0)</x:f>
        <x:v>800</x:v>
      </x:c>
      <x:c r="H79" s="6" t="n">
        <x:f>F79+G79</x:f>
        <x:v>8804</x:v>
      </x:c>
      <x:c r="I79" s="6" t="n">
        <x:f>H79-E79</x:f>
        <x:v>8766</x:v>
      </x:c>
      <x:c r="J79" s="6" t="n">
        <x:f>IFERROR(I79/C79,0)</x:f>
        <x:v>2922</x:v>
      </x:c>
      <x:c r="K79" s="2"/>
      <x:c r="L79" s="2"/>
      <x:c r="M79" s="2"/>
    </x:row>
    <x:row r="80" ht="22" customHeight="1">
      <x:c r="A80" s="9" t="str">
        <x:v>TXN-3-0073</x:v>
      </x:c>
      <x:c r="B80" s="9" t="str">
        <x:v>수동 조정</x:v>
      </x:c>
      <x:c r="C80" s="6" t="n">
        <x:v>4</x:v>
      </x:c>
      <x:c r="D80" s="6" t="n">
        <x:v>2691</x:v>
      </x:c>
      <x:c r="E80" s="6" t="n">
        <x:v>57</x:v>
      </x:c>
      <x:c r="F80" s="6" t="n">
        <x:f>C80*D80</x:f>
        <x:v>10764</x:v>
      </x:c>
      <x:c r="G80" s="6" t="n">
        <x:f>ROUND(F80*$M$4,0)</x:f>
        <x:v>1076</x:v>
      </x:c>
      <x:c r="H80" s="6" t="n">
        <x:f>F80+G80</x:f>
        <x:v>11840</x:v>
      </x:c>
      <x:c r="I80" s="6" t="n">
        <x:f>H80-E80-50</x:f>
        <x:v>11733</x:v>
      </x:c>
      <x:c r="J80" s="6" t="n">
        <x:f>IFERROR(I80/C80,0)</x:f>
        <x:v>2933.25</x:v>
      </x:c>
      <x:c r="K80" s="2"/>
      <x:c r="L80" s="2"/>
      <x:c r="M80" s="2"/>
    </x:row>
    <x:row r="81" ht="22" customHeight="1">
      <x:c r="A81" s="9" t="str">
        <x:v>TXN-3-0074</x:v>
      </x:c>
      <x:c r="B81" s="9" t="str">
        <x:v>일반</x:v>
      </x:c>
      <x:c r="C81" s="6" t="n">
        <x:v>5</x:v>
      </x:c>
      <x:c r="D81" s="6" t="n">
        <x:v>2714</x:v>
      </x:c>
      <x:c r="E81" s="6" t="n">
        <x:v>76</x:v>
      </x:c>
      <x:c r="F81" s="6" t="n">
        <x:f>C81*D81</x:f>
        <x:v>13570</x:v>
      </x:c>
      <x:c r="G81" s="6" t="n">
        <x:f>ROUND(F81*$M$4,0)</x:f>
        <x:v>1357</x:v>
      </x:c>
      <x:c r="H81" s="6" t="n">
        <x:f>F81+G81</x:f>
        <x:v>14927</x:v>
      </x:c>
      <x:c r="I81" s="6" t="n">
        <x:f>H81-E81</x:f>
        <x:v>14851</x:v>
      </x:c>
      <x:c r="J81" s="6" t="n">
        <x:f>IFERROR(I81/C81,0)</x:f>
        <x:v>2970.2</x:v>
      </x:c>
      <x:c r="K81" s="2"/>
      <x:c r="L81" s="2"/>
      <x:c r="M81" s="2"/>
    </x:row>
    <x:row r="82" ht="22" customHeight="1">
      <x:c r="A82" s="9" t="str">
        <x:v>TXN-3-0075</x:v>
      </x:c>
      <x:c r="B82" s="9" t="str">
        <x:v>일반</x:v>
      </x:c>
      <x:c r="C82" s="6" t="n">
        <x:v>6</x:v>
      </x:c>
      <x:c r="D82" s="6" t="n">
        <x:v>2737</x:v>
      </x:c>
      <x:c r="E82" s="6" t="n">
        <x:v>0</x:v>
      </x:c>
      <x:c r="F82" s="6" t="n">
        <x:f>C82*D82</x:f>
        <x:v>16422</x:v>
      </x:c>
      <x:c r="G82" s="6" t="n">
        <x:f>ROUND(F82*$M$4,0)</x:f>
        <x:v>1642</x:v>
      </x:c>
      <x:c r="H82" s="6" t="n">
        <x:f>F82+G82</x:f>
        <x:v>18064</x:v>
      </x:c>
      <x:c r="I82" s="6" t="n">
        <x:f>H82-E82</x:f>
        <x:v>18064</x:v>
      </x:c>
      <x:c r="J82" s="6" t="n">
        <x:f>IFERROR(I82/C82,0)</x:f>
        <x:v>3010.6666666666665</x:v>
      </x:c>
      <x:c r="K82" s="2"/>
      <x:c r="L82" s="2"/>
      <x:c r="M82" s="2"/>
    </x:row>
    <x:row r="83" ht="22" customHeight="1">
      <x:c r="A83" s="9" t="str">
        <x:v>TXN-3-0076</x:v>
      </x:c>
      <x:c r="B83" s="9" t="str">
        <x:v>일반</x:v>
      </x:c>
      <x:c r="C83" s="6" t="n">
        <x:v>7</x:v>
      </x:c>
      <x:c r="D83" s="6" t="n">
        <x:v>2760</x:v>
      </x:c>
      <x:c r="E83" s="6" t="n">
        <x:v>19</x:v>
      </x:c>
      <x:c r="F83" s="6" t="n">
        <x:f>C83*D83</x:f>
        <x:v>19320</x:v>
      </x:c>
      <x:c r="G83" s="6" t="n">
        <x:f>ROUND(F83*$M$4,0)</x:f>
        <x:v>1932</x:v>
      </x:c>
      <x:c r="H83" s="6" t="n">
        <x:f>F83+G83</x:f>
        <x:v>21252</x:v>
      </x:c>
      <x:c r="I83" s="6" t="n">
        <x:f>H83-E83</x:f>
        <x:v>21233</x:v>
      </x:c>
      <x:c r="J83" s="6" t="n">
        <x:f>IFERROR(I83/C83,0)</x:f>
        <x:v>3033.285714285714</x:v>
      </x:c>
      <x:c r="K83" s="2"/>
      <x:c r="L83" s="2"/>
      <x:c r="M83" s="2"/>
    </x:row>
    <x:row r="84" ht="22" customHeight="1">
      <x:c r="A84" s="9" t="str">
        <x:v>TXN-3-0077</x:v>
      </x:c>
      <x:c r="B84" s="9" t="str">
        <x:v>일반</x:v>
      </x:c>
      <x:c r="C84" s="6" t="n">
        <x:v>1</x:v>
      </x:c>
      <x:c r="D84" s="6" t="n">
        <x:v>2783</x:v>
      </x:c>
      <x:c r="E84" s="6" t="n">
        <x:v>38</x:v>
      </x:c>
      <x:c r="F84" s="6" t="n">
        <x:f>C84*D84</x:f>
        <x:v>2783</x:v>
      </x:c>
      <x:c r="G84" s="6" t="n">
        <x:f>ROUND(F84*$M$4,0)</x:f>
        <x:v>278</x:v>
      </x:c>
      <x:c r="H84" s="6" t="n">
        <x:f>F84+G84</x:f>
        <x:v>3061</x:v>
      </x:c>
      <x:c r="I84" s="6" t="n">
        <x:f>H84-E84</x:f>
        <x:v>3023</x:v>
      </x:c>
      <x:c r="J84" s="6" t="n">
        <x:f>IFERROR(I84/C84,0)</x:f>
        <x:v>3023</x:v>
      </x:c>
      <x:c r="K84" s="2"/>
      <x:c r="L84" s="2"/>
      <x:c r="M84" s="2"/>
    </x:row>
    <x:row r="85" ht="22" customHeight="1">
      <x:c r="A85" s="9" t="str">
        <x:v>TXN-3-0078</x:v>
      </x:c>
      <x:c r="B85" s="9" t="str">
        <x:v>일반</x:v>
      </x:c>
      <x:c r="C85" s="6" t="n">
        <x:v>2</x:v>
      </x:c>
      <x:c r="D85" s="6" t="n">
        <x:v>2806</x:v>
      </x:c>
      <x:c r="E85" s="6" t="n">
        <x:v>57</x:v>
      </x:c>
      <x:c r="F85" s="6" t="n">
        <x:f>C85*D85</x:f>
        <x:v>5612</x:v>
      </x:c>
      <x:c r="G85" s="6" t="n">
        <x:f>ROUND(F85*$M$4,0)</x:f>
        <x:v>561</x:v>
      </x:c>
      <x:c r="H85" s="6" t="n">
        <x:f>F85+G85</x:f>
        <x:v>6173</x:v>
      </x:c>
      <x:c r="I85" s="6" t="n">
        <x:f>H85-E85</x:f>
        <x:v>6116</x:v>
      </x:c>
      <x:c r="J85" s="6" t="n">
        <x:f>IFERROR(I85/C85,0)</x:f>
        <x:v>3058</x:v>
      </x:c>
      <x:c r="K85" s="2"/>
      <x:c r="L85" s="2"/>
      <x:c r="M85" s="2"/>
    </x:row>
    <x:row r="86" ht="22" customHeight="1">
      <x:c r="A86" s="9" t="str">
        <x:v>TXN-3-0079</x:v>
      </x:c>
      <x:c r="B86" s="9" t="str">
        <x:v>일반</x:v>
      </x:c>
      <x:c r="C86" s="6" t="n">
        <x:v>3</x:v>
      </x:c>
      <x:c r="D86" s="6" t="n">
        <x:v>2829</x:v>
      </x:c>
      <x:c r="E86" s="6" t="n">
        <x:v>76</x:v>
      </x:c>
      <x:c r="F86" s="6" t="n">
        <x:f>C86*D86</x:f>
        <x:v>8487</x:v>
      </x:c>
      <x:c r="G86" s="6" t="n">
        <x:f>ROUND(F86*$M$4,0)</x:f>
        <x:v>849</x:v>
      </x:c>
      <x:c r="H86" s="6" t="n">
        <x:f>F86+G86</x:f>
        <x:v>9336</x:v>
      </x:c>
      <x:c r="I86" s="6" t="n">
        <x:f>H86-E86</x:f>
        <x:v>9260</x:v>
      </x:c>
      <x:c r="J86" s="6" t="n">
        <x:f>IFERROR(I86/C86,0)</x:f>
        <x:v>3086.6666666666665</x:v>
      </x:c>
      <x:c r="K86" s="2"/>
      <x:c r="L86" s="2"/>
      <x:c r="M86" s="2"/>
    </x:row>
    <x:row r="87" ht="22" customHeight="1">
      <x:c r="A87" s="9" t="str">
        <x:v>TXN-3-0080</x:v>
      </x:c>
      <x:c r="B87" s="9" t="str">
        <x:v>일반</x:v>
      </x:c>
      <x:c r="C87" s="6" t="n">
        <x:v>4</x:v>
      </x:c>
      <x:c r="D87" s="6" t="n">
        <x:v>2852</x:v>
      </x:c>
      <x:c r="E87" s="6" t="n">
        <x:v>0</x:v>
      </x:c>
      <x:c r="F87" s="6" t="n">
        <x:f>C87*D87</x:f>
        <x:v>11408</x:v>
      </x:c>
      <x:c r="G87" s="6" t="n">
        <x:f>ROUND(F87*$M$4,0)</x:f>
        <x:v>1141</x:v>
      </x:c>
      <x:c r="H87" s="6" t="n">
        <x:f>F87+G87</x:f>
        <x:v>12549</x:v>
      </x:c>
      <x:c r="I87" s="6" t="n">
        <x:f>H87-E87</x:f>
        <x:v>12549</x:v>
      </x:c>
      <x:c r="J87" s="6" t="n">
        <x:f>IFERROR(I87/C87,0)</x:f>
        <x:v>3137.25</x:v>
      </x:c>
      <x:c r="K87" s="2"/>
      <x:c r="L87" s="2"/>
      <x:c r="M87" s="2"/>
    </x:row>
    <x:row r="88" ht="22" customHeight="1">
      <x:c r="A88" s="9" t="str">
        <x:v>TXN-3-0081</x:v>
      </x:c>
      <x:c r="B88" s="9" t="str">
        <x:v>일반</x:v>
      </x:c>
      <x:c r="C88" s="6" t="n">
        <x:v>5</x:v>
      </x:c>
      <x:c r="D88" s="6" t="n">
        <x:v>2875</x:v>
      </x:c>
      <x:c r="E88" s="6" t="n">
        <x:v>19</x:v>
      </x:c>
      <x:c r="F88" s="6" t="n">
        <x:f>C88*D88</x:f>
        <x:v>14375</x:v>
      </x:c>
      <x:c r="G88" s="6" t="n">
        <x:f>ROUND(F88*$M$4,0)</x:f>
        <x:v>1438</x:v>
      </x:c>
      <x:c r="H88" s="6" t="n">
        <x:f>F88+G88</x:f>
        <x:v>15813</x:v>
      </x:c>
      <x:c r="I88" s="6" t="n">
        <x:f>H88-E88</x:f>
        <x:v>15794</x:v>
      </x:c>
      <x:c r="J88" s="6" t="n">
        <x:f>IFERROR(I88/C88,0)</x:f>
        <x:v>3158.8</x:v>
      </x:c>
      <x:c r="K88" s="2"/>
      <x:c r="L88" s="2"/>
      <x:c r="M88" s="2"/>
    </x:row>
    <x:row r="89" ht="22" customHeight="1">
      <x:c r="A89" s="9" t="str">
        <x:v>TXN-3-0082</x:v>
      </x:c>
      <x:c r="B89" s="9" t="str">
        <x:v>일반</x:v>
      </x:c>
      <x:c r="C89" s="6" t="n">
        <x:v>6</x:v>
      </x:c>
      <x:c r="D89" s="6" t="n">
        <x:v>2898</x:v>
      </x:c>
      <x:c r="E89" s="6" t="n">
        <x:v>38</x:v>
      </x:c>
      <x:c r="F89" s="6" t="n">
        <x:f>C89*D89</x:f>
        <x:v>17388</x:v>
      </x:c>
      <x:c r="G89" s="6" t="n">
        <x:f>ROUND(F89*$M$4,0)</x:f>
        <x:v>1739</x:v>
      </x:c>
      <x:c r="H89" s="6" t="n">
        <x:f>F89+G89</x:f>
        <x:v>19127</x:v>
      </x:c>
      <x:c r="I89" s="6" t="n">
        <x:f>H89-E89</x:f>
        <x:v>19089</x:v>
      </x:c>
      <x:c r="J89" s="6" t="n">
        <x:f>IFERROR(I89/C89,0)</x:f>
        <x:v>3181.5</x:v>
      </x:c>
      <x:c r="K89" s="2"/>
      <x:c r="L89" s="2"/>
      <x:c r="M89" s="2"/>
    </x:row>
    <x:row r="90" ht="22" customHeight="1">
      <x:c r="A90" s="9" t="str">
        <x:v>TXN-3-0083</x:v>
      </x:c>
      <x:c r="B90" s="9" t="str">
        <x:v>일반</x:v>
      </x:c>
      <x:c r="C90" s="6" t="n">
        <x:v>7</x:v>
      </x:c>
      <x:c r="D90" s="6" t="n">
        <x:v>2921</x:v>
      </x:c>
      <x:c r="E90" s="6" t="n">
        <x:v>57</x:v>
      </x:c>
      <x:c r="F90" s="6" t="n">
        <x:f>C90*D90</x:f>
        <x:v>20447</x:v>
      </x:c>
      <x:c r="G90" s="6" t="n">
        <x:f>ROUND(F90*$M$4,0)</x:f>
        <x:v>2045</x:v>
      </x:c>
      <x:c r="H90" s="6" t="n">
        <x:f>F90+G90</x:f>
        <x:v>22492</x:v>
      </x:c>
      <x:c r="I90" s="6" t="n">
        <x:f>H90-E90</x:f>
        <x:v>22435</x:v>
      </x:c>
      <x:c r="J90" s="6" t="n">
        <x:f>IFERROR(I90/C90,0)</x:f>
        <x:v>3205</x:v>
      </x:c>
      <x:c r="K90" s="2"/>
      <x:c r="L90" s="2"/>
      <x:c r="M90" s="2"/>
    </x:row>
    <x:row r="91" ht="22" customHeight="1">
      <x:c r="A91" s="9" t="str">
        <x:v>TXN-3-0084</x:v>
      </x:c>
      <x:c r="B91" s="9" t="str">
        <x:v>일반</x:v>
      </x:c>
      <x:c r="C91" s="6" t="n">
        <x:v>1</x:v>
      </x:c>
      <x:c r="D91" s="6" t="n">
        <x:v>2944</x:v>
      </x:c>
      <x:c r="E91" s="6" t="n">
        <x:v>76</x:v>
      </x:c>
      <x:c r="F91" s="6" t="n">
        <x:f>C91*D91</x:f>
        <x:v>2944</x:v>
      </x:c>
      <x:c r="G91" s="6" t="n">
        <x:f>ROUND(F91*$M$4,0)</x:f>
        <x:v>294</x:v>
      </x:c>
      <x:c r="H91" s="6" t="n">
        <x:f>F91+G91</x:f>
        <x:v>3238</x:v>
      </x:c>
      <x:c r="I91" s="6" t="n">
        <x:f>H91-E91</x:f>
        <x:v>3162</x:v>
      </x:c>
      <x:c r="J91" s="6" t="n">
        <x:f>IFERROR(I91/C91,0)</x:f>
        <x:v>3162</x:v>
      </x:c>
      <x:c r="K91" s="2"/>
      <x:c r="L91" s="2"/>
      <x:c r="M91" s="2"/>
    </x:row>
    <x:row r="92" ht="22" customHeight="1">
      <x:c r="A92" s="9" t="str">
        <x:v>TXN-3-0085</x:v>
      </x:c>
      <x:c r="B92" s="9" t="str">
        <x:v>일반</x:v>
      </x:c>
      <x:c r="C92" s="6" t="n">
        <x:v>2</x:v>
      </x:c>
      <x:c r="D92" s="6" t="n">
        <x:v>2967</x:v>
      </x:c>
      <x:c r="E92" s="6" t="n">
        <x:v>0</x:v>
      </x:c>
      <x:c r="F92" s="6" t="n">
        <x:f>C92*D92</x:f>
        <x:v>5934</x:v>
      </x:c>
      <x:c r="G92" s="6" t="n">
        <x:f>ROUND(F92*$M$4,0)</x:f>
        <x:v>593</x:v>
      </x:c>
      <x:c r="H92" s="6" t="n">
        <x:f>F92+G92</x:f>
        <x:v>6527</x:v>
      </x:c>
      <x:c r="I92" s="6" t="n">
        <x:f>H92-E92</x:f>
        <x:v>6527</x:v>
      </x:c>
      <x:c r="J92" s="6" t="n">
        <x:f>IFERROR(I92/C92,0)</x:f>
        <x:v>3263.5</x:v>
      </x:c>
      <x:c r="K92" s="2"/>
      <x:c r="L92" s="2"/>
      <x:c r="M92" s="2"/>
    </x:row>
    <x:row r="93" ht="22" customHeight="1">
      <x:c r="A93" s="9" t="str">
        <x:v>TXN-3-0086</x:v>
      </x:c>
      <x:c r="B93" s="9" t="str">
        <x:v>일반</x:v>
      </x:c>
      <x:c r="C93" s="6" t="n">
        <x:v>3</x:v>
      </x:c>
      <x:c r="D93" s="6" t="n">
        <x:v>2990</x:v>
      </x:c>
      <x:c r="E93" s="6" t="n">
        <x:v>19</x:v>
      </x:c>
      <x:c r="F93" s="6" t="n">
        <x:f>C93*D93</x:f>
        <x:v>8970</x:v>
      </x:c>
      <x:c r="G93" s="6" t="n">
        <x:f>ROUND(F93*$M$4,0)</x:f>
        <x:v>897</x:v>
      </x:c>
      <x:c r="H93" s="6" t="n">
        <x:f>F93+G93</x:f>
        <x:v>9867</x:v>
      </x:c>
      <x:c r="I93" s="6" t="n">
        <x:f>H93-E93</x:f>
        <x:v>9848</x:v>
      </x:c>
      <x:c r="J93" s="6" t="n">
        <x:f>IFERROR(I93/C93,0)</x:f>
        <x:v>3282.6666666666665</x:v>
      </x:c>
      <x:c r="K93" s="2"/>
      <x:c r="L93" s="2"/>
      <x:c r="M93" s="2"/>
    </x:row>
    <x:row r="94" ht="22" customHeight="1">
      <x:c r="A94" s="9" t="str">
        <x:v>TXN-3-0087</x:v>
      </x:c>
      <x:c r="B94" s="9" t="str">
        <x:v>일반</x:v>
      </x:c>
      <x:c r="C94" s="6" t="n">
        <x:v>4</x:v>
      </x:c>
      <x:c r="D94" s="6" t="n">
        <x:v>3013</x:v>
      </x:c>
      <x:c r="E94" s="6" t="n">
        <x:v>38</x:v>
      </x:c>
      <x:c r="F94" s="6" t="n">
        <x:f>C94*D94</x:f>
        <x:v>12052</x:v>
      </x:c>
      <x:c r="G94" s="6" t="n">
        <x:f>ROUND(F94*$M$4,0)</x:f>
        <x:v>1205</x:v>
      </x:c>
      <x:c r="H94" s="6" t="n">
        <x:f>F94+G94</x:f>
        <x:v>13257</x:v>
      </x:c>
      <x:c r="I94" s="6" t="n">
        <x:f>H94-E94</x:f>
        <x:v>13219</x:v>
      </x:c>
      <x:c r="J94" s="6" t="n">
        <x:f>IFERROR(I94/C94,0)</x:f>
        <x:v>3304.75</x:v>
      </x:c>
      <x:c r="K94" s="2"/>
      <x:c r="L94" s="2"/>
      <x:c r="M94" s="2"/>
    </x:row>
    <x:row r="95" ht="22" customHeight="1">
      <x:c r="A95" s="9" t="str">
        <x:v>TXN-3-0088</x:v>
      </x:c>
      <x:c r="B95" s="9" t="str">
        <x:v>일반</x:v>
      </x:c>
      <x:c r="C95" s="6" t="n">
        <x:v>5</x:v>
      </x:c>
      <x:c r="D95" s="6" t="n">
        <x:v>3036</x:v>
      </x:c>
      <x:c r="E95" s="6" t="n">
        <x:v>57</x:v>
      </x:c>
      <x:c r="F95" s="6" t="n">
        <x:f>C95*D95</x:f>
        <x:v>15180</x:v>
      </x:c>
      <x:c r="G95" s="6" t="n">
        <x:f>ROUND(F95*$M$4,0)</x:f>
        <x:v>1518</x:v>
      </x:c>
      <x:c r="H95" s="6" t="n">
        <x:f>F95+G95</x:f>
        <x:v>16698</x:v>
      </x:c>
      <x:c r="I95" s="6" t="n">
        <x:v>42</x:v>
      </x:c>
      <x:c r="J95" s="6" t="n">
        <x:f>IFERROR(I95/C95,0)</x:f>
        <x:v>8.4</x:v>
      </x:c>
      <x:c r="K95" s="2"/>
      <x:c r="L95" s="2"/>
      <x:c r="M95" s="2"/>
    </x:row>
    <x:row r="96" ht="22" customHeight="1">
      <x:c r="A96" s="9" t="str">
        <x:v>TXN-3-0089</x:v>
      </x:c>
      <x:c r="B96" s="9" t="str">
        <x:v>일반</x:v>
      </x:c>
      <x:c r="C96" s="6" t="n">
        <x:v>6</x:v>
      </x:c>
      <x:c r="D96" s="6" t="n">
        <x:v>3059</x:v>
      </x:c>
      <x:c r="E96" s="6" t="n">
        <x:v>76</x:v>
      </x:c>
      <x:c r="F96" s="6" t="n">
        <x:f>C96*D96</x:f>
        <x:v>18354</x:v>
      </x:c>
      <x:c r="G96" s="6" t="n">
        <x:f>ROUND(F96*$M$4,0)</x:f>
        <x:v>1835</x:v>
      </x:c>
      <x:c r="H96" s="6" t="n">
        <x:f>F96+G96</x:f>
        <x:v>20189</x:v>
      </x:c>
      <x:c r="I96" s="6" t="n">
        <x:f>H96-E96</x:f>
        <x:v>20113</x:v>
      </x:c>
      <x:c r="J96" s="6" t="n">
        <x:f>IFERROR(I96/C96,0)</x:f>
        <x:v>3352.1666666666665</x:v>
      </x:c>
      <x:c r="K96" s="2"/>
      <x:c r="L96" s="2"/>
      <x:c r="M96" s="2"/>
    </x:row>
    <x:row r="97" ht="22" customHeight="1">
      <x:c r="A97" s="9" t="str">
        <x:v>TXN-3-0090</x:v>
      </x:c>
      <x:c r="B97" s="9" t="str">
        <x:v>일반</x:v>
      </x:c>
      <x:c r="C97" s="6" t="n">
        <x:v>7</x:v>
      </x:c>
      <x:c r="D97" s="6" t="n">
        <x:v>3082</x:v>
      </x:c>
      <x:c r="E97" s="6" t="n">
        <x:v>0</x:v>
      </x:c>
      <x:c r="F97" s="6" t="n">
        <x:f>C97*D97</x:f>
        <x:v>21574</x:v>
      </x:c>
      <x:c r="G97" s="6" t="n">
        <x:f>ROUND(F97*$M$4,0)</x:f>
        <x:v>2157</x:v>
      </x:c>
      <x:c r="H97" s="6" t="n">
        <x:f>F97+G97</x:f>
        <x:v>23731</x:v>
      </x:c>
      <x:c r="I97" s="6" t="n">
        <x:f>H97-E97</x:f>
        <x:v>23731</x:v>
      </x:c>
      <x:c r="J97" s="6" t="n">
        <x:f>IFERROR(I97/C97,0)</x:f>
        <x:v>3390.1428571428573</x:v>
      </x:c>
      <x:c r="K97" s="2"/>
      <x:c r="L97" s="2"/>
      <x:c r="M97" s="2"/>
    </x:row>
    <x:row r="98" ht="22" customHeight="1">
      <x:c r="A98" s="9" t="str">
        <x:v>TXN-3-0091</x:v>
      </x:c>
      <x:c r="B98" s="9" t="str">
        <x:v>일반</x:v>
      </x:c>
      <x:c r="C98" s="6" t="n">
        <x:v>1</x:v>
      </x:c>
      <x:c r="D98" s="6" t="n">
        <x:v>3105</x:v>
      </x:c>
      <x:c r="E98" s="6" t="n">
        <x:v>19</x:v>
      </x:c>
      <x:c r="F98" s="6" t="n">
        <x:f>C98*D98</x:f>
        <x:v>3105</x:v>
      </x:c>
      <x:c r="G98" s="6" t="n">
        <x:f>ROUND(F98*$M$4,0)</x:f>
        <x:v>311</x:v>
      </x:c>
      <x:c r="H98" s="6" t="n">
        <x:f>F98+G98</x:f>
        <x:v>3416</x:v>
      </x:c>
      <x:c r="I98" s="6" t="n">
        <x:f>H98-E98</x:f>
        <x:v>3397</x:v>
      </x:c>
      <x:c r="J98" s="6" t="n">
        <x:f>IFERROR(I98/C98,0)</x:f>
        <x:v>3397</x:v>
      </x:c>
      <x:c r="K98" s="2"/>
      <x:c r="L98" s="2"/>
      <x:c r="M98" s="2"/>
    </x:row>
    <x:row r="99" ht="22" customHeight="1">
      <x:c r="A99" s="9" t="str">
        <x:v>TXN-3-0092</x:v>
      </x:c>
      <x:c r="B99" s="9" t="str">
        <x:v>일반</x:v>
      </x:c>
      <x:c r="C99" s="6" t="n">
        <x:v>2</x:v>
      </x:c>
      <x:c r="D99" s="6" t="n">
        <x:v>3128</x:v>
      </x:c>
      <x:c r="E99" s="6" t="n">
        <x:v>38</x:v>
      </x:c>
      <x:c r="F99" s="6" t="n">
        <x:f>C99*D99</x:f>
        <x:v>6256</x:v>
      </x:c>
      <x:c r="G99" s="6" t="n">
        <x:f>ROUND(F99*$M$4,0)</x:f>
        <x:v>626</x:v>
      </x:c>
      <x:c r="H99" s="6" t="n">
        <x:f>F99+G99</x:f>
        <x:v>6882</x:v>
      </x:c>
      <x:c r="I99" s="6" t="n">
        <x:f>H99-E99</x:f>
        <x:v>6844</x:v>
      </x:c>
      <x:c r="J99" s="6" t="n">
        <x:f>IFERROR(I99/C99,0)</x:f>
        <x:v>3422</x:v>
      </x:c>
      <x:c r="K99" s="2"/>
      <x:c r="L99" s="2"/>
      <x:c r="M99" s="2"/>
    </x:row>
    <x:row r="100" ht="22" customHeight="1">
      <x:c r="A100" s="9" t="str">
        <x:v>TXN-3-0093</x:v>
      </x:c>
      <x:c r="B100" s="9" t="str">
        <x:v>일반</x:v>
      </x:c>
      <x:c r="C100" s="6" t="n">
        <x:v>3</x:v>
      </x:c>
      <x:c r="D100" s="6" t="n">
        <x:v>3151</x:v>
      </x:c>
      <x:c r="E100" s="6" t="n">
        <x:v>57</x:v>
      </x:c>
      <x:c r="F100" s="6" t="n">
        <x:f>C100*D100</x:f>
        <x:v>9453</x:v>
      </x:c>
      <x:c r="G100" s="6" t="n">
        <x:f>ROUND(F100*$M$4,0)</x:f>
        <x:v>945</x:v>
      </x:c>
      <x:c r="H100" s="6" t="n">
        <x:f>F100+G100</x:f>
        <x:v>10398</x:v>
      </x:c>
      <x:c r="I100" s="6" t="n">
        <x:f>H100-E100</x:f>
        <x:v>10341</x:v>
      </x:c>
      <x:c r="J100" s="6" t="n">
        <x:f>IFERROR(I100/C100,0)</x:f>
        <x:v>3447</x:v>
      </x:c>
      <x:c r="K100" s="2"/>
      <x:c r="L100" s="2"/>
      <x:c r="M100" s="2"/>
    </x:row>
    <x:row r="101" ht="22" customHeight="1">
      <x:c r="A101" s="9" t="str">
        <x:v>TXN-3-0094</x:v>
      </x:c>
      <x:c r="B101" s="9" t="str">
        <x:v>일반</x:v>
      </x:c>
      <x:c r="C101" s="6" t="n">
        <x:v>4</x:v>
      </x:c>
      <x:c r="D101" s="6" t="n">
        <x:v>3174</x:v>
      </x:c>
      <x:c r="E101" s="6" t="n">
        <x:v>76</x:v>
      </x:c>
      <x:c r="F101" s="6" t="n">
        <x:f>C101*D101</x:f>
        <x:v>12696</x:v>
      </x:c>
      <x:c r="G101" s="6" t="n">
        <x:f>ROUND(F101*$M$4,0)</x:f>
        <x:v>1270</x:v>
      </x:c>
      <x:c r="H101" s="6" t="n">
        <x:f>F101+G101</x:f>
        <x:v>13966</x:v>
      </x:c>
      <x:c r="I101" s="6" t="n">
        <x:f>H101-E101</x:f>
        <x:v>13890</x:v>
      </x:c>
      <x:c r="J101" s="6" t="n">
        <x:f>IFERROR(I101/C101,0)</x:f>
        <x:v>3472.5</x:v>
      </x:c>
      <x:c r="K101" s="2"/>
      <x:c r="L101" s="2"/>
      <x:c r="M101" s="2"/>
    </x:row>
    <x:row r="102" ht="22" customHeight="1">
      <x:c r="A102" s="9" t="str">
        <x:v>TXN-3-0095</x:v>
      </x:c>
      <x:c r="B102" s="9" t="str">
        <x:v>일반</x:v>
      </x:c>
      <x:c r="C102" s="6" t="n">
        <x:v>5</x:v>
      </x:c>
      <x:c r="D102" s="6" t="n">
        <x:v>3197</x:v>
      </x:c>
      <x:c r="E102" s="6" t="n">
        <x:v>0</x:v>
      </x:c>
      <x:c r="F102" s="6" t="n">
        <x:f>C102*D102</x:f>
        <x:v>15985</x:v>
      </x:c>
      <x:c r="G102" s="6" t="n">
        <x:f>ROUND(F102*$M$4,0)</x:f>
        <x:v>1599</x:v>
      </x:c>
      <x:c r="H102" s="6" t="n">
        <x:f>F102+G102</x:f>
        <x:v>17584</x:v>
      </x:c>
      <x:c r="I102" s="6" t="n">
        <x:f>H102-E102</x:f>
        <x:v>17584</x:v>
      </x:c>
      <x:c r="J102" s="6" t="n">
        <x:f>IFERROR(I102/C102,0)</x:f>
        <x:v>3516.8</x:v>
      </x:c>
      <x:c r="K102" s="2"/>
      <x:c r="L102" s="2"/>
      <x:c r="M102" s="2"/>
    </x:row>
    <x:row r="103" ht="22" customHeight="1">
      <x:c r="A103" s="9" t="str">
        <x:v>TXN-3-0096</x:v>
      </x:c>
      <x:c r="B103" s="9" t="str">
        <x:v>일반</x:v>
      </x:c>
      <x:c r="C103" s="6" t="n">
        <x:v>6</x:v>
      </x:c>
      <x:c r="D103" s="6" t="n">
        <x:v>3220</x:v>
      </x:c>
      <x:c r="E103" s="6" t="n">
        <x:v>19</x:v>
      </x:c>
      <x:c r="F103" s="6" t="n">
        <x:f>C103*D103</x:f>
        <x:v>19320</x:v>
      </x:c>
      <x:c r="G103" s="6" t="n">
        <x:f>ROUND(F103*$M$4,0)</x:f>
        <x:v>1932</x:v>
      </x:c>
      <x:c r="H103" s="6" t="n">
        <x:f>F103+G103</x:f>
        <x:v>21252</x:v>
      </x:c>
      <x:c r="I103" s="6" t="n">
        <x:f>H103-E103</x:f>
        <x:v>21233</x:v>
      </x:c>
      <x:c r="J103" s="6" t="n">
        <x:f>IFERROR(I103/C103,0)</x:f>
        <x:v>3538.8333333333335</x:v>
      </x:c>
      <x:c r="K103" s="2"/>
      <x:c r="L103" s="2"/>
      <x:c r="M103" s="2"/>
    </x:row>
    <x:row r="104" ht="22" customHeight="1">
      <x:c r="A104" s="9" t="str">
        <x:v>TXN-3-0097</x:v>
      </x:c>
      <x:c r="B104" s="9" t="str">
        <x:v>일반</x:v>
      </x:c>
      <x:c r="C104" s="6" t="n">
        <x:v>7</x:v>
      </x:c>
      <x:c r="D104" s="6" t="n">
        <x:v>3243</x:v>
      </x:c>
      <x:c r="E104" s="6" t="n">
        <x:v>38</x:v>
      </x:c>
      <x:c r="F104" s="6" t="n">
        <x:f>C104*D104</x:f>
        <x:v>22701</x:v>
      </x:c>
      <x:c r="G104" s="6" t="n">
        <x:f>ROUND(F104*$M$4,0)</x:f>
        <x:v>2270</x:v>
      </x:c>
      <x:c r="H104" s="6" t="n">
        <x:f>F104+G104</x:f>
        <x:v>24971</x:v>
      </x:c>
      <x:c r="I104" s="6" t="n">
        <x:f>H104-E104</x:f>
        <x:v>24933</x:v>
      </x:c>
      <x:c r="J104" s="6" t="n">
        <x:f>IFERROR(I104/C104,0)</x:f>
        <x:v>3561.8571428571427</x:v>
      </x:c>
      <x:c r="K104" s="2"/>
      <x:c r="L104" s="2"/>
      <x:c r="M104" s="2"/>
    </x:row>
    <x:row r="105" ht="22" customHeight="1">
      <x:c r="A105" s="9" t="str">
        <x:v>TXN-3-0098</x:v>
      </x:c>
      <x:c r="B105" s="9" t="str">
        <x:v>일반</x:v>
      </x:c>
      <x:c r="C105" s="6" t="n">
        <x:v>1</x:v>
      </x:c>
      <x:c r="D105" s="6" t="n">
        <x:v>3266</x:v>
      </x:c>
      <x:c r="E105" s="6" t="n">
        <x:v>57</x:v>
      </x:c>
      <x:c r="F105" s="6" t="n">
        <x:f>C105*D105</x:f>
        <x:v>3266</x:v>
      </x:c>
      <x:c r="G105" s="6" t="n">
        <x:f>ROUND(F105*$M$4,0)</x:f>
        <x:v>327</x:v>
      </x:c>
      <x:c r="H105" s="6" t="n">
        <x:f>F105+G105</x:f>
        <x:v>3593</x:v>
      </x:c>
      <x:c r="I105" s="6" t="n">
        <x:f>H105-E105</x:f>
        <x:v>3536</x:v>
      </x:c>
      <x:c r="J105" s="6" t="n">
        <x:f>IFERROR(I105/C105,0)</x:f>
        <x:v>3536</x:v>
      </x:c>
      <x:c r="K105" s="2"/>
      <x:c r="L105" s="2"/>
      <x:c r="M105" s="2"/>
    </x:row>
    <x:row r="106" ht="22" customHeight="1">
      <x:c r="A106" s="9" t="str">
        <x:v>TXN-3-0099</x:v>
      </x:c>
      <x:c r="B106" s="9" t="str">
        <x:v>일반</x:v>
      </x:c>
      <x:c r="C106" s="6" t="n">
        <x:v>2</x:v>
      </x:c>
      <x:c r="D106" s="6" t="n">
        <x:v>3289</x:v>
      </x:c>
      <x:c r="E106" s="6" t="n">
        <x:v>76</x:v>
      </x:c>
      <x:c r="F106" s="6" t="n">
        <x:f>C106*D106</x:f>
        <x:v>6578</x:v>
      </x:c>
      <x:c r="G106" s="6" t="n">
        <x:f>ROUND(F106*$M$4,0)</x:f>
        <x:v>658</x:v>
      </x:c>
      <x:c r="H106" s="6" t="n">
        <x:f>F106+G106</x:f>
        <x:v>7236</x:v>
      </x:c>
      <x:c r="I106" s="6" t="n">
        <x:f>H106-E106</x:f>
        <x:v>7160</x:v>
      </x:c>
      <x:c r="J106" s="6" t="n">
        <x:f>IFERROR(I106/C106,0)</x:f>
        <x:v>3580</x:v>
      </x:c>
      <x:c r="K106" s="2"/>
      <x:c r="L106" s="2"/>
      <x:c r="M106" s="2"/>
    </x:row>
    <x:row r="107" ht="22" customHeight="1">
      <x:c r="A107" s="9" t="str">
        <x:v>TXN-3-0100</x:v>
      </x:c>
      <x:c r="B107" s="9" t="str">
        <x:v>일반</x:v>
      </x:c>
      <x:c r="C107" s="6" t="n">
        <x:v>3</x:v>
      </x:c>
      <x:c r="D107" s="6" t="n">
        <x:v>3312</x:v>
      </x:c>
      <x:c r="E107" s="6" t="n">
        <x:v>0</x:v>
      </x:c>
      <x:c r="F107" s="6" t="n">
        <x:f>C107*D107</x:f>
        <x:v>9936</x:v>
      </x:c>
      <x:c r="G107" s="6" t="n">
        <x:f>ROUND(F107*$M$4,0)</x:f>
        <x:v>994</x:v>
      </x:c>
      <x:c r="H107" s="6" t="n">
        <x:f>F107+G107</x:f>
        <x:v>10930</x:v>
      </x:c>
      <x:c r="I107" s="6" t="n">
        <x:f>H107-E107</x:f>
        <x:v>10930</x:v>
      </x:c>
      <x:c r="J107" s="6" t="n">
        <x:f>IFERROR(I107/C107,0)</x:f>
        <x:v>3643.3333333333335</x:v>
      </x:c>
      <x:c r="K107" s="2"/>
      <x:c r="L107" s="2"/>
      <x:c r="M107" s="2"/>
    </x:row>
    <x:row r="108" ht="22" customHeight="1">
      <x:c r="A108" s="9" t="str">
        <x:v>TXN-3-0101</x:v>
      </x:c>
      <x:c r="B108" s="9" t="str">
        <x:v>일반</x:v>
      </x:c>
      <x:c r="C108" s="6" t="n">
        <x:v>4</x:v>
      </x:c>
      <x:c r="D108" s="6" t="n">
        <x:v>3335</x:v>
      </x:c>
      <x:c r="E108" s="6" t="n">
        <x:v>19</x:v>
      </x:c>
      <x:c r="F108" s="6" t="n">
        <x:f>C108*D108</x:f>
        <x:v>13340</x:v>
      </x:c>
      <x:c r="G108" s="6" t="n">
        <x:f>ROUND(F108*$M$4,0)</x:f>
        <x:v>1334</x:v>
      </x:c>
      <x:c r="H108" s="6" t="n">
        <x:f>F108+G108</x:f>
        <x:v>14674</x:v>
      </x:c>
      <x:c r="I108" s="6" t="n">
        <x:f>H108-E108</x:f>
        <x:v>14655</x:v>
      </x:c>
      <x:c r="J108" s="6" t="n">
        <x:f>IFERROR(I108/C108,0)</x:f>
        <x:v>3663.75</x:v>
      </x:c>
      <x:c r="K108" s="2"/>
      <x:c r="L108" s="2"/>
      <x:c r="M108" s="2"/>
    </x:row>
    <x:row r="109" ht="22" customHeight="1">
      <x:c r="A109" s="9" t="str">
        <x:v>TXN-3-0102</x:v>
      </x:c>
      <x:c r="B109" s="9" t="str">
        <x:v>일반</x:v>
      </x:c>
      <x:c r="C109" s="6" t="n">
        <x:v>5</x:v>
      </x:c>
      <x:c r="D109" s="6" t="n">
        <x:v>3358</x:v>
      </x:c>
      <x:c r="E109" s="6" t="n">
        <x:v>38</x:v>
      </x:c>
      <x:c r="F109" s="6" t="n">
        <x:f>C109*D109</x:f>
        <x:v>16790</x:v>
      </x:c>
      <x:c r="G109" s="6" t="n">
        <x:f>ROUND(F109*$M$4,0)</x:f>
        <x:v>1679</x:v>
      </x:c>
      <x:c r="H109" s="6" t="n">
        <x:f>F109+G109</x:f>
        <x:v>18469</x:v>
      </x:c>
      <x:c r="I109" s="6" t="n">
        <x:f>H109-E109</x:f>
        <x:v>18431</x:v>
      </x:c>
      <x:c r="J109" s="6" t="n">
        <x:f>IFERROR(I109/C109,0)</x:f>
        <x:v>3686.2</x:v>
      </x:c>
      <x:c r="K109" s="2"/>
      <x:c r="L109" s="2"/>
      <x:c r="M109" s="2"/>
    </x:row>
    <x:row r="110" ht="22" customHeight="1">
      <x:c r="A110" s="9" t="str">
        <x:v>TXN-3-0103</x:v>
      </x:c>
      <x:c r="B110" s="9" t="str">
        <x:v>일반</x:v>
      </x:c>
      <x:c r="C110" s="6" t="n">
        <x:v>6</x:v>
      </x:c>
      <x:c r="D110" s="6" t="n">
        <x:v>3381</x:v>
      </x:c>
      <x:c r="E110" s="6" t="n">
        <x:v>57</x:v>
      </x:c>
      <x:c r="F110" s="6" t="n">
        <x:f>C110*D110</x:f>
        <x:v>20286</x:v>
      </x:c>
      <x:c r="G110" s="6" t="n">
        <x:f>ROUND(F110*$M$4,0)</x:f>
        <x:v>2029</x:v>
      </x:c>
      <x:c r="H110" s="6" t="n">
        <x:f>F110+G110</x:f>
        <x:v>22315</x:v>
      </x:c>
      <x:c r="I110" s="6" t="n">
        <x:f>H110-E110</x:f>
        <x:v>22258</x:v>
      </x:c>
      <x:c r="J110" s="6" t="n">
        <x:f>IFERROR(I110/C110,0)</x:f>
        <x:v>3709.6666666666665</x:v>
      </x:c>
      <x:c r="K110" s="2"/>
      <x:c r="L110" s="2"/>
      <x:c r="M110" s="2"/>
    </x:row>
    <x:row r="111" ht="22" customHeight="1">
      <x:c r="A111" s="9" t="str">
        <x:v>TXN-3-0104</x:v>
      </x:c>
      <x:c r="B111" s="9" t="str">
        <x:v>일반</x:v>
      </x:c>
      <x:c r="C111" s="6" t="n">
        <x:v>7</x:v>
      </x:c>
      <x:c r="D111" s="6" t="n">
        <x:v>3404</x:v>
      </x:c>
      <x:c r="E111" s="6" t="n">
        <x:v>76</x:v>
      </x:c>
      <x:c r="F111" s="6" t="n">
        <x:f>C111*D111</x:f>
        <x:v>23828</x:v>
      </x:c>
      <x:c r="G111" s="6" t="n">
        <x:f>ROUND(F111*$M$4,0)</x:f>
        <x:v>2383</x:v>
      </x:c>
      <x:c r="H111" s="6" t="n">
        <x:f>F111+G111</x:f>
        <x:v>26211</x:v>
      </x:c>
      <x:c r="I111" s="6" t="n">
        <x:f>H111-E111</x:f>
        <x:v>26135</x:v>
      </x:c>
      <x:c r="J111" s="6" t="n">
        <x:f>IFERROR(I111/C111,0)</x:f>
        <x:v>3733.5714285714284</x:v>
      </x:c>
      <x:c r="K111" s="2"/>
      <x:c r="L111" s="2"/>
      <x:c r="M111" s="2"/>
    </x:row>
    <x:row r="112" ht="22" customHeight="1">
      <x:c r="A112" s="9" t="str">
        <x:v>TXN-3-0105</x:v>
      </x:c>
      <x:c r="B112" s="9" t="str">
        <x:v>일반</x:v>
      </x:c>
      <x:c r="C112" s="6" t="n">
        <x:v>1</x:v>
      </x:c>
      <x:c r="D112" s="6" t="n">
        <x:v>3427</x:v>
      </x:c>
      <x:c r="E112" s="6" t="n">
        <x:v>0</x:v>
      </x:c>
      <x:c r="F112" s="6" t="n">
        <x:f>C112*D112</x:f>
        <x:v>3427</x:v>
      </x:c>
      <x:c r="G112" s="6" t="n">
        <x:f>ROUND(F112*$M$4,0)</x:f>
        <x:v>343</x:v>
      </x:c>
      <x:c r="H112" s="6" t="n">
        <x:f>F112+G112</x:f>
        <x:v>3770</x:v>
      </x:c>
      <x:c r="I112" s="6" t="n">
        <x:f>H112-E112</x:f>
        <x:v>3770</x:v>
      </x:c>
      <x:c r="J112" s="6" t="n">
        <x:f>IFERROR(I112/C112,0)</x:f>
        <x:v>3770</x:v>
      </x:c>
      <x:c r="K112" s="2"/>
      <x:c r="L112" s="2"/>
      <x:c r="M112" s="2"/>
    </x:row>
    <x:row r="113" ht="22" customHeight="1">
      <x:c r="A113" s="9" t="str">
        <x:v>TXN-3-0106</x:v>
      </x:c>
      <x:c r="B113" s="9" t="str">
        <x:v>일반</x:v>
      </x:c>
      <x:c r="C113" s="6" t="n">
        <x:v>2</x:v>
      </x:c>
      <x:c r="D113" s="6" t="n">
        <x:v>3450</x:v>
      </x:c>
      <x:c r="E113" s="6" t="n">
        <x:v>19</x:v>
      </x:c>
      <x:c r="F113" s="6" t="n">
        <x:f>C113*D113</x:f>
        <x:v>6900</x:v>
      </x:c>
      <x:c r="G113" s="6" t="n">
        <x:f>ROUND(F113*$M$4,0)</x:f>
        <x:v>690</x:v>
      </x:c>
      <x:c r="H113" s="6" t="n">
        <x:f>F113+G113</x:f>
        <x:v>7590</x:v>
      </x:c>
      <x:c r="I113" s="6" t="n">
        <x:f>H113-E113</x:f>
        <x:v>7571</x:v>
      </x:c>
      <x:c r="J113" s="6" t="n">
        <x:f>IFERROR(I113/C113,0)</x:f>
        <x:v>3785.5</x:v>
      </x:c>
      <x:c r="K113" s="2"/>
      <x:c r="L113" s="2"/>
      <x:c r="M113" s="2"/>
    </x:row>
    <x:row r="114" ht="22" customHeight="1">
      <x:c r="A114" s="9" t="str">
        <x:v>TXN-3-0107</x:v>
      </x:c>
      <x:c r="B114" s="9" t="str">
        <x:v>일반</x:v>
      </x:c>
      <x:c r="C114" s="6" t="n">
        <x:v>3</x:v>
      </x:c>
      <x:c r="D114" s="6" t="n">
        <x:v>3473</x:v>
      </x:c>
      <x:c r="E114" s="6" t="n">
        <x:v>38</x:v>
      </x:c>
      <x:c r="F114" s="6" t="n">
        <x:f>C114*D114</x:f>
        <x:v>10419</x:v>
      </x:c>
      <x:c r="G114" s="6" t="n">
        <x:f>ROUND(F114*$M$4,0)</x:f>
        <x:v>1042</x:v>
      </x:c>
      <x:c r="H114" s="6" t="n">
        <x:f>F114+G114</x:f>
        <x:v>11461</x:v>
      </x:c>
      <x:c r="I114" s="6" t="n">
        <x:f>H114-E114</x:f>
        <x:v>11423</x:v>
      </x:c>
      <x:c r="J114" s="6" t="n">
        <x:f>IFERROR(I114/C114,0)</x:f>
        <x:v>3807.6666666666665</x:v>
      </x:c>
      <x:c r="K114" s="2"/>
      <x:c r="L114" s="2"/>
      <x:c r="M114" s="2"/>
    </x:row>
    <x:row r="115" ht="22" customHeight="1">
      <x:c r="A115" s="9" t="str">
        <x:v>TXN-3-0108</x:v>
      </x:c>
      <x:c r="B115" s="9" t="str">
        <x:v>일반</x:v>
      </x:c>
      <x:c r="C115" s="6" t="n">
        <x:v>4</x:v>
      </x:c>
      <x:c r="D115" s="6" t="n">
        <x:v>3496</x:v>
      </x:c>
      <x:c r="E115" s="6" t="n">
        <x:v>57</x:v>
      </x:c>
      <x:c r="F115" s="6" t="n">
        <x:f>C115*D115</x:f>
        <x:v>13984</x:v>
      </x:c>
      <x:c r="G115" s="6" t="n">
        <x:f>ROUND(F115*$M$4,0)</x:f>
        <x:v>1398</x:v>
      </x:c>
      <x:c r="H115" s="6" t="n">
        <x:f>F115+G115</x:f>
        <x:v>15382</x:v>
      </x:c>
      <x:c r="I115" s="6" t="n">
        <x:f>H115-E115</x:f>
        <x:v>15325</x:v>
      </x:c>
      <x:c r="J115" s="6" t="n">
        <x:f>IFERROR(I115/C115,0)</x:f>
        <x:v>3831.25</x:v>
      </x:c>
      <x:c r="K115" s="2"/>
      <x:c r="L115" s="2"/>
      <x:c r="M115" s="2"/>
    </x:row>
    <x:row r="116" ht="22" customHeight="1">
      <x:c r="A116" s="9" t="str">
        <x:v>TXN-3-0109</x:v>
      </x:c>
      <x:c r="B116" s="9" t="str">
        <x:v>일반</x:v>
      </x:c>
      <x:c r="C116" s="6" t="n">
        <x:v>5</x:v>
      </x:c>
      <x:c r="D116" s="6" t="n">
        <x:v>3519</x:v>
      </x:c>
      <x:c r="E116" s="6" t="n">
        <x:v>76</x:v>
      </x:c>
      <x:c r="F116" s="6" t="n">
        <x:f>C116*D116</x:f>
        <x:v>17595</x:v>
      </x:c>
      <x:c r="G116" s="6" t="n">
        <x:f>ROUND(F116*$M$4,0)</x:f>
        <x:v>1760</x:v>
      </x:c>
      <x:c r="H116" s="6" t="n">
        <x:f>F116+G116</x:f>
        <x:v>19355</x:v>
      </x:c>
      <x:c r="I116" s="6" t="n">
        <x:f>H116-E116</x:f>
        <x:v>19279</x:v>
      </x:c>
      <x:c r="J116" s="6" t="n">
        <x:f>IFERROR(I116/C116,0)</x:f>
        <x:v>3855.8</x:v>
      </x:c>
      <x:c r="K116" s="2"/>
      <x:c r="L116" s="2"/>
      <x:c r="M116" s="2"/>
    </x:row>
    <x:row r="117" ht="22" customHeight="1">
      <x:c r="A117" s="9" t="str">
        <x:v>TXN-3-0110</x:v>
      </x:c>
      <x:c r="B117" s="9" t="str">
        <x:v>일반</x:v>
      </x:c>
      <x:c r="C117" s="6" t="n">
        <x:v>6</x:v>
      </x:c>
      <x:c r="D117" s="6" t="n">
        <x:v>3542</x:v>
      </x:c>
      <x:c r="E117" s="6" t="n">
        <x:v>0</x:v>
      </x:c>
      <x:c r="F117" s="6" t="n">
        <x:f>C117*D117</x:f>
        <x:v>21252</x:v>
      </x:c>
      <x:c r="G117" s="6" t="n">
        <x:f>ROUND(F117*$M$4,0)</x:f>
        <x:v>2125</x:v>
      </x:c>
      <x:c r="H117" s="6" t="n">
        <x:f>F117+G117</x:f>
        <x:v>23377</x:v>
      </x:c>
      <x:c r="I117" s="6" t="n">
        <x:f>H117-E117</x:f>
        <x:v>23377</x:v>
      </x:c>
      <x:c r="J117" s="6" t="n">
        <x:f>IFERROR(I117/C117,0)</x:f>
        <x:v>3896.1666666666665</x:v>
      </x:c>
      <x:c r="K117" s="2"/>
      <x:c r="L117" s="2"/>
      <x:c r="M117" s="2"/>
    </x:row>
    <x:row r="118" ht="22" customHeight="1">
      <x:c r="A118" s="9" t="str">
        <x:v>TXN-3-0111</x:v>
      </x:c>
      <x:c r="B118" s="9" t="str">
        <x:v>일반</x:v>
      </x:c>
      <x:c r="C118" s="6" t="n">
        <x:v>7</x:v>
      </x:c>
      <x:c r="D118" s="6" t="n">
        <x:v>3565</x:v>
      </x:c>
      <x:c r="E118" s="6" t="n">
        <x:v>19</x:v>
      </x:c>
      <x:c r="F118" s="6" t="n">
        <x:f>C118*D118</x:f>
        <x:v>24955</x:v>
      </x:c>
      <x:c r="G118" s="6" t="n">
        <x:f>ROUND(F118*$M$4,0)</x:f>
        <x:v>2496</x:v>
      </x:c>
      <x:c r="H118" s="6" t="n">
        <x:f>SUM(F118:F118)</x:f>
        <x:v>24955</x:v>
      </x:c>
      <x:c r="I118" s="6" t="n">
        <x:f>H118-E118</x:f>
        <x:v>24936</x:v>
      </x:c>
      <x:c r="J118" s="6" t="n">
        <x:f>IFERROR(I118/C118,0)</x:f>
        <x:v>3562.285714285714</x:v>
      </x:c>
      <x:c r="K118" s="2"/>
      <x:c r="L118" s="2"/>
      <x:c r="M118" s="2"/>
    </x:row>
    <x:row r="119" ht="22" customHeight="1">
      <x:c r="A119" s="9" t="str">
        <x:v>TXN-3-0112</x:v>
      </x:c>
      <x:c r="B119" s="9" t="str">
        <x:v>일반</x:v>
      </x:c>
      <x:c r="C119" s="6" t="n">
        <x:v>1</x:v>
      </x:c>
      <x:c r="D119" s="6" t="n">
        <x:v>3588</x:v>
      </x:c>
      <x:c r="E119" s="6" t="n">
        <x:v>38</x:v>
      </x:c>
      <x:c r="F119" s="6" t="n">
        <x:f>C119*D119</x:f>
        <x:v>3588</x:v>
      </x:c>
      <x:c r="G119" s="6" t="n">
        <x:f>ROUND(F119*$M$4,0)</x:f>
        <x:v>359</x:v>
      </x:c>
      <x:c r="H119" s="6" t="n">
        <x:f>F119+G119</x:f>
        <x:v>3947</x:v>
      </x:c>
      <x:c r="I119" s="6" t="n">
        <x:f>H119-E119</x:f>
        <x:v>3909</x:v>
      </x:c>
      <x:c r="J119" s="6" t="n">
        <x:f>IFERROR(I119/C119,0)</x:f>
        <x:v>3909</x:v>
      </x:c>
      <x:c r="K119" s="2"/>
      <x:c r="L119" s="2"/>
      <x:c r="M119" s="2"/>
    </x:row>
    <x:row r="120" ht="22" customHeight="1">
      <x:c r="A120" s="9" t="str">
        <x:v>TXN-3-0113</x:v>
      </x:c>
      <x:c r="B120" s="9" t="str">
        <x:v>수동 조정</x:v>
      </x:c>
      <x:c r="C120" s="6" t="n">
        <x:v>2</x:v>
      </x:c>
      <x:c r="D120" s="6" t="n">
        <x:v>3611</x:v>
      </x:c>
      <x:c r="E120" s="6" t="n">
        <x:v>57</x:v>
      </x:c>
      <x:c r="F120" s="6" t="n">
        <x:f>C120*D120</x:f>
        <x:v>7222</x:v>
      </x:c>
      <x:c r="G120" s="6" t="n">
        <x:f>ROUND(F120*$M$4,0)</x:f>
        <x:v>722</x:v>
      </x:c>
      <x:c r="H120" s="6" t="n">
        <x:f>F120+G120</x:f>
        <x:v>7944</x:v>
      </x:c>
      <x:c r="I120" s="6" t="n">
        <x:f>H120-E120</x:f>
        <x:v>7887</x:v>
      </x:c>
      <x:c r="J120" s="6" t="n">
        <x:f>IFERROR(I120/C120,0)</x:f>
        <x:v>3943.5</x:v>
      </x:c>
      <x:c r="K120" s="2"/>
      <x:c r="L120" s="2"/>
      <x:c r="M120" s="2"/>
    </x:row>
    <x:row r="121" ht="22" customHeight="1">
      <x:c r="A121" s="9" t="str">
        <x:v>TXN-3-0114</x:v>
      </x:c>
      <x:c r="B121" s="9" t="str">
        <x:v>일반</x:v>
      </x:c>
      <x:c r="C121" s="6" t="n">
        <x:v>3</x:v>
      </x:c>
      <x:c r="D121" s="6" t="n">
        <x:v>3634</x:v>
      </x:c>
      <x:c r="E121" s="6" t="n">
        <x:v>76</x:v>
      </x:c>
      <x:c r="F121" s="6" t="n">
        <x:f>C121*D121</x:f>
        <x:v>10902</x:v>
      </x:c>
      <x:c r="G121" s="6" t="n">
        <x:f>ROUND(F121*$M$4,0)</x:f>
        <x:v>1090</x:v>
      </x:c>
      <x:c r="H121" s="6" t="n">
        <x:f>F121+G121</x:f>
        <x:v>11992</x:v>
      </x:c>
      <x:c r="I121" s="6" t="n">
        <x:f>H121-E121</x:f>
        <x:v>11916</x:v>
      </x:c>
      <x:c r="J121" s="6" t="n">
        <x:f>IFERROR(I121/C121,0)</x:f>
        <x:v>3972</x:v>
      </x:c>
      <x:c r="K121" s="2"/>
      <x:c r="L121" s="2"/>
      <x:c r="M121" s="2"/>
    </x:row>
    <x:row r="122" ht="22" customHeight="1">
      <x:c r="A122" s="9" t="str">
        <x:v>TXN-3-0115</x:v>
      </x:c>
      <x:c r="B122" s="9" t="str">
        <x:v>일반</x:v>
      </x:c>
      <x:c r="C122" s="6" t="n">
        <x:v>4</x:v>
      </x:c>
      <x:c r="D122" s="6" t="n">
        <x:v>3657</x:v>
      </x:c>
      <x:c r="E122" s="6" t="n">
        <x:v>0</x:v>
      </x:c>
      <x:c r="F122" s="6" t="n">
        <x:f>C122*D122</x:f>
        <x:v>14628</x:v>
      </x:c>
      <x:c r="G122" s="6" t="n">
        <x:f>ROUND(F122*$M$4,0)</x:f>
        <x:v>1463</x:v>
      </x:c>
      <x:c r="H122" s="6" t="n">
        <x:f>F122+G122</x:f>
        <x:v>16091</x:v>
      </x:c>
      <x:c r="I122" s="6" t="n">
        <x:f>H122-E122</x:f>
        <x:v>16091</x:v>
      </x:c>
      <x:c r="J122" s="6" t="n">
        <x:f>IFERROR(I122/C122,0)</x:f>
        <x:v>4022.75</x:v>
      </x:c>
      <x:c r="K122" s="2"/>
      <x:c r="L122" s="2"/>
      <x:c r="M122" s="2"/>
    </x:row>
    <x:row r="123" ht="22" customHeight="1">
      <x:c r="A123" s="9" t="str">
        <x:v>TXN-3-0116</x:v>
      </x:c>
      <x:c r="B123" s="9" t="str">
        <x:v>일반</x:v>
      </x:c>
      <x:c r="C123" s="6" t="n">
        <x:v>5</x:v>
      </x:c>
      <x:c r="D123" s="6" t="n">
        <x:v>3680</x:v>
      </x:c>
      <x:c r="E123" s="6" t="n">
        <x:v>19</x:v>
      </x:c>
      <x:c r="F123" s="6" t="n">
        <x:f>C123*D123</x:f>
        <x:v>18400</x:v>
      </x:c>
      <x:c r="G123" s="6" t="n">
        <x:f>ROUND(F123*$M$4,0)</x:f>
        <x:v>1840</x:v>
      </x:c>
      <x:c r="H123" s="6" t="n">
        <x:f>F123+G123</x:f>
        <x:v>20240</x:v>
      </x:c>
      <x:c r="I123" s="6" t="n">
        <x:f>H123-E123</x:f>
        <x:v>20221</x:v>
      </x:c>
      <x:c r="J123" s="6" t="n">
        <x:f>IFERROR(I123/C123,0)</x:f>
        <x:v>4044.2</x:v>
      </x:c>
      <x:c r="K123" s="2"/>
      <x:c r="L123" s="2"/>
      <x:c r="M123" s="2"/>
    </x:row>
    <x:row r="124" ht="22" customHeight="1">
      <x:c r="A124" s="9" t="str">
        <x:v>TXN-3-0117</x:v>
      </x:c>
      <x:c r="B124" s="9" t="str">
        <x:v>일반</x:v>
      </x:c>
      <x:c r="C124" s="6" t="n">
        <x:v>6</x:v>
      </x:c>
      <x:c r="D124" s="6" t="n">
        <x:v>3703</x:v>
      </x:c>
      <x:c r="E124" s="6" t="n">
        <x:v>38</x:v>
      </x:c>
      <x:c r="F124" s="6" t="n">
        <x:f>C124*D124</x:f>
        <x:v>22218</x:v>
      </x:c>
      <x:c r="G124" s="6" t="n">
        <x:f>ROUND(F124*$M$4,0)</x:f>
        <x:v>2222</x:v>
      </x:c>
      <x:c r="H124" s="6" t="n">
        <x:f>F124+G124</x:f>
        <x:v>24440</x:v>
      </x:c>
      <x:c r="I124" s="6" t="n">
        <x:f>H124-E124</x:f>
        <x:v>24402</x:v>
      </x:c>
      <x:c r="J124" s="6" t="n">
        <x:f>IFERROR(I124/C124,0)</x:f>
        <x:v>4067</x:v>
      </x:c>
      <x:c r="K124" s="2"/>
      <x:c r="L124" s="2"/>
      <x:c r="M124" s="2"/>
    </x:row>
    <x:row r="125" ht="22" customHeight="1">
      <x:c r="A125" s="9" t="str">
        <x:v>TXN-3-0118</x:v>
      </x:c>
      <x:c r="B125" s="9" t="str">
        <x:v>일반</x:v>
      </x:c>
      <x:c r="C125" s="6" t="n">
        <x:v>7</x:v>
      </x:c>
      <x:c r="D125" s="6" t="n">
        <x:v>3726</x:v>
      </x:c>
      <x:c r="E125" s="6" t="n">
        <x:v>57</x:v>
      </x:c>
      <x:c r="F125" s="6" t="n">
        <x:f>C125*D125</x:f>
        <x:v>26082</x:v>
      </x:c>
      <x:c r="G125" s="6" t="n">
        <x:f>ROUND(F125*$M$4,0)</x:f>
        <x:v>2608</x:v>
      </x:c>
      <x:c r="H125" s="6" t="n">
        <x:f>F125+G125</x:f>
        <x:v>28690</x:v>
      </x:c>
      <x:c r="I125" s="6" t="n">
        <x:f>H125-E125</x:f>
        <x:v>28633</x:v>
      </x:c>
      <x:c r="J125" s="6" t="n">
        <x:f>IFERROR(I125/C125,0)</x:f>
        <x:v>4090.4285714285716</x:v>
      </x:c>
      <x:c r="K125" s="2"/>
      <x:c r="L125" s="2"/>
      <x:c r="M125" s="2"/>
    </x:row>
    <x:row r="126" ht="22" customHeight="1">
      <x:c r="A126" s="9" t="str">
        <x:v>TXN-3-0119</x:v>
      </x:c>
      <x:c r="B126" s="9" t="str">
        <x:v>일반</x:v>
      </x:c>
      <x:c r="C126" s="6" t="n">
        <x:v>1</x:v>
      </x:c>
      <x:c r="D126" s="6" t="n">
        <x:v>3749</x:v>
      </x:c>
      <x:c r="E126" s="6" t="n">
        <x:v>76</x:v>
      </x:c>
      <x:c r="F126" s="6" t="n">
        <x:f>C126*D126</x:f>
        <x:v>3749</x:v>
      </x:c>
      <x:c r="G126" s="6" t="n">
        <x:f>ROUND(F126*$M$4,0)</x:f>
        <x:v>375</x:v>
      </x:c>
      <x:c r="H126" s="6" t="n">
        <x:f>F126+G126</x:f>
        <x:v>4124</x:v>
      </x:c>
      <x:c r="I126" s="6" t="n">
        <x:f>H126-E126</x:f>
        <x:v>4048</x:v>
      </x:c>
      <x:c r="J126" s="6" t="n">
        <x:f>IFERROR(I126/C126,0)</x:f>
        <x:v>4048</x:v>
      </x:c>
      <x:c r="K126" s="2"/>
      <x:c r="L126" s="2"/>
      <x:c r="M126" s="2"/>
    </x:row>
    <x:row r="127" ht="22" customHeight="1">
      <x:c r="A127" s="9" t="str">
        <x:v>TXN-3-0120</x:v>
      </x:c>
      <x:c r="B127" s="9" t="str">
        <x:v>일반</x:v>
      </x:c>
      <x:c r="C127" s="6" t="n">
        <x:v>2</x:v>
      </x:c>
      <x:c r="D127" s="6" t="n">
        <x:v>3772</x:v>
      </x:c>
      <x:c r="E127" s="6" t="n">
        <x:v>0</x:v>
      </x:c>
      <x:c r="F127" s="6" t="n">
        <x:f>C127*D127</x:f>
        <x:v>7544</x:v>
      </x:c>
      <x:c r="G127" s="6" t="n">
        <x:f>ROUND(F127*$M$4,0)</x:f>
        <x:v>754</x:v>
      </x:c>
      <x:c r="H127" s="6" t="n">
        <x:f>F127+G127</x:f>
        <x:v>8298</x:v>
      </x:c>
      <x:c r="I127" s="6" t="n">
        <x:f>H127-E127</x:f>
        <x:v>8298</x:v>
      </x:c>
      <x:c r="J127" s="6" t="n">
        <x:f>IFERROR(I127/C127,0)</x:f>
        <x:v>4149</x:v>
      </x:c>
      <x:c r="K127" s="2"/>
      <x:c r="L127" s="2"/>
      <x:c r="M127" s="2"/>
    </x:row>
    <x:row r="128" ht="22" customHeight="1">
      <x:c r="A128" s="9" t="str">
        <x:v>TXN-3-0121</x:v>
      </x:c>
      <x:c r="B128" s="9" t="str">
        <x:v>일반</x:v>
      </x:c>
      <x:c r="C128" s="6" t="n">
        <x:v>3</x:v>
      </x:c>
      <x:c r="D128" s="6" t="n">
        <x:v>3795</x:v>
      </x:c>
      <x:c r="E128" s="6" t="n">
        <x:v>19</x:v>
      </x:c>
      <x:c r="F128" s="6" t="n">
        <x:f>C128*D128</x:f>
        <x:v>11385</x:v>
      </x:c>
      <x:c r="G128" s="6" t="n">
        <x:f>ROUND(F128*$M$4,0)</x:f>
        <x:v>1139</x:v>
      </x:c>
      <x:c r="H128" s="6" t="n">
        <x:f>F128+G128</x:f>
        <x:v>12524</x:v>
      </x:c>
      <x:c r="I128" s="6" t="n">
        <x:f>H128-E128</x:f>
        <x:v>12505</x:v>
      </x:c>
      <x:c r="J128" s="6" t="n">
        <x:f>IFERROR(I128/C128,0)</x:f>
        <x:v>4168.333333333333</x:v>
      </x:c>
      <x:c r="K128" s="2"/>
      <x:c r="L128" s="2"/>
      <x:c r="M128" s="2"/>
    </x:row>
    <x:row r="129" ht="22" customHeight="1">
      <x:c r="A129" s="9" t="str">
        <x:v>TXN-3-0122</x:v>
      </x:c>
      <x:c r="B129" s="9" t="str">
        <x:v>일반</x:v>
      </x:c>
      <x:c r="C129" s="6" t="n">
        <x:v>4</x:v>
      </x:c>
      <x:c r="D129" s="6" t="n">
        <x:v>3818</x:v>
      </x:c>
      <x:c r="E129" s="6" t="n">
        <x:v>38</x:v>
      </x:c>
      <x:c r="F129" s="6" t="n">
        <x:f>C129*D129</x:f>
        <x:v>15272</x:v>
      </x:c>
      <x:c r="G129" s="6" t="n">
        <x:f>ROUND(F129*$M$4,0)</x:f>
        <x:v>1527</x:v>
      </x:c>
      <x:c r="H129" s="6" t="n">
        <x:f>F129+G129</x:f>
        <x:v>16799</x:v>
      </x:c>
      <x:c r="I129" s="6" t="n">
        <x:f>H129-E129</x:f>
        <x:v>16761</x:v>
      </x:c>
      <x:c r="J129" s="6" t="n">
        <x:f>IFERROR(I129/C129,0)</x:f>
        <x:v>4190.25</x:v>
      </x:c>
      <x:c r="K129" s="2"/>
      <x:c r="L129" s="2"/>
      <x:c r="M129" s="2"/>
    </x:row>
    <x:row r="130" ht="22" customHeight="1">
      <x:c r="A130" s="9" t="str">
        <x:v>TXN-3-0123</x:v>
      </x:c>
      <x:c r="B130" s="9" t="str">
        <x:v>일반</x:v>
      </x:c>
      <x:c r="C130" s="6" t="n">
        <x:v>5</x:v>
      </x:c>
      <x:c r="D130" s="6" t="n">
        <x:v>3841</x:v>
      </x:c>
      <x:c r="E130" s="6" t="n">
        <x:v>57</x:v>
      </x:c>
      <x:c r="F130" s="6" t="n">
        <x:f>C130*D130</x:f>
        <x:v>19205</x:v>
      </x:c>
      <x:c r="G130" s="6" t="n">
        <x:f>ROUND(F130*$M$4,0)</x:f>
        <x:v>1921</x:v>
      </x:c>
      <x:c r="H130" s="6" t="n">
        <x:f>F130+G130</x:f>
        <x:v>21126</x:v>
      </x:c>
      <x:c r="I130" s="6" t="n">
        <x:f>H130-E130</x:f>
        <x:v>21069</x:v>
      </x:c>
      <x:c r="J130" s="6" t="n">
        <x:f>IFERROR(I130/C130,0)</x:f>
        <x:v>4213.8</x:v>
      </x:c>
      <x:c r="K130" s="2"/>
      <x:c r="L130" s="2"/>
      <x:c r="M130" s="2"/>
    </x:row>
    <x:row r="131" ht="22" customHeight="1">
      <x:c r="A131" s="9" t="str">
        <x:v>TXN-3-0124</x:v>
      </x:c>
      <x:c r="B131" s="9" t="str">
        <x:v>일반</x:v>
      </x:c>
      <x:c r="C131" s="6" t="n">
        <x:v>6</x:v>
      </x:c>
      <x:c r="D131" s="6" t="n">
        <x:v>3864</x:v>
      </x:c>
      <x:c r="E131" s="6" t="n">
        <x:v>76</x:v>
      </x:c>
      <x:c r="F131" s="6" t="n">
        <x:f>C131*D131</x:f>
        <x:v>23184</x:v>
      </x:c>
      <x:c r="G131" s="6" t="n">
        <x:f>ROUND(F131*$M$4,0)</x:f>
        <x:v>2318</x:v>
      </x:c>
      <x:c r="H131" s="6" t="n">
        <x:f>F131+G131</x:f>
        <x:v>25502</x:v>
      </x:c>
      <x:c r="I131" s="6" t="n">
        <x:f>H131-E131</x:f>
        <x:v>25426</x:v>
      </x:c>
      <x:c r="J131" s="6" t="n">
        <x:f>IFERROR(I131/C131,0)</x:f>
        <x:v>4237.666666666667</x:v>
      </x:c>
      <x:c r="K131" s="2"/>
      <x:c r="L131" s="2"/>
      <x:c r="M131" s="2"/>
    </x:row>
    <x:row r="132" ht="22" customHeight="1">
      <x:c r="A132" s="9" t="str">
        <x:v>TXN-3-0125</x:v>
      </x:c>
      <x:c r="B132" s="9" t="str">
        <x:v>일반</x:v>
      </x:c>
      <x:c r="C132" s="6" t="n">
        <x:v>7</x:v>
      </x:c>
      <x:c r="D132" s="6" t="n">
        <x:v>3887</x:v>
      </x:c>
      <x:c r="E132" s="6" t="n">
        <x:v>0</x:v>
      </x:c>
      <x:c r="F132" s="6" t="n">
        <x:f>C132*D132</x:f>
        <x:v>27209</x:v>
      </x:c>
      <x:c r="G132" s="6" t="n">
        <x:f>ROUND(F132*$M$4,0)</x:f>
        <x:v>2721</x:v>
      </x:c>
      <x:c r="H132" s="6" t="n">
        <x:f>F132+G132</x:f>
        <x:v>29930</x:v>
      </x:c>
      <x:c r="I132" s="6" t="n">
        <x:f>H132-E132</x:f>
        <x:v>29930</x:v>
      </x:c>
      <x:c r="J132" s="6" t="n">
        <x:f>IFERROR(I132/C132,0)</x:f>
        <x:v>4275.714285714285</x:v>
      </x:c>
      <x:c r="K132" s="2"/>
      <x:c r="L132" s="2"/>
      <x:c r="M132" s="2"/>
    </x:row>
    <x:row r="133" ht="22" customHeight="1">
      <x:c r="A133" s="9" t="str">
        <x:v>TXN-3-0126</x:v>
      </x:c>
      <x:c r="B133" s="9" t="str">
        <x:v>일반</x:v>
      </x:c>
      <x:c r="C133" s="6" t="n">
        <x:v>1</x:v>
      </x:c>
      <x:c r="D133" s="6" t="n">
        <x:v>3910</x:v>
      </x:c>
      <x:c r="E133" s="6" t="n">
        <x:v>19</x:v>
      </x:c>
      <x:c r="F133" s="6" t="n">
        <x:f>C133*D133</x:f>
        <x:v>3910</x:v>
      </x:c>
      <x:c r="G133" s="6" t="n">
        <x:f>ROUND(F133*$M$4,0)</x:f>
        <x:v>391</x:v>
      </x:c>
      <x:c r="H133" s="6" t="n">
        <x:f>F133+G133</x:f>
        <x:v>4301</x:v>
      </x:c>
      <x:c r="I133" s="6" t="n">
        <x:f>H133-E133</x:f>
        <x:v>4282</x:v>
      </x:c>
      <x:c r="J133" s="6" t="n">
        <x:f>IFERROR(I133/C133,0)</x:f>
        <x:v>4282</x:v>
      </x:c>
      <x:c r="K133" s="2"/>
      <x:c r="L133" s="2"/>
      <x:c r="M133" s="2"/>
    </x:row>
    <x:row r="134" ht="22" customHeight="1">
      <x:c r="A134" s="9" t="str">
        <x:v>TXN-3-0127</x:v>
      </x:c>
      <x:c r="B134" s="9" t="str">
        <x:v>일반</x:v>
      </x:c>
      <x:c r="C134" s="6" t="n">
        <x:v>2</x:v>
      </x:c>
      <x:c r="D134" s="6" t="n">
        <x:v>3933</x:v>
      </x:c>
      <x:c r="E134" s="6" t="n">
        <x:v>38</x:v>
      </x:c>
      <x:c r="F134" s="6" t="n">
        <x:f>C134*D134</x:f>
        <x:v>7866</x:v>
      </x:c>
      <x:c r="G134" s="6" t="n">
        <x:f>ROUND(F134*$M$4,0)</x:f>
        <x:v>787</x:v>
      </x:c>
      <x:c r="H134" s="6" t="n">
        <x:f>F134+G134</x:f>
        <x:v>8653</x:v>
      </x:c>
      <x:c r="I134" s="6" t="n">
        <x:f>H134-E134</x:f>
        <x:v>8615</x:v>
      </x:c>
      <x:c r="J134" s="6" t="n">
        <x:f>IFERROR(I134/C134,0)</x:f>
        <x:v>4307.5</x:v>
      </x:c>
      <x:c r="K134" s="2"/>
      <x:c r="L134" s="2"/>
      <x:c r="M134" s="2"/>
    </x:row>
    <x:row r="135" ht="22" customHeight="1">
      <x:c r="A135" s="9" t="str">
        <x:v>TXN-3-0128</x:v>
      </x:c>
      <x:c r="B135" s="9" t="str">
        <x:v>일반</x:v>
      </x:c>
      <x:c r="C135" s="6" t="n">
        <x:v>3</x:v>
      </x:c>
      <x:c r="D135" s="6" t="n">
        <x:v>3956</x:v>
      </x:c>
      <x:c r="E135" s="6" t="n">
        <x:v>57</x:v>
      </x:c>
      <x:c r="F135" s="6" t="n">
        <x:f>C135*D135</x:f>
        <x:v>11868</x:v>
      </x:c>
      <x:c r="G135" s="6" t="n">
        <x:f>ROUND(F135*$M$4,0)</x:f>
        <x:v>1187</x:v>
      </x:c>
      <x:c r="H135" s="6" t="n">
        <x:f>F135+G135</x:f>
        <x:v>13055</x:v>
      </x:c>
      <x:c r="I135" s="6" t="n">
        <x:f>H135-E135</x:f>
        <x:v>12998</x:v>
      </x:c>
      <x:c r="J135" s="6" t="n">
        <x:f>IFERROR(I135/C135,0)</x:f>
        <x:v>4332.666666666667</x:v>
      </x:c>
      <x:c r="K135" s="2"/>
      <x:c r="L135" s="2"/>
      <x:c r="M135" s="2"/>
    </x:row>
    <x:row r="136" ht="22" customHeight="1">
      <x:c r="A136" s="9" t="str">
        <x:v>TXN-3-0129</x:v>
      </x:c>
      <x:c r="B136" s="9" t="str">
        <x:v>일반</x:v>
      </x:c>
      <x:c r="C136" s="6" t="n">
        <x:v>4</x:v>
      </x:c>
      <x:c r="D136" s="6" t="n">
        <x:v>3979</x:v>
      </x:c>
      <x:c r="E136" s="6" t="n">
        <x:v>76</x:v>
      </x:c>
      <x:c r="F136" s="6" t="n">
        <x:f>C136*D136</x:f>
        <x:v>15916</x:v>
      </x:c>
      <x:c r="G136" s="6" t="n">
        <x:f>ROUND(F136*$M$4,0)</x:f>
        <x:v>1592</x:v>
      </x:c>
      <x:c r="H136" s="6" t="n">
        <x:f>F136+G136</x:f>
        <x:v>17508</x:v>
      </x:c>
      <x:c r="I136" s="6" t="n">
        <x:f>H136-E136</x:f>
        <x:v>17432</x:v>
      </x:c>
      <x:c r="J136" s="6" t="n">
        <x:f>IFERROR(I136/C136,0)</x:f>
        <x:v>4358</x:v>
      </x:c>
      <x:c r="K136" s="2"/>
      <x:c r="L136" s="2"/>
      <x:c r="M136" s="2"/>
    </x:row>
    <x:row r="137" ht="22" customHeight="1">
      <x:c r="A137" s="9" t="str">
        <x:v>TXN-3-0130</x:v>
      </x:c>
      <x:c r="B137" s="9" t="str">
        <x:v>일반</x:v>
      </x:c>
      <x:c r="C137" s="6" t="n">
        <x:v>5</x:v>
      </x:c>
      <x:c r="D137" s="6" t="n">
        <x:v>4002</x:v>
      </x:c>
      <x:c r="E137" s="6" t="n">
        <x:v>0</x:v>
      </x:c>
      <x:c r="F137" s="6" t="n">
        <x:f>C137*D137</x:f>
        <x:v>20010</x:v>
      </x:c>
      <x:c r="G137" s="6" t="n">
        <x:f>ROUND(F137*$M$4,0)</x:f>
        <x:v>2001</x:v>
      </x:c>
      <x:c r="H137" s="6" t="n">
        <x:f>F137+G137</x:f>
        <x:v>22011</x:v>
      </x:c>
      <x:c r="I137" s="6" t="n">
        <x:f>H137-E137</x:f>
        <x:v>22011</x:v>
      </x:c>
      <x:c r="J137" s="6" t="n">
        <x:f>IFERROR(I137/C137,0)</x:f>
        <x:v>4402.2</x:v>
      </x:c>
      <x:c r="K137" s="2"/>
      <x:c r="L137" s="2"/>
      <x:c r="M137" s="2"/>
    </x:row>
    <x:row r="138" ht="22" customHeight="1">
      <x:c r="A138" s="9" t="str">
        <x:v>TXN-3-0131</x:v>
      </x:c>
      <x:c r="B138" s="9" t="str">
        <x:v>일반</x:v>
      </x:c>
      <x:c r="C138" s="6" t="n">
        <x:v>6</x:v>
      </x:c>
      <x:c r="D138" s="6" t="n">
        <x:v>4025</x:v>
      </x:c>
      <x:c r="E138" s="6" t="n">
        <x:v>19</x:v>
      </x:c>
      <x:c r="F138" s="6" t="n">
        <x:f>C138*D138</x:f>
        <x:v>24150</x:v>
      </x:c>
      <x:c r="G138" s="6" t="n">
        <x:f>ROUND(F138*$M$4,0)</x:f>
        <x:v>2415</x:v>
      </x:c>
      <x:c r="H138" s="6" t="n">
        <x:f>F138+G138</x:f>
        <x:v>26565</x:v>
      </x:c>
      <x:c r="I138" s="6" t="n">
        <x:f>H138-E138</x:f>
        <x:v>26546</x:v>
      </x:c>
      <x:c r="J138" s="6" t="n">
        <x:f>IFERROR(I138/C138,0)</x:f>
        <x:v>4424.333333333333</x:v>
      </x:c>
      <x:c r="K138" s="2"/>
      <x:c r="L138" s="2"/>
      <x:c r="M138" s="2"/>
    </x:row>
    <x:row r="139" ht="22" customHeight="1">
      <x:c r="A139" s="9" t="str">
        <x:v>TXN-3-0132</x:v>
      </x:c>
      <x:c r="B139" s="9" t="str">
        <x:v>일반</x:v>
      </x:c>
      <x:c r="C139" s="6" t="n">
        <x:v>7</x:v>
      </x:c>
      <x:c r="D139" s="6" t="n">
        <x:v>4048</x:v>
      </x:c>
      <x:c r="E139" s="6" t="n">
        <x:v>38</x:v>
      </x:c>
      <x:c r="F139" s="6" t="n">
        <x:f>C139*D139</x:f>
        <x:v>28336</x:v>
      </x:c>
      <x:c r="G139" s="6" t="n">
        <x:f>ROUND(F139*$M$4,0)</x:f>
        <x:v>2834</x:v>
      </x:c>
      <x:c r="H139" s="6" t="n">
        <x:f>F139+G139</x:f>
        <x:v>31170</x:v>
      </x:c>
      <x:c r="I139" s="6" t="n">
        <x:f>H139-E139</x:f>
        <x:v>31132</x:v>
      </x:c>
      <x:c r="J139" s="6" t="n">
        <x:f>IFERROR(I139/C139,0)</x:f>
        <x:v>4447.428571428572</x:v>
      </x:c>
      <x:c r="K139" s="2"/>
      <x:c r="L139" s="2"/>
      <x:c r="M139" s="2"/>
    </x:row>
    <x:row r="140" ht="22" customHeight="1">
      <x:c r="A140" s="9" t="str">
        <x:v>TXN-3-0133</x:v>
      </x:c>
      <x:c r="B140" s="9" t="str">
        <x:v>일반</x:v>
      </x:c>
      <x:c r="C140" s="6" t="n">
        <x:v>1</x:v>
      </x:c>
      <x:c r="D140" s="6" t="n">
        <x:v>4071</x:v>
      </x:c>
      <x:c r="E140" s="6" t="n">
        <x:v>57</x:v>
      </x:c>
      <x:c r="F140" s="6" t="n">
        <x:f>C140*D140</x:f>
        <x:v>4071</x:v>
      </x:c>
      <x:c r="G140" s="6" t="n">
        <x:f>ROUND(F140*$M$4,0)</x:f>
        <x:v>407</x:v>
      </x:c>
      <x:c r="H140" s="6" t="n">
        <x:f>F140+G140</x:f>
        <x:v>4478</x:v>
      </x:c>
      <x:c r="I140" s="6" t="n">
        <x:f>H140-E140</x:f>
        <x:v>4421</x:v>
      </x:c>
      <x:c r="J140" s="6" t="n">
        <x:f>IFERROR(I140/C140,0)</x:f>
        <x:v>4421</x:v>
      </x:c>
      <x:c r="K140" s="2"/>
      <x:c r="L140" s="2"/>
      <x:c r="M140" s="2"/>
    </x:row>
    <x:row r="141" ht="22" customHeight="1">
      <x:c r="A141" s="9" t="str">
        <x:v>TXN-3-0134</x:v>
      </x:c>
      <x:c r="B141" s="9" t="str">
        <x:v>일반</x:v>
      </x:c>
      <x:c r="C141" s="6" t="n">
        <x:v>2</x:v>
      </x:c>
      <x:c r="D141" s="6" t="n">
        <x:v>4094</x:v>
      </x:c>
      <x:c r="E141" s="6" t="n">
        <x:v>76</x:v>
      </x:c>
      <x:c r="F141" s="6" t="n">
        <x:f>C141*D141</x:f>
        <x:v>8188</x:v>
      </x:c>
      <x:c r="G141" s="6" t="n">
        <x:f>ROUND(F141*$M$4,0)</x:f>
        <x:v>819</x:v>
      </x:c>
      <x:c r="H141" s="6" t="n">
        <x:f>F141+G141</x:f>
        <x:v>9007</x:v>
      </x:c>
      <x:c r="I141" s="6" t="n">
        <x:f>H141-E141</x:f>
        <x:v>8931</x:v>
      </x:c>
      <x:c r="J141" s="6" t="n">
        <x:f>IFERROR(I141/C141,0)</x:f>
        <x:v>4465.5</x:v>
      </x:c>
      <x:c r="K141" s="2"/>
      <x:c r="L141" s="2"/>
      <x:c r="M141" s="2"/>
    </x:row>
    <x:row r="142" ht="22" customHeight="1">
      <x:c r="A142" s="9" t="str">
        <x:v>TXN-3-0135</x:v>
      </x:c>
      <x:c r="B142" s="9" t="str">
        <x:v>일반</x:v>
      </x:c>
      <x:c r="C142" s="6" t="n">
        <x:v>3</x:v>
      </x:c>
      <x:c r="D142" s="6" t="n">
        <x:v>4117</x:v>
      </x:c>
      <x:c r="E142" s="6" t="n">
        <x:v>0</x:v>
      </x:c>
      <x:c r="F142" s="6" t="n">
        <x:f>C142*D142</x:f>
        <x:v>12351</x:v>
      </x:c>
      <x:c r="G142" s="6" t="n">
        <x:f>ROUND(F142*$M$4,0)</x:f>
        <x:v>1235</x:v>
      </x:c>
      <x:c r="H142" s="6" t="n">
        <x:f>F142+G142</x:f>
        <x:v>13586</x:v>
      </x:c>
      <x:c r="I142" s="6" t="n">
        <x:f>H142-E142</x:f>
        <x:v>13586</x:v>
      </x:c>
      <x:c r="J142" s="6" t="n">
        <x:f>IFERROR(I142/C142,0)</x:f>
        <x:v>4528.666666666667</x:v>
      </x:c>
      <x:c r="K142" s="2"/>
      <x:c r="L142" s="2"/>
      <x:c r="M142" s="2"/>
    </x:row>
    <x:row r="143" ht="22" customHeight="1">
      <x:c r="A143" s="9" t="str">
        <x:v>TXN-3-0136</x:v>
      </x:c>
      <x:c r="B143" s="9" t="str">
        <x:v>일반</x:v>
      </x:c>
      <x:c r="C143" s="6" t="n">
        <x:v>4</x:v>
      </x:c>
      <x:c r="D143" s="6" t="n">
        <x:v>4140</x:v>
      </x:c>
      <x:c r="E143" s="6" t="n">
        <x:v>19</x:v>
      </x:c>
      <x:c r="F143" s="6" t="n">
        <x:f>C143*D143</x:f>
        <x:v>16560</x:v>
      </x:c>
      <x:c r="G143" s="6" t="n">
        <x:f>ROUND(F143*$M$4,0)</x:f>
        <x:v>1656</x:v>
      </x:c>
      <x:c r="H143" s="6" t="n">
        <x:f>F143+G143</x:f>
        <x:v>18216</x:v>
      </x:c>
      <x:c r="I143" s="6" t="n">
        <x:f>H143-E143</x:f>
        <x:v>18197</x:v>
      </x:c>
      <x:c r="J143" s="6" t="n">
        <x:f>IFERROR(I143/C143,0)</x:f>
        <x:v>4549.25</x:v>
      </x:c>
      <x:c r="K143" s="2"/>
      <x:c r="L143" s="2"/>
      <x:c r="M143" s="2"/>
    </x:row>
    <x:row r="144" ht="22" customHeight="1">
      <x:c r="A144" s="9" t="str">
        <x:v>TXN-3-0137</x:v>
      </x:c>
      <x:c r="B144" s="9" t="str">
        <x:v>일반</x:v>
      </x:c>
      <x:c r="C144" s="6" t="n">
        <x:v>5</x:v>
      </x:c>
      <x:c r="D144" s="6" t="n">
        <x:v>4163</x:v>
      </x:c>
      <x:c r="E144" s="6" t="n">
        <x:v>38</x:v>
      </x:c>
      <x:c r="F144" s="6" t="n">
        <x:f>C144*D144</x:f>
        <x:v>20815</x:v>
      </x:c>
      <x:c r="G144" s="6" t="n">
        <x:f>ROUND(F144*$M$4,0)</x:f>
        <x:v>2082</x:v>
      </x:c>
      <x:c r="H144" s="6" t="n">
        <x:f>F144+G144</x:f>
        <x:v>22897</x:v>
      </x:c>
      <x:c r="I144" s="6" t="n">
        <x:f>H144-E144</x:f>
        <x:v>22859</x:v>
      </x:c>
      <x:c r="J144" s="6" t="n">
        <x:f>IFERROR(I144/C144,0)</x:f>
        <x:v>4571.8</x:v>
      </x:c>
      <x:c r="K144" s="2"/>
      <x:c r="L144" s="2"/>
      <x:c r="M144" s="2"/>
    </x:row>
    <x:row r="145" ht="22" customHeight="1">
      <x:c r="A145" s="9" t="str">
        <x:v>TXN-3-0138</x:v>
      </x:c>
      <x:c r="B145" s="9" t="str">
        <x:v>일반</x:v>
      </x:c>
      <x:c r="C145" s="6" t="n">
        <x:v>6</x:v>
      </x:c>
      <x:c r="D145" s="6" t="n">
        <x:v>4186</x:v>
      </x:c>
      <x:c r="E145" s="6" t="n">
        <x:v>57</x:v>
      </x:c>
      <x:c r="F145" s="6" t="n">
        <x:f>C145*D145</x:f>
        <x:v>25116</x:v>
      </x:c>
      <x:c r="G145" s="6" t="n">
        <x:f>ROUND(F145*$M$4,0)</x:f>
        <x:v>2512</x:v>
      </x:c>
      <x:c r="H145" s="6" t="n">
        <x:f>F145+G145</x:f>
        <x:v>27628</x:v>
      </x:c>
      <x:c r="I145" s="6"/>
      <x:c r="J145" s="6" t="n">
        <x:f>IFERROR(I145/C145,0)</x:f>
        <x:v>0</x:v>
      </x:c>
      <x:c r="K145" s="2"/>
      <x:c r="L145" s="2"/>
      <x:c r="M145" s="2"/>
    </x:row>
    <x:row r="146" ht="22" customHeight="1">
      <x:c r="A146" s="9" t="str">
        <x:v>TXN-3-0139</x:v>
      </x:c>
      <x:c r="B146" s="9" t="str">
        <x:v>일반</x:v>
      </x:c>
      <x:c r="C146" s="6" t="n">
        <x:v>7</x:v>
      </x:c>
      <x:c r="D146" s="6" t="n">
        <x:v>4209</x:v>
      </x:c>
      <x:c r="E146" s="6" t="n">
        <x:v>76</x:v>
      </x:c>
      <x:c r="F146" s="6" t="n">
        <x:f>C146*D146</x:f>
        <x:v>29463</x:v>
      </x:c>
      <x:c r="G146" s="6" t="n">
        <x:f>ROUND(F146*$M$4,0)</x:f>
        <x:v>2946</x:v>
      </x:c>
      <x:c r="H146" s="6" t="n">
        <x:f>F146+G146</x:f>
        <x:v>32409</x:v>
      </x:c>
      <x:c r="I146" s="6" t="n">
        <x:f>H146-E146</x:f>
        <x:v>32333</x:v>
      </x:c>
      <x:c r="J146" s="6" t="n">
        <x:f>IFERROR(I146/C146,0)</x:f>
        <x:v>4619</x:v>
      </x:c>
      <x:c r="K146" s="2"/>
      <x:c r="L146" s="2"/>
      <x:c r="M146" s="2"/>
    </x:row>
    <x:row r="147" ht="22" customHeight="1">
      <x:c r="A147" s="9" t="str">
        <x:v>TXN-3-0140</x:v>
      </x:c>
      <x:c r="B147" s="9" t="str">
        <x:v>일반</x:v>
      </x:c>
      <x:c r="C147" s="6" t="n">
        <x:v>1</x:v>
      </x:c>
      <x:c r="D147" s="6" t="n">
        <x:v>4232</x:v>
      </x:c>
      <x:c r="E147" s="6" t="n">
        <x:v>0</x:v>
      </x:c>
      <x:c r="F147" s="6" t="n">
        <x:f>C147*D147</x:f>
        <x:v>4232</x:v>
      </x:c>
      <x:c r="G147" s="6" t="n">
        <x:f>ROUND(F147*$M$4,0)</x:f>
        <x:v>423</x:v>
      </x:c>
      <x:c r="H147" s="6" t="n">
        <x:f>F147+G147</x:f>
        <x:v>4655</x:v>
      </x:c>
      <x:c r="I147" s="6" t="n">
        <x:f>H147-E147</x:f>
        <x:v>4655</x:v>
      </x:c>
      <x:c r="J147" s="6" t="n">
        <x:f>IFERROR(I147/C147,0)</x:f>
        <x:v>4655</x:v>
      </x:c>
      <x:c r="K147" s="2"/>
      <x:c r="L147" s="2"/>
      <x:c r="M147" s="2"/>
    </x:row>
    <x:row r="148" ht="22" customHeight="1">
      <x:c r="A148" s="9" t="str">
        <x:v>TXN-3-0141</x:v>
      </x:c>
      <x:c r="B148" s="9" t="str">
        <x:v>일반</x:v>
      </x:c>
      <x:c r="C148" s="6" t="n">
        <x:v>2</x:v>
      </x:c>
      <x:c r="D148" s="6" t="n">
        <x:v>4255</x:v>
      </x:c>
      <x:c r="E148" s="6" t="n">
        <x:v>19</x:v>
      </x:c>
      <x:c r="F148" s="6" t="n">
        <x:f>C148*D148</x:f>
        <x:v>8510</x:v>
      </x:c>
      <x:c r="G148" s="6" t="n">
        <x:f>ROUND(F148*$M$4,0)</x:f>
        <x:v>851</x:v>
      </x:c>
      <x:c r="H148" s="6" t="n">
        <x:f>F148+G148</x:f>
        <x:v>9361</x:v>
      </x:c>
      <x:c r="I148" s="6" t="n">
        <x:f>H148-E148</x:f>
        <x:v>9342</x:v>
      </x:c>
      <x:c r="J148" s="6" t="n">
        <x:f>IFERROR(I148/C148,0)</x:f>
        <x:v>4671</x:v>
      </x:c>
      <x:c r="K148" s="2"/>
      <x:c r="L148" s="2"/>
      <x:c r="M148" s="2"/>
    </x:row>
    <x:row r="149" ht="22" customHeight="1">
      <x:c r="A149" s="9" t="str">
        <x:v>TXN-3-0142</x:v>
      </x:c>
      <x:c r="B149" s="9" t="str">
        <x:v>일반</x:v>
      </x:c>
      <x:c r="C149" s="6" t="n">
        <x:v>3</x:v>
      </x:c>
      <x:c r="D149" s="6" t="n">
        <x:v>4278</x:v>
      </x:c>
      <x:c r="E149" s="6" t="n">
        <x:v>38</x:v>
      </x:c>
      <x:c r="F149" s="6" t="n">
        <x:f>C149*D149</x:f>
        <x:v>12834</x:v>
      </x:c>
      <x:c r="G149" s="6" t="n">
        <x:f>ROUND(F149*$M$4,0)</x:f>
        <x:v>1283</x:v>
      </x:c>
      <x:c r="H149" s="6" t="n">
        <x:f>F149+G149</x:f>
        <x:v>14117</x:v>
      </x:c>
      <x:c r="I149" s="6" t="n">
        <x:f>H149-E149</x:f>
        <x:v>14079</x:v>
      </x:c>
      <x:c r="J149" s="6" t="n">
        <x:f>IFERROR(I149/C149,0)</x:f>
        <x:v>4693</x:v>
      </x:c>
      <x:c r="K149" s="2"/>
      <x:c r="L149" s="2"/>
      <x:c r="M149" s="2"/>
    </x:row>
    <x:row r="150" ht="22" customHeight="1">
      <x:c r="A150" s="9" t="str">
        <x:v>TXN-3-0143</x:v>
      </x:c>
      <x:c r="B150" s="9" t="str">
        <x:v>일반</x:v>
      </x:c>
      <x:c r="C150" s="6" t="n">
        <x:v>4</x:v>
      </x:c>
      <x:c r="D150" s="6" t="n">
        <x:v>4301</x:v>
      </x:c>
      <x:c r="E150" s="6" t="n">
        <x:v>57</x:v>
      </x:c>
      <x:c r="F150" s="6" t="n">
        <x:f>C150*D150</x:f>
        <x:v>17204</x:v>
      </x:c>
      <x:c r="G150" s="6" t="n">
        <x:f>ROUND(F150*$M$4,0)</x:f>
        <x:v>1720</x:v>
      </x:c>
      <x:c r="H150" s="6" t="n">
        <x:f>F150+G150</x:f>
        <x:v>18924</x:v>
      </x:c>
      <x:c r="I150" s="6" t="n">
        <x:f>H150-E150</x:f>
        <x:v>18867</x:v>
      </x:c>
      <x:c r="J150" s="6" t="n">
        <x:f>IFERROR(I150/C150,0)</x:f>
        <x:v>4716.75</x:v>
      </x:c>
      <x:c r="K150" s="2"/>
      <x:c r="L150" s="2"/>
      <x:c r="M150" s="2"/>
    </x:row>
    <x:row r="151" ht="22" customHeight="1">
      <x:c r="A151" s="9" t="str">
        <x:v>TXN-3-0144</x:v>
      </x:c>
      <x:c r="B151" s="9" t="str">
        <x:v>일반</x:v>
      </x:c>
      <x:c r="C151" s="6" t="n">
        <x:v>5</x:v>
      </x:c>
      <x:c r="D151" s="6" t="n">
        <x:v>4324</x:v>
      </x:c>
      <x:c r="E151" s="6" t="n">
        <x:v>76</x:v>
      </x:c>
      <x:c r="F151" s="6" t="n">
        <x:f>C151*D151</x:f>
        <x:v>21620</x:v>
      </x:c>
      <x:c r="G151" s="6" t="n">
        <x:f>ROUND(F151*$M$4,0)</x:f>
        <x:v>2162</x:v>
      </x:c>
      <x:c r="H151" s="6" t="n">
        <x:f>F151+G151</x:f>
        <x:v>23782</x:v>
      </x:c>
      <x:c r="I151" s="6" t="n">
        <x:f>H151-E151</x:f>
        <x:v>23706</x:v>
      </x:c>
      <x:c r="J151" s="6" t="n">
        <x:f>IFERROR(I151/C151,0)</x:f>
        <x:v>4741.2</x:v>
      </x:c>
      <x:c r="K151" s="2"/>
      <x:c r="L151" s="2"/>
      <x:c r="M151" s="2"/>
    </x:row>
    <x:row r="152" ht="22" customHeight="1">
      <x:c r="A152" s="9" t="str">
        <x:v>TXN-3-0145</x:v>
      </x:c>
      <x:c r="B152" s="9" t="str">
        <x:v>일반</x:v>
      </x:c>
      <x:c r="C152" s="6" t="n">
        <x:v>6</x:v>
      </x:c>
      <x:c r="D152" s="6" t="n">
        <x:v>4347</x:v>
      </x:c>
      <x:c r="E152" s="6" t="n">
        <x:v>0</x:v>
      </x:c>
      <x:c r="F152" s="6" t="n">
        <x:f>C152*D152</x:f>
        <x:v>26082</x:v>
      </x:c>
      <x:c r="G152" s="6" t="n">
        <x:f>ROUND(F152*$M$4,0)</x:f>
        <x:v>2608</x:v>
      </x:c>
      <x:c r="H152" s="6" t="n">
        <x:f>F152+G152</x:f>
        <x:v>28690</x:v>
      </x:c>
      <x:c r="I152" s="6" t="n">
        <x:f>H152-E152</x:f>
        <x:v>28690</x:v>
      </x:c>
      <x:c r="J152" s="6" t="n">
        <x:f>IFERROR(I152/C152,0)</x:f>
        <x:v>4781.666666666667</x:v>
      </x:c>
      <x:c r="K152" s="2"/>
      <x:c r="L152" s="2"/>
      <x:c r="M152" s="2"/>
    </x:row>
    <x:row r="153" ht="22" customHeight="1">
      <x:c r="A153" s="9" t="str">
        <x:v>TXN-3-0146</x:v>
      </x:c>
      <x:c r="B153" s="9" t="str">
        <x:v>일반</x:v>
      </x:c>
      <x:c r="C153" s="6" t="n">
        <x:v>7</x:v>
      </x:c>
      <x:c r="D153" s="6" t="n">
        <x:v>4370</x:v>
      </x:c>
      <x:c r="E153" s="6" t="n">
        <x:v>19</x:v>
      </x:c>
      <x:c r="F153" s="6" t="n">
        <x:f>C153*D153</x:f>
        <x:v>30590</x:v>
      </x:c>
      <x:c r="G153" s="6" t="n">
        <x:f>ROUND(F153*$M$4,0)</x:f>
        <x:v>3059</x:v>
      </x:c>
      <x:c r="H153" s="6" t="n">
        <x:f>F153+G153</x:f>
        <x:v>33649</x:v>
      </x:c>
      <x:c r="I153" s="6" t="n">
        <x:f>H153-E153</x:f>
        <x:v>33630</x:v>
      </x:c>
      <x:c r="J153" s="6" t="n">
        <x:f>IFERROR(I153/C153,0)</x:f>
        <x:v>4804.285714285715</x:v>
      </x:c>
      <x:c r="K153" s="2"/>
      <x:c r="L153" s="2"/>
      <x:c r="M153" s="2"/>
    </x:row>
    <x:row r="154" ht="22" customHeight="1">
      <x:c r="A154" s="9" t="str">
        <x:v>TXN-3-0147</x:v>
      </x:c>
      <x:c r="B154" s="9" t="str">
        <x:v>일반</x:v>
      </x:c>
      <x:c r="C154" s="6" t="n">
        <x:v>1</x:v>
      </x:c>
      <x:c r="D154" s="6" t="n">
        <x:v>4393</x:v>
      </x:c>
      <x:c r="E154" s="6" t="n">
        <x:v>38</x:v>
      </x:c>
      <x:c r="F154" s="6" t="n">
        <x:f>C154*D154</x:f>
        <x:v>4393</x:v>
      </x:c>
      <x:c r="G154" s="6" t="n">
        <x:f>ROUND(F154*$M$4,0)</x:f>
        <x:v>439</x:v>
      </x:c>
      <x:c r="H154" s="6" t="n">
        <x:f>F154+G154</x:f>
        <x:v>4832</x:v>
      </x:c>
      <x:c r="I154" s="6" t="n">
        <x:f>H154-E154</x:f>
        <x:v>4794</x:v>
      </x:c>
      <x:c r="J154" s="6" t="n">
        <x:f>IFERROR(I154/C154,0)</x:f>
        <x:v>4794</x:v>
      </x:c>
      <x:c r="K154" s="2"/>
      <x:c r="L154" s="2"/>
      <x:c r="M154" s="2"/>
    </x:row>
    <x:row r="155" ht="22" customHeight="1">
      <x:c r="A155" s="9" t="str">
        <x:v>TXN-3-0148</x:v>
      </x:c>
      <x:c r="B155" s="9" t="str">
        <x:v>일반</x:v>
      </x:c>
      <x:c r="C155" s="6" t="n">
        <x:v>2</x:v>
      </x:c>
      <x:c r="D155" s="6" t="n">
        <x:v>4416</x:v>
      </x:c>
      <x:c r="E155" s="6" t="n">
        <x:v>57</x:v>
      </x:c>
      <x:c r="F155" s="6" t="n">
        <x:f>C155*D155</x:f>
        <x:v>8832</x:v>
      </x:c>
      <x:c r="G155" s="6" t="n">
        <x:f>ROUND(F155*$M$4,0)</x:f>
        <x:v>883</x:v>
      </x:c>
      <x:c r="H155" s="6" t="n">
        <x:f>F155+G155</x:f>
        <x:v>9715</x:v>
      </x:c>
      <x:c r="I155" s="6" t="n">
        <x:f>H155-E155</x:f>
        <x:v>9658</x:v>
      </x:c>
      <x:c r="J155" s="6" t="n">
        <x:f>IFERROR(I155/C155,0)</x:f>
        <x:v>4829</x:v>
      </x:c>
      <x:c r="K155" s="2"/>
      <x:c r="L155" s="2"/>
      <x:c r="M155" s="2"/>
    </x:row>
    <x:row r="156" ht="22" customHeight="1">
      <x:c r="A156" s="9" t="str">
        <x:v>TXN-3-0149</x:v>
      </x:c>
      <x:c r="B156" s="9" t="str">
        <x:v>일반</x:v>
      </x:c>
      <x:c r="C156" s="6" t="n">
        <x:v>3</x:v>
      </x:c>
      <x:c r="D156" s="6" t="n">
        <x:v>4439</x:v>
      </x:c>
      <x:c r="E156" s="6" t="n">
        <x:v>76</x:v>
      </x:c>
      <x:c r="F156" s="6" t="n">
        <x:f>C156*D156</x:f>
        <x:v>13317</x:v>
      </x:c>
      <x:c r="G156" s="6" t="n">
        <x:f>ROUND(F156*$M$4,0)</x:f>
        <x:v>1332</x:v>
      </x:c>
      <x:c r="H156" s="6" t="n">
        <x:f>F156+G156</x:f>
        <x:v>14649</x:v>
      </x:c>
      <x:c r="I156" s="6" t="n">
        <x:f>H156-E156</x:f>
        <x:v>14573</x:v>
      </x:c>
      <x:c r="J156" s="6" t="n">
        <x:f>IFERROR(I156/C156,0)</x:f>
        <x:v>4857.666666666667</x:v>
      </x:c>
      <x:c r="K156" s="2"/>
      <x:c r="L156" s="2"/>
      <x:c r="M156" s="2"/>
    </x:row>
    <x:row r="157" ht="22" customHeight="1">
      <x:c r="A157" s="9" t="str">
        <x:v>TXN-3-0150</x:v>
      </x:c>
      <x:c r="B157" s="9" t="str">
        <x:v>일반</x:v>
      </x:c>
      <x:c r="C157" s="6" t="n">
        <x:v>4</x:v>
      </x:c>
      <x:c r="D157" s="6" t="n">
        <x:v>4462</x:v>
      </x:c>
      <x:c r="E157" s="6" t="n">
        <x:v>0</x:v>
      </x:c>
      <x:c r="F157" s="6" t="n">
        <x:f>C157*D157</x:f>
        <x:v>17848</x:v>
      </x:c>
      <x:c r="G157" s="6" t="n">
        <x:f>ROUND(F157*$M$4,0)</x:f>
        <x:v>1785</x:v>
      </x:c>
      <x:c r="H157" s="6" t="n">
        <x:f>F157+G157</x:f>
        <x:v>19633</x:v>
      </x:c>
      <x:c r="I157" s="6" t="n">
        <x:f>H157-E157</x:f>
        <x:v>19633</x:v>
      </x:c>
      <x:c r="J157" s="6" t="n">
        <x:f>IFERROR(I157/C157,0)</x:f>
        <x:v>4908.25</x:v>
      </x:c>
      <x:c r="K157" s="2"/>
      <x:c r="L157" s="2"/>
      <x:c r="M157" s="2"/>
    </x:row>
    <x:row r="158" ht="22" customHeight="1">
      <x:c r="A158" s="9" t="str">
        <x:v>TXN-3-0151</x:v>
      </x:c>
      <x:c r="B158" s="9" t="str">
        <x:v>일반</x:v>
      </x:c>
      <x:c r="C158" s="6" t="n">
        <x:v>5</x:v>
      </x:c>
      <x:c r="D158" s="6" t="n">
        <x:v>4485</x:v>
      </x:c>
      <x:c r="E158" s="6" t="n">
        <x:v>19</x:v>
      </x:c>
      <x:c r="F158" s="6" t="n">
        <x:f>C158*D158</x:f>
        <x:v>22425</x:v>
      </x:c>
      <x:c r="G158" s="6" t="n">
        <x:f>ROUND(F158*$M$4,0)</x:f>
        <x:v>2243</x:v>
      </x:c>
      <x:c r="H158" s="6" t="n">
        <x:f>F158+G158</x:f>
        <x:v>24668</x:v>
      </x:c>
      <x:c r="I158" s="6" t="n">
        <x:f>H158-E158</x:f>
        <x:v>24649</x:v>
      </x:c>
      <x:c r="J158" s="6" t="n">
        <x:f>IFERROR(I158/C158,0)</x:f>
        <x:v>4929.8</x:v>
      </x:c>
      <x:c r="K158" s="2"/>
      <x:c r="L158" s="2"/>
      <x:c r="M158" s="2"/>
    </x:row>
    <x:row r="159" ht="22" customHeight="1">
      <x:c r="A159" s="9" t="str">
        <x:v>TXN-3-0152</x:v>
      </x:c>
      <x:c r="B159" s="9" t="str">
        <x:v>일반</x:v>
      </x:c>
      <x:c r="C159" s="6" t="n">
        <x:v>6</x:v>
      </x:c>
      <x:c r="D159" s="6" t="n">
        <x:v>4508</x:v>
      </x:c>
      <x:c r="E159" s="6" t="n">
        <x:v>38</x:v>
      </x:c>
      <x:c r="F159" s="6" t="n">
        <x:f>C159*D159</x:f>
        <x:v>27048</x:v>
      </x:c>
      <x:c r="G159" s="6" t="n">
        <x:f>ROUND(F159*$M$4,0)</x:f>
        <x:v>2705</x:v>
      </x:c>
      <x:c r="H159" s="6" t="n">
        <x:f>F159+G159</x:f>
        <x:v>29753</x:v>
      </x:c>
      <x:c r="I159" s="6" t="n">
        <x:f>H159-E159</x:f>
        <x:v>29715</x:v>
      </x:c>
      <x:c r="J159" s="6" t="n">
        <x:f>IFERROR(I159/C159,0)</x:f>
        <x:v>4952.5</x:v>
      </x:c>
      <x:c r="K159" s="2"/>
      <x:c r="L159" s="2"/>
      <x:c r="M159" s="2"/>
    </x:row>
    <x:row r="160" ht="22" customHeight="1">
      <x:c r="A160" s="9" t="str">
        <x:v>TXN-3-0153</x:v>
      </x:c>
      <x:c r="B160" s="9" t="str">
        <x:v>일반</x:v>
      </x:c>
      <x:c r="C160" s="6" t="n">
        <x:v>7</x:v>
      </x:c>
      <x:c r="D160" s="6" t="n">
        <x:v>4531</x:v>
      </x:c>
      <x:c r="E160" s="6" t="n">
        <x:v>57</x:v>
      </x:c>
      <x:c r="F160" s="6" t="n">
        <x:f>C160*D160</x:f>
        <x:v>31717</x:v>
      </x:c>
      <x:c r="G160" s="6" t="n">
        <x:f>ROUND(F160*$M$4,0)</x:f>
        <x:v>3172</x:v>
      </x:c>
      <x:c r="H160" s="6" t="n">
        <x:f>F160+G160</x:f>
        <x:v>34889</x:v>
      </x:c>
      <x:c r="I160" s="6" t="n">
        <x:f>H160-E160</x:f>
        <x:v>34832</x:v>
      </x:c>
      <x:c r="J160" s="6" t="n">
        <x:f>IFERROR(I160/C160,0)</x:f>
        <x:v>4976</x:v>
      </x:c>
      <x:c r="K160" s="2"/>
      <x:c r="L160" s="2"/>
      <x:c r="M160" s="2"/>
    </x:row>
    <x:row r="161" ht="22" customHeight="1">
      <x:c r="A161" s="9" t="str">
        <x:v>TXN-3-0154</x:v>
      </x:c>
      <x:c r="B161" s="9" t="str">
        <x:v>일반</x:v>
      </x:c>
      <x:c r="C161" s="6" t="n">
        <x:v>1</x:v>
      </x:c>
      <x:c r="D161" s="6" t="n">
        <x:v>4554</x:v>
      </x:c>
      <x:c r="E161" s="6" t="n">
        <x:v>76</x:v>
      </x:c>
      <x:c r="F161" s="6" t="n">
        <x:f>C161*D161</x:f>
        <x:v>4554</x:v>
      </x:c>
      <x:c r="G161" s="6" t="n">
        <x:f>ROUND(F161*$M$4,0)</x:f>
        <x:v>455</x:v>
      </x:c>
      <x:c r="H161" s="6" t="n">
        <x:f>F161+G161</x:f>
        <x:v>5009</x:v>
      </x:c>
      <x:c r="I161" s="6" t="n">
        <x:f>H161-E161</x:f>
        <x:v>4933</x:v>
      </x:c>
      <x:c r="J161" s="6" t="n">
        <x:f>IFERROR(I161/C161,0)</x:f>
        <x:v>4933</x:v>
      </x:c>
      <x:c r="K161" s="2"/>
      <x:c r="L161" s="2"/>
      <x:c r="M161" s="2"/>
    </x:row>
    <x:row r="162" ht="22" customHeight="1">
      <x:c r="A162" s="9" t="str">
        <x:v>TXN-3-0155</x:v>
      </x:c>
      <x:c r="B162" s="9" t="str">
        <x:v>일반</x:v>
      </x:c>
      <x:c r="C162" s="6" t="n">
        <x:v>2</x:v>
      </x:c>
      <x:c r="D162" s="6" t="n">
        <x:v>4577</x:v>
      </x:c>
      <x:c r="E162" s="6" t="n">
        <x:v>0</x:v>
      </x:c>
      <x:c r="F162" s="6" t="n">
        <x:f>C162*D162</x:f>
        <x:v>9154</x:v>
      </x:c>
      <x:c r="G162" s="6" t="n">
        <x:f>ROUND(F162*$M$4,0)</x:f>
        <x:v>915</x:v>
      </x:c>
      <x:c r="H162" s="6" t="n">
        <x:f>F162+G162</x:f>
        <x:v>10069</x:v>
      </x:c>
      <x:c r="I162" s="6" t="n">
        <x:f>H162-E162</x:f>
        <x:v>10069</x:v>
      </x:c>
      <x:c r="J162" s="6" t="n">
        <x:f>IFERROR(I162/C162,0)</x:f>
        <x:v>5034.5</x:v>
      </x:c>
      <x:c r="K162" s="2"/>
      <x:c r="L162" s="2"/>
      <x:c r="M162" s="2"/>
    </x:row>
    <x:row r="163" ht="22" customHeight="1">
      <x:c r="A163" s="9" t="str">
        <x:v>TXN-3-0156</x:v>
      </x:c>
      <x:c r="B163" s="9" t="str">
        <x:v>일반</x:v>
      </x:c>
      <x:c r="C163" s="6" t="n">
        <x:v>3</x:v>
      </x:c>
      <x:c r="D163" s="6" t="n">
        <x:v>4600</x:v>
      </x:c>
      <x:c r="E163" s="6" t="n">
        <x:v>19</x:v>
      </x:c>
      <x:c r="F163" s="6" t="n">
        <x:f>C163*D163</x:f>
        <x:v>13800</x:v>
      </x:c>
      <x:c r="G163" s="6" t="n">
        <x:f>ROUND(F163*$M$4,0)</x:f>
        <x:v>1380</x:v>
      </x:c>
      <x:c r="H163" s="6" t="n">
        <x:f>F163+G163</x:f>
        <x:v>15180</x:v>
      </x:c>
      <x:c r="I163" s="6" t="n">
        <x:f>H163-E163</x:f>
        <x:v>15161</x:v>
      </x:c>
      <x:c r="J163" s="6" t="n">
        <x:f>IFERROR(I163/C163,0)</x:f>
        <x:v>5053.666666666667</x:v>
      </x:c>
      <x:c r="K163" s="2"/>
      <x:c r="L163" s="2"/>
      <x:c r="M163" s="2"/>
    </x:row>
    <x:row r="164" ht="22" customHeight="1">
      <x:c r="A164" s="9" t="str">
        <x:v>TXN-3-0157</x:v>
      </x:c>
      <x:c r="B164" s="9" t="str">
        <x:v>일반</x:v>
      </x:c>
      <x:c r="C164" s="6" t="n">
        <x:v>4</x:v>
      </x:c>
      <x:c r="D164" s="6" t="n">
        <x:v>4623</x:v>
      </x:c>
      <x:c r="E164" s="6" t="n">
        <x:v>38</x:v>
      </x:c>
      <x:c r="F164" s="6" t="n">
        <x:f>C164*D164</x:f>
        <x:v>18492</x:v>
      </x:c>
      <x:c r="G164" s="6" t="n">
        <x:f>ROUND(F164*$M$4,0)</x:f>
        <x:v>1849</x:v>
      </x:c>
      <x:c r="H164" s="6" t="n">
        <x:f>F164+G164</x:f>
        <x:v>20341</x:v>
      </x:c>
      <x:c r="I164" s="6" t="n">
        <x:f>H164-E164</x:f>
        <x:v>20303</x:v>
      </x:c>
      <x:c r="J164" s="6" t="n">
        <x:f>IFERROR(I164/C164,0)</x:f>
        <x:v>5075.75</x:v>
      </x:c>
      <x:c r="K164" s="2"/>
      <x:c r="L164" s="2"/>
      <x:c r="M164" s="2"/>
    </x:row>
    <x:row r="165" ht="22" customHeight="1">
      <x:c r="A165" s="9" t="str">
        <x:v>TXN-3-0158</x:v>
      </x:c>
      <x:c r="B165" s="9" t="str">
        <x:v>일반</x:v>
      </x:c>
      <x:c r="C165" s="6" t="n">
        <x:v>5</x:v>
      </x:c>
      <x:c r="D165" s="6" t="n">
        <x:v>4646</x:v>
      </x:c>
      <x:c r="E165" s="6" t="n">
        <x:v>57</x:v>
      </x:c>
      <x:c r="F165" s="6" t="n">
        <x:f>C165*D165</x:f>
        <x:v>23230</x:v>
      </x:c>
      <x:c r="G165" s="6" t="n">
        <x:f>ROUND(F165*$M$4,0)</x:f>
        <x:v>2323</x:v>
      </x:c>
      <x:c r="H165" s="6" t="n">
        <x:f>F165+G165</x:f>
        <x:v>25553</x:v>
      </x:c>
      <x:c r="I165" s="6" t="n">
        <x:f>H165-E165</x:f>
        <x:v>25496</x:v>
      </x:c>
      <x:c r="J165" s="6" t="n">
        <x:f>IFERROR(I165/C165,0)</x:f>
        <x:v>5099.2</x:v>
      </x:c>
      <x:c r="K165" s="2"/>
      <x:c r="L165" s="2"/>
      <x:c r="M165" s="2"/>
    </x:row>
    <x:row r="166" ht="22" customHeight="1">
      <x:c r="A166" s="9" t="str">
        <x:v>TXN-3-0159</x:v>
      </x:c>
      <x:c r="B166" s="9" t="str">
        <x:v>일반</x:v>
      </x:c>
      <x:c r="C166" s="6" t="n">
        <x:v>6</x:v>
      </x:c>
      <x:c r="D166" s="6" t="n">
        <x:v>4669</x:v>
      </x:c>
      <x:c r="E166" s="6" t="n">
        <x:v>76</x:v>
      </x:c>
      <x:c r="F166" s="6" t="n">
        <x:f>C166*D166</x:f>
        <x:v>28014</x:v>
      </x:c>
      <x:c r="G166" s="6" t="n">
        <x:f>ROUND(F166*$M$4,0)</x:f>
        <x:v>2801</x:v>
      </x:c>
      <x:c r="H166" s="6" t="n">
        <x:f>F166+G166</x:f>
        <x:v>30815</x:v>
      </x:c>
      <x:c r="I166" s="6" t="n">
        <x:f>H166-E166</x:f>
        <x:v>30739</x:v>
      </x:c>
      <x:c r="J166" s="6" t="n">
        <x:f>IFERROR(I166/C166,0)</x:f>
        <x:v>5123.166666666667</x:v>
      </x:c>
      <x:c r="K166" s="2"/>
      <x:c r="L166" s="2"/>
      <x:c r="M166" s="2"/>
    </x:row>
    <x:row r="167" ht="22" customHeight="1">
      <x:c r="A167" s="9" t="str">
        <x:v>TXN-3-0160</x:v>
      </x:c>
      <x:c r="B167" s="9" t="str">
        <x:v>일반</x:v>
      </x:c>
      <x:c r="C167" s="6" t="n">
        <x:v>7</x:v>
      </x:c>
      <x:c r="D167" s="6" t="n">
        <x:v>4692</x:v>
      </x:c>
      <x:c r="E167" s="6" t="n">
        <x:v>0</x:v>
      </x:c>
      <x:c r="F167" s="6" t="n">
        <x:f>C167*D167</x:f>
        <x:v>32844</x:v>
      </x:c>
      <x:c r="G167" s="6" t="n">
        <x:f>ROUND(F167*$M$4,0)</x:f>
        <x:v>3284</x:v>
      </x:c>
      <x:c r="H167" s="6" t="n">
        <x:f>F167+G167</x:f>
        <x:v>36128</x:v>
      </x:c>
      <x:c r="I167" s="6" t="n">
        <x:f>H167-E167</x:f>
        <x:v>36128</x:v>
      </x:c>
      <x:c r="J167" s="6" t="n">
        <x:f>IFERROR(I167/C167,0)</x:f>
        <x:v>5161.142857142857</x:v>
      </x:c>
      <x:c r="K167" s="2"/>
      <x:c r="L167" s="2"/>
      <x:c r="M167" s="2"/>
    </x:row>
    <x:row r="168" ht="22" customHeight="1">
      <x:c r="A168" s="9"/>
      <x:c r="B168" s="9"/>
      <x:c r="C168" s="6"/>
      <x:c r="D168" s="6"/>
      <x:c r="E168" s="6"/>
      <x:c r="F168" s="6"/>
      <x:c r="G168" s="6"/>
      <x:c r="H168" s="6"/>
      <x:c r="I168" s="6"/>
      <x:c r="J168" s="6"/>
      <x:c r="K168" s="2"/>
      <x:c r="L168" s="2"/>
      <x:c r="M168" s="2"/>
    </x:row>
    <x:row r="169" ht="22" customHeight="1">
      <x:c r="A169" s="9"/>
      <x:c r="B169" s="9"/>
      <x:c r="C169" s="6"/>
      <x:c r="D169" s="6"/>
      <x:c r="E169" s="6"/>
      <x:c r="F169" s="6"/>
      <x:c r="G169" s="6"/>
      <x:c r="H169" s="6"/>
      <x:c r="I169" s="6"/>
      <x:c r="J169" s="6"/>
      <x:c r="K169" s="2"/>
      <x:c r="L169" s="2"/>
      <x:c r="M169" s="2"/>
    </x:row>
    <x:row r="170" ht="22" customHeight="1">
      <x:c r="A170" s="9"/>
      <x:c r="B170" s="9"/>
      <x:c r="C170" s="6"/>
      <x:c r="D170" s="6"/>
      <x:c r="E170" s="6"/>
      <x:c r="F170" s="6"/>
      <x:c r="G170" s="6"/>
      <x:c r="H170" s="6"/>
      <x:c r="I170" s="6"/>
      <x:c r="J170" s="6"/>
      <x:c r="K170" s="2"/>
      <x:c r="L170" s="2"/>
      <x:c r="M170" s="2"/>
    </x:row>
    <x:row r="171" ht="22" customHeight="1">
      <x:c r="A171" s="12" t="str">
        <x:v>합계</x:v>
      </x:c>
      <x:c r="B171" s="12"/>
      <x:c r="C171" s="13"/>
      <x:c r="D171" s="13"/>
      <x:c r="E171" s="13"/>
      <x:c r="F171" s="13"/>
      <x:c r="G171" s="13"/>
      <x:c r="H171" s="13"/>
      <x:c r="I171" s="13" t="n">
        <x:f>SUM(I8:I167)</x:f>
        <x:v>1984627</x:v>
      </x:c>
      <x:c r="J171" s="13"/>
      <x:c r="K171" s="2"/>
      <x:c r="L171" s="2"/>
      <x:c r="M171" s="2"/>
    </x:row>
  </x:sheetData>
  <x:pageMargins left="0.7" right="0.7" top="0.75" bottom="0.75" header="0.3" footer="0.3"/>
</x:worksheet>
</file>