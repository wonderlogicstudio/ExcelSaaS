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bfad88b04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0eafe1fa68dc43d6"/>
    <x:sheet xmlns:r="http://schemas.openxmlformats.org/officeDocument/2006/relationships" name="제품마스터" sheetId="2" r:id="Rcf80474e3dd641ac"/>
    <x:sheet xmlns:r="http://schemas.openxmlformats.org/officeDocument/2006/relationships" name="생산실적" sheetId="3" r:id="R02d8df6465f544df"/>
    <x:sheet xmlns:r="http://schemas.openxmlformats.org/officeDocument/2006/relationships" name="제품별요약" sheetId="4" r:id="R86c04e9eaaa941bd"/>
    <x:sheet xmlns:r="http://schemas.openxmlformats.org/officeDocument/2006/relationships" name="요약" sheetId="5" r:id="R7b114d5b1946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%"/>
    <x:numFmt numFmtId="202" formatCode="yyyy-mm-dd"/>
    <x:numFmt numFmtId="203" formatCode="#,##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  <x:font>
      <x:b/>
      <x:sz val="11"/>
      <x:color rgb="FF595959"/>
      <x:name val="Carlito"/>
    </x:font>
    <x:font>
      <x:b/>
      <x:sz val="15"/>
      <x:color rgb="FF17365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4D6"/>
      </x:patternFill>
    </x:fill>
  </x:fills>
  <x:borders count="42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</x:borders>
  <x:cellStyleXfs count="1">
    <x:xf numFmtId="0" fontId="0" fillId="0" borderId="0"/>
  </x:cellStyleXfs>
  <x:cellXfs count="2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200" fontId="0" fillId="8" borderId="9" xfId="0" applyNumberFormat="1" applyFont="1" applyFill="1" applyBorder="1"/>
    <x:xf numFmtId="200" fontId="0" fillId="8" borderId="0" xfId="0" applyNumberFormat="1" applyFont="1" applyFill="1" applyBorder="1"/>
    <x:xf numFmtId="200" fontId="0" fillId="8" borderId="14" xfId="0" applyNumberFormat="1" applyFont="1" applyFill="1" applyBorder="1"/>
    <x:xf numFmtId="200" fontId="0" fillId="8" borderId="17" xfId="0" applyNumberFormat="1" applyFont="1" applyFill="1" applyBorder="1"/>
    <x:xf numFmtId="200" fontId="0" fillId="8" borderId="1" xfId="0" applyNumberFormat="1" applyFont="1" applyFill="1" applyBorder="1"/>
    <x:xf numFmtId="200" fontId="0" fillId="8" borderId="22" xfId="0" applyNumberFormat="1" applyFont="1" applyFill="1" applyBorder="1"/>
    <x:xf numFmtId="201" fontId="0" fillId="8" borderId="10" xfId="0" applyNumberFormat="1" applyFont="1" applyFill="1" applyBorder="1"/>
    <x:xf numFmtId="201" fontId="0" fillId="8" borderId="12" xfId="0" applyNumberFormat="1" applyFont="1" applyFill="1" applyBorder="1"/>
    <x:xf numFmtId="201" fontId="0" fillId="8" borderId="15" xfId="0" applyNumberFormat="1" applyFont="1" applyFill="1" applyBorder="1"/>
    <x:xf numFmtId="201" fontId="0" fillId="8" borderId="18" xfId="0" applyNumberFormat="1" applyFont="1" applyFill="1" applyBorder="1"/>
    <x:xf numFmtId="201" fontId="0" fillId="8" borderId="20" xfId="0" applyNumberFormat="1" applyFont="1" applyFill="1" applyBorder="1"/>
    <x:xf numFmtId="201" fontId="0" fillId="8" borderId="23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202" fontId="0" fillId="8" borderId="8" xfId="0" applyNumberFormat="1" applyFont="1" applyFill="1" applyBorder="1"/>
    <x:xf numFmtId="202" fontId="0" fillId="8" borderId="11" xfId="0" applyNumberFormat="1" applyFont="1" applyFill="1" applyBorder="1"/>
    <x:xf numFmtId="202" fontId="0" fillId="8" borderId="13" xfId="0" applyNumberFormat="1" applyFont="1" applyFill="1" applyBorder="1"/>
    <x:xf numFmtId="202" fontId="0" fillId="8" borderId="16" xfId="0" applyNumberFormat="1" applyFont="1" applyFill="1" applyBorder="1"/>
    <x:xf numFmtId="202" fontId="0" fillId="8" borderId="19" xfId="0" applyNumberFormat="1" applyFont="1" applyFill="1" applyBorder="1"/>
    <x:xf numFmtId="202" fontId="0" fillId="8" borderId="21" xfId="0" applyNumberFormat="1" applyFont="1" applyFill="1" applyBorder="1"/>
    <x:xf numFmtId="203" fontId="0" fillId="8" borderId="9" xfId="0" applyNumberFormat="1" applyFont="1" applyFill="1" applyBorder="1"/>
    <x:xf numFmtId="203" fontId="0" fillId="8" borderId="10" xfId="0" applyNumberFormat="1" applyFont="1" applyFill="1" applyBorder="1"/>
    <x:xf numFmtId="203" fontId="0" fillId="7" borderId="8" xfId="0" applyNumberFormat="1" applyFont="1" applyFill="1" applyBorder="1"/>
    <x:xf numFmtId="203" fontId="0" fillId="8" borderId="0" xfId="0" applyNumberFormat="1" applyFont="1" applyFill="1" applyBorder="1"/>
    <x:xf numFmtId="203" fontId="0" fillId="8" borderId="12" xfId="0" applyNumberFormat="1" applyFont="1" applyFill="1" applyBorder="1"/>
    <x:xf numFmtId="203" fontId="0" fillId="7" borderId="11" xfId="0" applyNumberFormat="1" applyFont="1" applyFill="1" applyBorder="1"/>
    <x:xf numFmtId="203" fontId="0" fillId="8" borderId="14" xfId="0" applyNumberFormat="1" applyFont="1" applyFill="1" applyBorder="1"/>
    <x:xf numFmtId="203" fontId="0" fillId="8" borderId="15" xfId="0" applyNumberFormat="1" applyFont="1" applyFill="1" applyBorder="1"/>
    <x:xf numFmtId="203" fontId="0" fillId="7" borderId="13" xfId="0" applyNumberFormat="1" applyFont="1" applyFill="1" applyBorder="1"/>
    <x:xf numFmtId="203" fontId="0" fillId="0" borderId="0" xfId="0" applyNumberFormat="1" applyFont="1" applyFill="1" applyBorder="1"/>
    <x:xf numFmtId="203" fontId="0" fillId="8" borderId="17" xfId="0" applyNumberFormat="1" applyFont="1" applyFill="1" applyBorder="1"/>
    <x:xf numFmtId="203" fontId="0" fillId="8" borderId="18" xfId="0" applyNumberFormat="1" applyFont="1" applyFill="1" applyBorder="1"/>
    <x:xf numFmtId="203" fontId="0" fillId="7" borderId="16" xfId="0" applyNumberFormat="1" applyFont="1" applyFill="1" applyBorder="1"/>
    <x:xf numFmtId="203" fontId="0" fillId="8" borderId="1" xfId="0" applyNumberFormat="1" applyFont="1" applyFill="1" applyBorder="1"/>
    <x:xf numFmtId="203" fontId="0" fillId="8" borderId="20" xfId="0" applyNumberFormat="1" applyFont="1" applyFill="1" applyBorder="1"/>
    <x:xf numFmtId="203" fontId="0" fillId="7" borderId="19" xfId="0" applyNumberFormat="1" applyFont="1" applyFill="1" applyBorder="1"/>
    <x:xf numFmtId="203" fontId="0" fillId="8" borderId="22" xfId="0" applyNumberFormat="1" applyFont="1" applyFill="1" applyBorder="1"/>
    <x:xf numFmtId="203" fontId="0" fillId="8" borderId="23" xfId="0" applyNumberFormat="1" applyFont="1" applyFill="1" applyBorder="1"/>
    <x:xf numFmtId="203" fontId="0" fillId="7" borderId="21" xfId="0" applyNumberFormat="1" applyFont="1" applyFill="1" applyBorder="1"/>
    <x:xf numFmtId="203" fontId="0" fillId="0" borderId="1" xfId="0" applyNumberFormat="1" applyFont="1" applyFill="1" applyBorder="1"/>
    <x:xf numFmtId="201" fontId="0" fillId="7" borderId="9" xfId="0" applyNumberFormat="1" applyFont="1" applyFill="1" applyBorder="1"/>
    <x:xf numFmtId="201" fontId="0" fillId="7" borderId="0" xfId="0" applyNumberFormat="1" applyFont="1" applyFill="1" applyBorder="1"/>
    <x:xf numFmtId="201" fontId="0" fillId="7" borderId="14" xfId="0" applyNumberFormat="1" applyFont="1" applyFill="1" applyBorder="1"/>
    <x:xf numFmtId="201" fontId="0" fillId="7" borderId="17" xfId="0" applyNumberFormat="1" applyFont="1" applyFill="1" applyBorder="1"/>
    <x:xf numFmtId="201" fontId="0" fillId="7" borderId="1" xfId="0" applyNumberFormat="1" applyFont="1" applyFill="1" applyBorder="1"/>
    <x:xf numFmtId="201" fontId="0" fillId="7" borderId="22" xfId="0" applyNumberFormat="1" applyFont="1" applyFill="1" applyBorder="1"/>
    <x:xf numFmtId="203" fontId="0" fillId="7" borderId="9" xfId="0" applyNumberFormat="1" applyFont="1" applyFill="1" applyBorder="1"/>
    <x:xf numFmtId="203" fontId="0" fillId="7" borderId="0" xfId="0" applyNumberFormat="1" applyFont="1" applyFill="1" applyBorder="1"/>
    <x:xf numFmtId="203" fontId="0" fillId="7" borderId="14" xfId="0" applyNumberFormat="1" applyFont="1" applyFill="1" applyBorder="1"/>
    <x:xf numFmtId="203" fontId="0" fillId="7" borderId="17" xfId="0" applyNumberFormat="1" applyFont="1" applyFill="1" applyBorder="1"/>
    <x:xf numFmtId="203" fontId="0" fillId="7" borderId="1" xfId="0" applyNumberFormat="1" applyFont="1" applyFill="1" applyBorder="1"/>
    <x:xf numFmtId="203" fontId="0" fillId="7" borderId="22" xfId="0" applyNumberFormat="1" applyFont="1" applyFill="1" applyBorder="1"/>
    <x:xf numFmtId="201" fontId="0" fillId="7" borderId="10" xfId="0" applyNumberFormat="1" applyFont="1" applyFill="1" applyBorder="1"/>
    <x:xf numFmtId="201" fontId="0" fillId="7" borderId="12" xfId="0" applyNumberFormat="1" applyFont="1" applyFill="1" applyBorder="1"/>
    <x:xf numFmtId="201" fontId="0" fillId="7" borderId="15" xfId="0" applyNumberFormat="1" applyFont="1" applyFill="1" applyBorder="1"/>
    <x:xf numFmtId="201" fontId="0" fillId="7" borderId="18" xfId="0" applyNumberFormat="1" applyFont="1" applyFill="1" applyBorder="1"/>
    <x:xf numFmtId="201" fontId="0" fillId="7" borderId="20" xfId="0" applyNumberFormat="1" applyFont="1" applyFill="1" applyBorder="1"/>
    <x:xf numFmtId="201" fontId="0" fillId="7" borderId="23" xfId="0" applyNumberFormat="1" applyFont="1" applyFill="1" applyBorder="1"/>
    <x:xf numFmtId="0" fontId="0" fillId="9" borderId="0" xfId="0" applyNumberFormat="1" applyFont="1" applyFill="1" applyBorder="1"/>
    <x:xf numFmtId="203" fontId="0" fillId="9" borderId="0" xfId="0" applyNumberFormat="1" applyFont="1" applyFill="1" applyBorder="1"/>
    <x:xf numFmtId="0" fontId="4" fillId="9" borderId="0" xfId="0" applyNumberFormat="1" applyFont="1" applyFill="1" applyBorder="1"/>
    <x:xf numFmtId="203" fontId="4" fillId="9" borderId="0" xfId="0" applyNumberFormat="1" applyFont="1" applyFill="1" applyBorder="1"/>
    <x:xf numFmtId="0" fontId="4" fillId="9" borderId="24" xfId="0" applyNumberFormat="1" applyFont="1" applyFill="1" applyBorder="1"/>
    <x:xf numFmtId="0" fontId="4" fillId="9" borderId="25" xfId="0" applyNumberFormat="1" applyFont="1" applyFill="1" applyBorder="1"/>
    <x:xf numFmtId="203" fontId="4" fillId="9" borderId="25" xfId="0" applyNumberFormat="1" applyFont="1" applyFill="1" applyBorder="1"/>
    <x:xf numFmtId="0" fontId="4" fillId="9" borderId="26" xfId="0" applyNumberFormat="1" applyFont="1" applyFill="1" applyBorder="1"/>
    <x:xf numFmtId="0" fontId="0" fillId="9" borderId="1" xfId="0" applyNumberFormat="1" applyFont="1" applyFill="1" applyBorder="1"/>
    <x:xf numFmtId="203" fontId="0" fillId="9" borderId="1" xfId="0" applyNumberFormat="1" applyFont="1" applyFill="1" applyBorder="1"/>
    <x:xf numFmtId="0" fontId="4" fillId="9" borderId="1" xfId="0" applyNumberFormat="1" applyFont="1" applyFill="1" applyBorder="1"/>
    <x:xf numFmtId="203" fontId="4" fillId="9" borderId="1" xfId="0" applyNumberFormat="1" applyFont="1" applyFill="1" applyBorder="1"/>
    <x:xf numFmtId="0" fontId="4" fillId="9" borderId="27" xfId="0" applyNumberFormat="1" applyFont="1" applyFill="1" applyBorder="1"/>
    <x:xf numFmtId="0" fontId="4" fillId="9" borderId="28" xfId="0" applyNumberFormat="1" applyFont="1" applyFill="1" applyBorder="1"/>
    <x:xf numFmtId="203" fontId="4" fillId="9" borderId="28" xfId="0" applyNumberFormat="1" applyFont="1" applyFill="1" applyBorder="1"/>
    <x:xf numFmtId="0" fontId="4" fillId="9" borderId="29" xfId="0" applyNumberFormat="1" applyFont="1" applyFill="1" applyBorder="1"/>
    <x:xf numFmtId="0" fontId="0" fillId="10" borderId="0" xfId="0" applyNumberFormat="1" applyFont="1" applyFill="1" applyBorder="1"/>
    <x:xf numFmtId="203" fontId="0" fillId="10" borderId="0" xfId="0" applyNumberFormat="1" applyFont="1" applyFill="1" applyBorder="1"/>
    <x:xf numFmtId="0" fontId="6" fillId="10" borderId="0" xfId="0" applyNumberFormat="1" applyFont="1" applyFill="1" applyBorder="1"/>
    <x:xf numFmtId="203" fontId="6" fillId="10" borderId="0" xfId="0" applyNumberFormat="1" applyFont="1" applyFill="1" applyBorder="1"/>
    <x:xf numFmtId="0" fontId="6" fillId="10" borderId="30" xfId="0" applyNumberFormat="1" applyFont="1" applyFill="1" applyBorder="1"/>
    <x:xf numFmtId="0" fontId="6" fillId="10" borderId="31" xfId="0" applyNumberFormat="1" applyFont="1" applyFill="1" applyBorder="1"/>
    <x:xf numFmtId="203" fontId="6" fillId="10" borderId="31" xfId="0" applyNumberFormat="1" applyFont="1" applyFill="1" applyBorder="1"/>
    <x:xf numFmtId="0" fontId="6" fillId="10" borderId="32" xfId="0" applyNumberFormat="1" applyFont="1" applyFill="1" applyBorder="1"/>
    <x:xf numFmtId="0" fontId="0" fillId="10" borderId="1" xfId="0" applyNumberFormat="1" applyFont="1" applyFill="1" applyBorder="1"/>
    <x:xf numFmtId="203" fontId="0" fillId="10" borderId="1" xfId="0" applyNumberFormat="1" applyFont="1" applyFill="1" applyBorder="1"/>
    <x:xf numFmtId="0" fontId="6" fillId="10" borderId="1" xfId="0" applyNumberFormat="1" applyFont="1" applyFill="1" applyBorder="1"/>
    <x:xf numFmtId="203" fontId="6" fillId="10" borderId="1" xfId="0" applyNumberFormat="1" applyFont="1" applyFill="1" applyBorder="1"/>
    <x:xf numFmtId="0" fontId="6" fillId="10" borderId="33" xfId="0" applyNumberFormat="1" applyFont="1" applyFill="1" applyBorder="1"/>
    <x:xf numFmtId="0" fontId="6" fillId="10" borderId="34" xfId="0" applyNumberFormat="1" applyFont="1" applyFill="1" applyBorder="1"/>
    <x:xf numFmtId="203" fontId="6" fillId="10" borderId="34" xfId="0" applyNumberFormat="1" applyFont="1" applyFill="1" applyBorder="1"/>
    <x:xf numFmtId="0" fontId="6" fillId="10" borderId="35" xfId="0" applyNumberFormat="1" applyFont="1" applyFill="1" applyBorder="1"/>
    <x:xf numFmtId="0" fontId="0" fillId="8" borderId="36" xfId="0" applyNumberFormat="1" applyFont="1" applyFill="1" applyBorder="1"/>
    <x:xf numFmtId="0" fontId="0" fillId="8" borderId="37" xfId="0" applyNumberFormat="1" applyFont="1" applyFill="1" applyBorder="1"/>
    <x:xf numFmtId="0" fontId="0" fillId="8" borderId="38" xfId="0" applyNumberFormat="1" applyFont="1" applyFill="1" applyBorder="1"/>
    <x:xf numFmtId="0" fontId="0" fillId="8" borderId="39" xfId="0" applyNumberFormat="1" applyFont="1" applyFill="1" applyBorder="1"/>
    <x:xf numFmtId="0" fontId="0" fillId="8" borderId="40" xfId="0" applyNumberFormat="1" applyFont="1" applyFill="1" applyBorder="1"/>
    <x:xf numFmtId="0" fontId="0" fillId="8" borderId="41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92df9a1ff461b" /><Relationship Type="http://schemas.openxmlformats.org/officeDocument/2006/relationships/theme" Target="/xl/theme/theme1.xml" Id="R11c5c6182b494191" /><Relationship Type="http://schemas.openxmlformats.org/officeDocument/2006/relationships/sharedStrings" Target="/xl/sharedStrings.xml" Id="R6ad0600f6f4e42dc" /><Relationship Type="http://schemas.openxmlformats.org/officeDocument/2006/relationships/worksheet" Target="/xl/worksheets/sheet1.xml" Id="R0eafe1fa68dc43d6" /><Relationship Type="http://schemas.openxmlformats.org/officeDocument/2006/relationships/worksheet" Target="/xl/worksheets/sheet2.xml" Id="Rcf80474e3dd641ac" /><Relationship Type="http://schemas.openxmlformats.org/officeDocument/2006/relationships/worksheet" Target="/xl/worksheets/sheet3.xml" Id="R02d8df6465f544df" /><Relationship Type="http://schemas.openxmlformats.org/officeDocument/2006/relationships/worksheet" Target="/xl/worksheets/sheet4.xml" Id="R86c04e9eaaa941bd" /><Relationship Type="http://schemas.openxmlformats.org/officeDocument/2006/relationships/worksheet" Target="/xl/worksheets/sheet5.xml" Id="R7b114d5b19464b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</x:cols>
  <x:sheetData>
    <x:row r="1" ht="30" customHeight="1">
      <x:c r="A1" s="5" t="str">
        <x:v>생산계획·실적·수율 관리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일자·제품별 계획수량·실적·불량을 기준으로 차이·달성률·양품·수율을 계산하는 합성 샘플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1" t="str">
        <x:v>실제 회사·개인정보를 사용하지 않은 합성 업무 파일</x:v>
      </x:c>
    </x:row>
    <x:row r="7">
      <x:c r="A7" s="45" t="str">
        <x:v>검증 용도</x:v>
      </x:c>
      <x:c r="B7" s="51" t="str">
        <x:v>Calibration</x:v>
      </x:c>
    </x:row>
    <x:row r="8">
      <x:c r="A8" s="45" t="str">
        <x:v>핵심 검증</x:v>
      </x:c>
      <x:c r="B8" s="51" t="str">
        <x:v>계획차이 함수 이탈, 달성률 행 참조 이탈, 양품수량 상수 덮어쓰기, 수율 빈 셀</x:v>
      </x:c>
    </x:row>
    <x:row r="9">
      <x:c r="A9" s="45" t="str">
        <x:v>사용 방법</x:v>
      </x:c>
      <x:c r="B9" s="51" t="str">
        <x:v>기본 무료 진단 후 M4 수식 패턴 정밀검사를 선택 실행</x:v>
      </x:c>
    </x:row>
    <x:row r="10">
      <x:c r="A10" s="45" t="str">
        <x:v>주의</x:v>
      </x:c>
      <x:c r="B10" s="51" t="str">
        <x:v>Finding은 업무 오류 확정이 아니라 사람이 확인할 이상 후보입니다.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5" t="str">
        <x:v>제품마스터</x:v>
      </x:c>
      <x:c r="B13" s="50" t="str">
        <x:v>제품·라인·표준시간</x:v>
      </x:c>
    </x:row>
    <x:row r="14">
      <x:c r="A14" s="55" t="str">
        <x:v>생산실적</x:v>
      </x:c>
      <x:c r="B14" s="50" t="str">
        <x:v>계획·실적·불량·수율</x:v>
      </x:c>
    </x:row>
    <x:row r="15">
      <x:c r="A15" s="55" t="str">
        <x:v>제품별요약</x:v>
      </x:c>
      <x:c r="B15" s="50" t="str">
        <x:v>제품별 집계</x:v>
      </x:c>
    </x:row>
    <x:row r="16">
      <x:c r="A16" s="55" t="str">
        <x:v>요약</x:v>
      </x:c>
      <x:c r="B16" s="50" t="str">
        <x:v>생산 KPI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0" hidden="0" customWidth="1"/>
    <x:col min="4" max="4" width="15" hidden="0" customWidth="1"/>
    <x:col min="5" max="5" width="12" hidden="0" customWidth="1"/>
  </x:cols>
  <x:sheetData>
    <x:row r="1" ht="30" customHeight="1">
      <x:c r="A1" s="5" t="str">
        <x:v>제품 마스터</x:v>
      </x:c>
      <x:c r="B1" s="5"/>
      <x:c r="C1" s="5"/>
      <x:c r="D1" s="5"/>
      <x:c r="E1" s="5"/>
    </x:row>
    <x:row r="2" ht="24" customHeight="1">
      <x:c r="A2" s="12" t="str">
        <x:v>합성 생산 제품 정보</x:v>
      </x:c>
      <x:c r="B2" s="12"/>
      <x:c r="C2" s="12"/>
      <x:c r="D2" s="12"/>
      <x:c r="E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</x:row>
    <x:row r="5" ht="28" customHeight="1">
      <x:c r="A5" s="30" t="str">
        <x:v>제품코드</x:v>
      </x:c>
      <x:c r="B5" s="61" t="str">
        <x:v>제품명</x:v>
      </x:c>
      <x:c r="C5" s="61" t="str">
        <x:v>라인</x:v>
      </x:c>
      <x:c r="D5" s="61" t="str">
        <x:v>표준시간(분)</x:v>
      </x:c>
      <x:c r="E5" s="31" t="str">
        <x:v>목표수율</x:v>
      </x:c>
    </x:row>
    <x:row r="6">
      <x:c r="A6" s="67" t="str">
        <x:v>PD-001</x:v>
      </x:c>
      <x:c r="B6" s="68" t="str">
        <x:v>제품01</x:v>
      </x:c>
      <x:c r="C6" s="68" t="str">
        <x:v>L2</x:v>
      </x:c>
      <x:c r="D6" s="84" t="n">
        <x:v>15</x:v>
      </x:c>
      <x:c r="E6" s="90" t="n">
        <x:v>0.95</x:v>
      </x:c>
    </x:row>
    <x:row r="7">
      <x:c r="A7" s="70" t="str">
        <x:v>PD-002</x:v>
      </x:c>
      <x:c r="B7" s="66" t="str">
        <x:v>제품02</x:v>
      </x:c>
      <x:c r="C7" s="66" t="str">
        <x:v>L3</x:v>
      </x:c>
      <x:c r="D7" s="85" t="n">
        <x:v>18</x:v>
      </x:c>
      <x:c r="E7" s="91" t="n">
        <x:v>0.94</x:v>
      </x:c>
    </x:row>
    <x:row r="8">
      <x:c r="A8" s="70" t="str">
        <x:v>PD-003</x:v>
      </x:c>
      <x:c r="B8" s="66" t="str">
        <x:v>제품03</x:v>
      </x:c>
      <x:c r="C8" s="66" t="str">
        <x:v>L1</x:v>
      </x:c>
      <x:c r="D8" s="85" t="n">
        <x:v>21</x:v>
      </x:c>
      <x:c r="E8" s="91" t="n">
        <x:v>0.96</x:v>
      </x:c>
    </x:row>
    <x:row r="9">
      <x:c r="A9" s="70" t="str">
        <x:v>PD-004</x:v>
      </x:c>
      <x:c r="B9" s="66" t="str">
        <x:v>제품04</x:v>
      </x:c>
      <x:c r="C9" s="66" t="str">
        <x:v>L2</x:v>
      </x:c>
      <x:c r="D9" s="85" t="n">
        <x:v>24</x:v>
      </x:c>
      <x:c r="E9" s="91" t="n">
        <x:v>0.95</x:v>
      </x:c>
    </x:row>
    <x:row r="10">
      <x:c r="A10" s="70" t="str">
        <x:v>PD-005</x:v>
      </x:c>
      <x:c r="B10" s="66" t="str">
        <x:v>제품05</x:v>
      </x:c>
      <x:c r="C10" s="66" t="str">
        <x:v>L3</x:v>
      </x:c>
      <x:c r="D10" s="85" t="n">
        <x:v>27</x:v>
      </x:c>
      <x:c r="E10" s="91" t="n">
        <x:v>0.94</x:v>
      </x:c>
    </x:row>
    <x:row r="11">
      <x:c r="A11" s="70" t="str">
        <x:v>PD-006</x:v>
      </x:c>
      <x:c r="B11" s="66" t="str">
        <x:v>제품06</x:v>
      </x:c>
      <x:c r="C11" s="66" t="str">
        <x:v>L1</x:v>
      </x:c>
      <x:c r="D11" s="85" t="n">
        <x:v>12</x:v>
      </x:c>
      <x:c r="E11" s="91" t="n">
        <x:v>0.96</x:v>
      </x:c>
    </x:row>
    <x:row r="12">
      <x:c r="A12" s="70" t="str">
        <x:v>PD-007</x:v>
      </x:c>
      <x:c r="B12" s="66" t="str">
        <x:v>제품07</x:v>
      </x:c>
      <x:c r="C12" s="66" t="str">
        <x:v>L2</x:v>
      </x:c>
      <x:c r="D12" s="85" t="n">
        <x:v>15</x:v>
      </x:c>
      <x:c r="E12" s="91" t="n">
        <x:v>0.95</x:v>
      </x:c>
    </x:row>
    <x:row r="13">
      <x:c r="A13" s="70" t="str">
        <x:v>PD-008</x:v>
      </x:c>
      <x:c r="B13" s="66" t="str">
        <x:v>제품08</x:v>
      </x:c>
      <x:c r="C13" s="66" t="str">
        <x:v>L3</x:v>
      </x:c>
      <x:c r="D13" s="85" t="n">
        <x:v>18</x:v>
      </x:c>
      <x:c r="E13" s="91" t="n">
        <x:v>0.94</x:v>
      </x:c>
    </x:row>
    <x:row r="14">
      <x:c r="A14" s="70" t="str">
        <x:v>PD-009</x:v>
      </x:c>
      <x:c r="B14" s="66" t="str">
        <x:v>제품09</x:v>
      </x:c>
      <x:c r="C14" s="66" t="str">
        <x:v>L1</x:v>
      </x:c>
      <x:c r="D14" s="85" t="n">
        <x:v>21</x:v>
      </x:c>
      <x:c r="E14" s="91" t="n">
        <x:v>0.96</x:v>
      </x:c>
    </x:row>
    <x:row r="15">
      <x:c r="A15" s="70" t="str">
        <x:v>PD-010</x:v>
      </x:c>
      <x:c r="B15" s="66" t="str">
        <x:v>제품10</x:v>
      </x:c>
      <x:c r="C15" s="66" t="str">
        <x:v>L2</x:v>
      </x:c>
      <x:c r="D15" s="85" t="n">
        <x:v>24</x:v>
      </x:c>
      <x:c r="E15" s="91" t="n">
        <x:v>0.95</x:v>
      </x:c>
    </x:row>
    <x:row r="16">
      <x:c r="A16" s="70" t="str">
        <x:v>PD-011</x:v>
      </x:c>
      <x:c r="B16" s="66" t="str">
        <x:v>제품11</x:v>
      </x:c>
      <x:c r="C16" s="66" t="str">
        <x:v>L3</x:v>
      </x:c>
      <x:c r="D16" s="85" t="n">
        <x:v>27</x:v>
      </x:c>
      <x:c r="E16" s="91" t="n">
        <x:v>0.94</x:v>
      </x:c>
    </x:row>
    <x:row r="17">
      <x:c r="A17" s="70" t="str">
        <x:v>PD-012</x:v>
      </x:c>
      <x:c r="B17" s="66" t="str">
        <x:v>제품12</x:v>
      </x:c>
      <x:c r="C17" s="66" t="str">
        <x:v>L1</x:v>
      </x:c>
      <x:c r="D17" s="85" t="n">
        <x:v>12</x:v>
      </x:c>
      <x:c r="E17" s="91" t="n">
        <x:v>0.96</x:v>
      </x:c>
    </x:row>
    <x:row r="18">
      <x:c r="A18" s="70" t="str">
        <x:v>PD-013</x:v>
      </x:c>
      <x:c r="B18" s="66" t="str">
        <x:v>제품13</x:v>
      </x:c>
      <x:c r="C18" s="66" t="str">
        <x:v>L2</x:v>
      </x:c>
      <x:c r="D18" s="85" t="n">
        <x:v>15</x:v>
      </x:c>
      <x:c r="E18" s="91" t="n">
        <x:v>0.95</x:v>
      </x:c>
    </x:row>
    <x:row r="19">
      <x:c r="A19" s="70" t="str">
        <x:v>PD-014</x:v>
      </x:c>
      <x:c r="B19" s="66" t="str">
        <x:v>제품14</x:v>
      </x:c>
      <x:c r="C19" s="66" t="str">
        <x:v>L3</x:v>
      </x:c>
      <x:c r="D19" s="85" t="n">
        <x:v>18</x:v>
      </x:c>
      <x:c r="E19" s="91" t="n">
        <x:v>0.94</x:v>
      </x:c>
    </x:row>
    <x:row r="20">
      <x:c r="A20" s="72" t="str">
        <x:v>PD-015</x:v>
      </x:c>
      <x:c r="B20" s="73" t="str">
        <x:v>제품15</x:v>
      </x:c>
      <x:c r="C20" s="73" t="str">
        <x:v>L1</x:v>
      </x:c>
      <x:c r="D20" s="86" t="n">
        <x:v>21</x:v>
      </x:c>
      <x:c r="E20" s="92" t="n">
        <x:v>0.96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9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0" hidden="0" customWidth="1"/>
  </x:cols>
  <x:sheetData>
    <x:row r="1" ht="30" customHeight="1">
      <x:c r="A1" s="5" t="str">
        <x:v>일별 생산 실적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2" t="str">
        <x:v>계획 대비 차이·달성률·양품수량·수율을 계산합니다.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  <x:c r="J3" s="18"/>
    </x:row>
    <x:row r="5" ht="28" customHeight="1">
      <x:c r="A5" s="30" t="str">
        <x:v>일자</x:v>
      </x:c>
      <x:c r="B5" s="61" t="str">
        <x:v>제품코드</x:v>
      </x:c>
      <x:c r="C5" s="61" t="str">
        <x:v>라인</x:v>
      </x:c>
      <x:c r="D5" s="61" t="str">
        <x:v>계획수량</x:v>
      </x:c>
      <x:c r="E5" s="61" t="str">
        <x:v>실적수량</x:v>
      </x:c>
      <x:c r="F5" s="61" t="str">
        <x:v>불량수량</x:v>
      </x:c>
      <x:c r="G5" s="61" t="str">
        <x:v>계획차이</x:v>
      </x:c>
      <x:c r="H5" s="61" t="str">
        <x:v>달성률</x:v>
      </x:c>
      <x:c r="I5" s="61" t="str">
        <x:v>양품수량</x:v>
      </x:c>
      <x:c r="J5" s="31" t="str">
        <x:v>수율</x:v>
      </x:c>
    </x:row>
    <x:row r="6">
      <x:c r="A6" s="112" t="n">
        <x:v>46204</x:v>
      </x:c>
      <x:c r="B6" s="68" t="str">
        <x:v>PD-001</x:v>
      </x:c>
      <x:c r="C6" s="68" t="str">
        <x:v>L1</x:v>
      </x:c>
      <x:c r="D6" s="118" t="n">
        <x:v>160</x:v>
      </x:c>
      <x:c r="E6" s="118" t="n">
        <x:v>139</x:v>
      </x:c>
      <x:c r="F6" s="119" t="n">
        <x:v>8</x:v>
      </x:c>
      <x:c r="G6" s="120" t="n">
        <x:f>E6-D6</x:f>
        <x:v>-21</x:v>
      </x:c>
      <x:c r="H6" s="138" t="n">
        <x:f>IFERROR(E6/D6,0)</x:f>
        <x:v>0.86875</x:v>
      </x:c>
      <x:c r="I6" s="144" t="n">
        <x:f>E6-F6</x:f>
        <x:v>131</x:v>
      </x:c>
      <x:c r="J6" s="150" t="n">
        <x:f>IFERROR(I6/E6,0)</x:f>
        <x:v>0.9424460431654677</x:v>
      </x:c>
    </x:row>
    <x:row r="7">
      <x:c r="A7" s="113" t="n">
        <x:v>46205</x:v>
      </x:c>
      <x:c r="B7" s="66" t="str">
        <x:v>PD-002</x:v>
      </x:c>
      <x:c r="C7" s="66" t="str">
        <x:v>L2</x:v>
      </x:c>
      <x:c r="D7" s="121" t="n">
        <x:v>195</x:v>
      </x:c>
      <x:c r="E7" s="121" t="n">
        <x:v>210</x:v>
      </x:c>
      <x:c r="F7" s="122" t="n">
        <x:v>6</x:v>
      </x:c>
      <x:c r="G7" s="123" t="n">
        <x:f>E7-D7</x:f>
        <x:v>15</x:v>
      </x:c>
      <x:c r="H7" s="139" t="n">
        <x:f>IFERROR(E7/D7,0)</x:f>
        <x:v>1.0769230769230769</x:v>
      </x:c>
      <x:c r="I7" s="145" t="n">
        <x:f>E7-F7</x:f>
        <x:v>204</x:v>
      </x:c>
      <x:c r="J7" s="151" t="n">
        <x:f>IFERROR(I7/E7,0)</x:f>
        <x:v>0.9714285714285714</x:v>
      </x:c>
    </x:row>
    <x:row r="8">
      <x:c r="A8" s="113" t="n">
        <x:v>46206</x:v>
      </x:c>
      <x:c r="B8" s="66" t="str">
        <x:v>PD-003</x:v>
      </x:c>
      <x:c r="C8" s="66" t="str">
        <x:v>L3</x:v>
      </x:c>
      <x:c r="D8" s="121" t="n">
        <x:v>87</x:v>
      </x:c>
      <x:c r="E8" s="121" t="n">
        <x:v>121</x:v>
      </x:c>
      <x:c r="F8" s="122" t="n">
        <x:v>6</x:v>
      </x:c>
      <x:c r="G8" s="123" t="n">
        <x:f>E8-D8</x:f>
        <x:v>34</x:v>
      </x:c>
      <x:c r="H8" s="139" t="n">
        <x:f>IFERROR(E8/D8,0)</x:f>
        <x:v>1.3908045977011494</x:v>
      </x:c>
      <x:c r="I8" s="145" t="n">
        <x:f>E8-F8</x:f>
        <x:v>115</x:v>
      </x:c>
      <x:c r="J8" s="151" t="n">
        <x:f>IFERROR(I8/E8,0)</x:f>
        <x:v>0.9504132231404959</x:v>
      </x:c>
    </x:row>
    <x:row r="9">
      <x:c r="A9" s="113" t="n">
        <x:v>46207</x:v>
      </x:c>
      <x:c r="B9" s="66" t="str">
        <x:v>PD-004</x:v>
      </x:c>
      <x:c r="C9" s="66" t="str">
        <x:v>L1</x:v>
      </x:c>
      <x:c r="D9" s="121" t="n">
        <x:v>176</x:v>
      </x:c>
      <x:c r="E9" s="121" t="n">
        <x:v>183</x:v>
      </x:c>
      <x:c r="F9" s="122" t="n">
        <x:v>5</x:v>
      </x:c>
      <x:c r="G9" s="123" t="n">
        <x:f>E9-D9</x:f>
        <x:v>7</x:v>
      </x:c>
      <x:c r="H9" s="139" t="n">
        <x:f>IFERROR(E9/D9,0)</x:f>
        <x:v>1.0397727272727273</x:v>
      </x:c>
      <x:c r="I9" s="145" t="n">
        <x:f>E9-F9</x:f>
        <x:v>178</x:v>
      </x:c>
      <x:c r="J9" s="151" t="n">
        <x:f>IFERROR(I9/E9,0)</x:f>
        <x:v>0.9726775956284153</x:v>
      </x:c>
    </x:row>
    <x:row r="10">
      <x:c r="A10" s="113" t="n">
        <x:v>46208</x:v>
      </x:c>
      <x:c r="B10" s="66" t="str">
        <x:v>PD-005</x:v>
      </x:c>
      <x:c r="C10" s="66" t="str">
        <x:v>L2</x:v>
      </x:c>
      <x:c r="D10" s="121" t="n">
        <x:v>144</x:v>
      </x:c>
      <x:c r="E10" s="121" t="n">
        <x:v>174</x:v>
      </x:c>
      <x:c r="F10" s="122" t="n">
        <x:v>10</x:v>
      </x:c>
      <x:c r="G10" s="123" t="n">
        <x:f>E10-D10</x:f>
        <x:v>30</x:v>
      </x:c>
      <x:c r="H10" s="139" t="n">
        <x:f>IFERROR(E10/D10,0)</x:f>
        <x:v>1.2083333333333333</x:v>
      </x:c>
      <x:c r="I10" s="145" t="n">
        <x:f>E10-F10</x:f>
        <x:v>164</x:v>
      </x:c>
      <x:c r="J10" s="151" t="n">
        <x:f>IFERROR(I10/E10,0)</x:f>
        <x:v>0.9425287356321839</x:v>
      </x:c>
    </x:row>
    <x:row r="11">
      <x:c r="A11" s="113" t="n">
        <x:v>46209</x:v>
      </x:c>
      <x:c r="B11" s="66" t="str">
        <x:v>PD-006</x:v>
      </x:c>
      <x:c r="C11" s="66" t="str">
        <x:v>L3</x:v>
      </x:c>
      <x:c r="D11" s="121" t="n">
        <x:v>106</x:v>
      </x:c>
      <x:c r="E11" s="121" t="n">
        <x:v>139</x:v>
      </x:c>
      <x:c r="F11" s="122" t="n">
        <x:v>7</x:v>
      </x:c>
      <x:c r="G11" s="123" t="n">
        <x:f>E11-D11</x:f>
        <x:v>33</x:v>
      </x:c>
      <x:c r="H11" s="139" t="n">
        <x:f>IFERROR(E11/D11,0)</x:f>
        <x:v>1.3113207547169812</x:v>
      </x:c>
      <x:c r="I11" s="145" t="n">
        <x:f>E11-F11</x:f>
        <x:v>132</x:v>
      </x:c>
      <x:c r="J11" s="151" t="n">
        <x:f>IFERROR(I11/E11,0)</x:f>
        <x:v>0.9496402877697842</x:v>
      </x:c>
    </x:row>
    <x:row r="12">
      <x:c r="A12" s="113" t="n">
        <x:v>46210</x:v>
      </x:c>
      <x:c r="B12" s="66" t="str">
        <x:v>PD-007</x:v>
      </x:c>
      <x:c r="C12" s="66" t="str">
        <x:v>L1</x:v>
      </x:c>
      <x:c r="D12" s="121" t="n">
        <x:v>136</x:v>
      </x:c>
      <x:c r="E12" s="121" t="n">
        <x:v>147</x:v>
      </x:c>
      <x:c r="F12" s="122" t="n">
        <x:v>2</x:v>
      </x:c>
      <x:c r="G12" s="123" t="n">
        <x:f>E12-D12</x:f>
        <x:v>11</x:v>
      </x:c>
      <x:c r="H12" s="139" t="n">
        <x:f>IFERROR(E12/D12,0)</x:f>
        <x:v>1.0808823529411764</x:v>
      </x:c>
      <x:c r="I12" s="145" t="n">
        <x:f>E12-F12</x:f>
        <x:v>145</x:v>
      </x:c>
      <x:c r="J12" s="151" t="n">
        <x:f>IFERROR(I12/E12,0)</x:f>
        <x:v>0.9863945578231292</x:v>
      </x:c>
    </x:row>
    <x:row r="13">
      <x:c r="A13" s="113" t="n">
        <x:v>46211</x:v>
      </x:c>
      <x:c r="B13" s="66" t="str">
        <x:v>PD-008</x:v>
      </x:c>
      <x:c r="C13" s="66" t="str">
        <x:v>L2</x:v>
      </x:c>
      <x:c r="D13" s="121" t="n">
        <x:v>207</x:v>
      </x:c>
      <x:c r="E13" s="121" t="n">
        <x:v>194</x:v>
      </x:c>
      <x:c r="F13" s="122" t="n">
        <x:v>11</x:v>
      </x:c>
      <x:c r="G13" s="123" t="n">
        <x:f>E13-D13</x:f>
        <x:v>-13</x:v>
      </x:c>
      <x:c r="H13" s="139" t="n">
        <x:f>IFERROR(E13/D13,0)</x:f>
        <x:v>0.9371980676328503</x:v>
      </x:c>
      <x:c r="I13" s="145" t="n">
        <x:f>E13-F13</x:f>
        <x:v>183</x:v>
      </x:c>
      <x:c r="J13" s="151" t="n">
        <x:f>IFERROR(I13/E13,0)</x:f>
        <x:v>0.9432989690721649</x:v>
      </x:c>
    </x:row>
    <x:row r="14">
      <x:c r="A14" s="113" t="n">
        <x:v>46212</x:v>
      </x:c>
      <x:c r="B14" s="66" t="str">
        <x:v>PD-009</x:v>
      </x:c>
      <x:c r="C14" s="66" t="str">
        <x:v>L3</x:v>
      </x:c>
      <x:c r="D14" s="121" t="n">
        <x:v>90</x:v>
      </x:c>
      <x:c r="E14" s="121" t="n">
        <x:v>123</x:v>
      </x:c>
      <x:c r="F14" s="122" t="n">
        <x:v>1</x:v>
      </x:c>
      <x:c r="G14" s="123" t="n">
        <x:f>E14-D14</x:f>
        <x:v>33</x:v>
      </x:c>
      <x:c r="H14" s="139" t="n">
        <x:f>IFERROR(E14/D14,0)</x:f>
        <x:v>1.3666666666666667</x:v>
      </x:c>
      <x:c r="I14" s="145" t="n">
        <x:f>E14-F14</x:f>
        <x:v>122</x:v>
      </x:c>
      <x:c r="J14" s="151" t="n">
        <x:f>IFERROR(I14/E14,0)</x:f>
        <x:v>0.991869918699187</x:v>
      </x:c>
    </x:row>
    <x:row r="15">
      <x:c r="A15" s="113" t="n">
        <x:v>46213</x:v>
      </x:c>
      <x:c r="B15" s="66" t="str">
        <x:v>PD-010</x:v>
      </x:c>
      <x:c r="C15" s="66" t="str">
        <x:v>L1</x:v>
      </x:c>
      <x:c r="D15" s="121" t="n">
        <x:v>82</x:v>
      </x:c>
      <x:c r="E15" s="121" t="n">
        <x:v>111</x:v>
      </x:c>
      <x:c r="F15" s="122" t="n">
        <x:v>2</x:v>
      </x:c>
      <x:c r="G15" s="123" t="n">
        <x:f>E15-D15</x:f>
        <x:v>29</x:v>
      </x:c>
      <x:c r="H15" s="139" t="n">
        <x:f>IFERROR(E15/D15,0)</x:f>
        <x:v>1.353658536585366</x:v>
      </x:c>
      <x:c r="I15" s="145" t="n">
        <x:f>E15-F15</x:f>
        <x:v>109</x:v>
      </x:c>
      <x:c r="J15" s="151" t="n">
        <x:f>IFERROR(I15/E15,0)</x:f>
        <x:v>0.9819819819819819</x:v>
      </x:c>
    </x:row>
    <x:row r="16">
      <x:c r="A16" s="113" t="n">
        <x:v>46214</x:v>
      </x:c>
      <x:c r="B16" s="66" t="str">
        <x:v>PD-011</x:v>
      </x:c>
      <x:c r="C16" s="66" t="str">
        <x:v>L2</x:v>
      </x:c>
      <x:c r="D16" s="121" t="n">
        <x:v>98</x:v>
      </x:c>
      <x:c r="E16" s="121" t="n">
        <x:v>116</x:v>
      </x:c>
      <x:c r="F16" s="122" t="n">
        <x:v>2</x:v>
      </x:c>
      <x:c r="G16" s="123" t="n">
        <x:f>E16-D16</x:f>
        <x:v>18</x:v>
      </x:c>
      <x:c r="H16" s="139" t="n">
        <x:f>IFERROR(E16/D16,0)</x:f>
        <x:v>1.183673469387755</x:v>
      </x:c>
      <x:c r="I16" s="145" t="n">
        <x:f>E16-F16</x:f>
        <x:v>114</x:v>
      </x:c>
      <x:c r="J16" s="151" t="n">
        <x:f>IFERROR(I16/E16,0)</x:f>
        <x:v>0.9827586206896551</x:v>
      </x:c>
    </x:row>
    <x:row r="17">
      <x:c r="A17" s="113" t="n">
        <x:v>46215</x:v>
      </x:c>
      <x:c r="B17" s="66" t="str">
        <x:v>PD-012</x:v>
      </x:c>
      <x:c r="C17" s="66" t="str">
        <x:v>L3</x:v>
      </x:c>
      <x:c r="D17" s="121" t="n">
        <x:v>199</x:v>
      </x:c>
      <x:c r="E17" s="121" t="n">
        <x:v>169</x:v>
      </x:c>
      <x:c r="F17" s="122" t="n">
        <x:v>6</x:v>
      </x:c>
      <x:c r="G17" s="123" t="n">
        <x:f>E17-D17</x:f>
        <x:v>-30</x:v>
      </x:c>
      <x:c r="H17" s="139" t="n">
        <x:f>IFERROR(E17/D17,0)</x:f>
        <x:v>0.8492462311557789</x:v>
      </x:c>
      <x:c r="I17" s="145" t="n">
        <x:f>E17-F17</x:f>
        <x:v>163</x:v>
      </x:c>
      <x:c r="J17" s="151" t="n">
        <x:f>IFERROR(I17/E17,0)</x:f>
        <x:v>0.9644970414201184</x:v>
      </x:c>
    </x:row>
    <x:row r="18">
      <x:c r="A18" s="113" t="n">
        <x:v>46216</x:v>
      </x:c>
      <x:c r="B18" s="66" t="str">
        <x:v>PD-013</x:v>
      </x:c>
      <x:c r="C18" s="66" t="str">
        <x:v>L1</x:v>
      </x:c>
      <x:c r="D18" s="121" t="n">
        <x:v>183</x:v>
      </x:c>
      <x:c r="E18" s="121" t="n">
        <x:v>179</x:v>
      </x:c>
      <x:c r="F18" s="122" t="n">
        <x:v>0</x:v>
      </x:c>
      <x:c r="G18" s="123" t="n">
        <x:f>E18-D18</x:f>
        <x:v>-4</x:v>
      </x:c>
      <x:c r="H18" s="139" t="n">
        <x:f>IFERROR(E18/D18,0)</x:f>
        <x:v>0.9781420765027322</x:v>
      </x:c>
      <x:c r="I18" s="145" t="n">
        <x:f>E18-F18</x:f>
        <x:v>179</x:v>
      </x:c>
      <x:c r="J18" s="151" t="n">
        <x:f>IFERROR(I18/E18,0)</x:f>
        <x:v>1</x:v>
      </x:c>
    </x:row>
    <x:row r="19">
      <x:c r="A19" s="113" t="n">
        <x:v>46217</x:v>
      </x:c>
      <x:c r="B19" s="66" t="str">
        <x:v>PD-014</x:v>
      </x:c>
      <x:c r="C19" s="66" t="str">
        <x:v>L2</x:v>
      </x:c>
      <x:c r="D19" s="121" t="n">
        <x:v>147</x:v>
      </x:c>
      <x:c r="E19" s="121" t="n">
        <x:v>182</x:v>
      </x:c>
      <x:c r="F19" s="122" t="n">
        <x:v>0</x:v>
      </x:c>
      <x:c r="G19" s="123" t="n">
        <x:f>E19-D19</x:f>
        <x:v>35</x:v>
      </x:c>
      <x:c r="H19" s="139" t="n">
        <x:f>IFERROR(E19/D19,0)</x:f>
        <x:v>1.2380952380952381</x:v>
      </x:c>
      <x:c r="I19" s="145" t="n">
        <x:f>E19-F19</x:f>
        <x:v>182</x:v>
      </x:c>
      <x:c r="J19" s="151" t="n">
        <x:f>IFERROR(I19/E19,0)</x:f>
        <x:v>1</x:v>
      </x:c>
    </x:row>
    <x:row r="20">
      <x:c r="A20" s="113" t="n">
        <x:v>46218</x:v>
      </x:c>
      <x:c r="B20" s="66" t="str">
        <x:v>PD-015</x:v>
      </x:c>
      <x:c r="C20" s="66" t="str">
        <x:v>L3</x:v>
      </x:c>
      <x:c r="D20" s="121" t="n">
        <x:v>201</x:v>
      </x:c>
      <x:c r="E20" s="121" t="n">
        <x:v>178</x:v>
      </x:c>
      <x:c r="F20" s="122" t="n">
        <x:v>2</x:v>
      </x:c>
      <x:c r="G20" s="123" t="n">
        <x:f>SUM(D20:E20)</x:f>
        <x:v>379</x:v>
      </x:c>
      <x:c r="H20" s="139" t="n">
        <x:f>IFERROR(E20/D20,0)</x:f>
        <x:v>0.8855721393034826</x:v>
      </x:c>
      <x:c r="I20" s="145" t="n">
        <x:f>E20-F20</x:f>
        <x:v>176</x:v>
      </x:c>
      <x:c r="J20" s="151" t="n">
        <x:f>IFERROR(I20/E20,0)</x:f>
        <x:v>0.9887640449438202</x:v>
      </x:c>
    </x:row>
    <x:row r="21">
      <x:c r="A21" s="113" t="n">
        <x:v>46219</x:v>
      </x:c>
      <x:c r="B21" s="66" t="str">
        <x:v>PD-001</x:v>
      </x:c>
      <x:c r="C21" s="66" t="str">
        <x:v>L1</x:v>
      </x:c>
      <x:c r="D21" s="121" t="n">
        <x:v>211</x:v>
      </x:c>
      <x:c r="E21" s="121" t="n">
        <x:v>197</x:v>
      </x:c>
      <x:c r="F21" s="122" t="n">
        <x:v>3</x:v>
      </x:c>
      <x:c r="G21" s="123" t="n">
        <x:f>E21-D21</x:f>
        <x:v>-14</x:v>
      </x:c>
      <x:c r="H21" s="139" t="n">
        <x:f>IFERROR(E21/D21,0)</x:f>
        <x:v>0.933649289099526</x:v>
      </x:c>
      <x:c r="I21" s="145" t="n">
        <x:f>E21-F21</x:f>
        <x:v>194</x:v>
      </x:c>
      <x:c r="J21" s="151" t="n">
        <x:f>IFERROR(I21/E21,0)</x:f>
        <x:v>0.9847715736040609</x:v>
      </x:c>
    </x:row>
    <x:row r="22">
      <x:c r="A22" s="113" t="n">
        <x:v>46220</x:v>
      </x:c>
      <x:c r="B22" s="66" t="str">
        <x:v>PD-002</x:v>
      </x:c>
      <x:c r="C22" s="66" t="str">
        <x:v>L2</x:v>
      </x:c>
      <x:c r="D22" s="121" t="n">
        <x:v>95</x:v>
      </x:c>
      <x:c r="E22" s="121" t="n">
        <x:v>68</x:v>
      </x:c>
      <x:c r="F22" s="122" t="n">
        <x:v>0</x:v>
      </x:c>
      <x:c r="G22" s="123" t="n">
        <x:f>E22-D22</x:f>
        <x:v>-27</x:v>
      </x:c>
      <x:c r="H22" s="139" t="n">
        <x:f>IFERROR(E22/D22,0)</x:f>
        <x:v>0.7157894736842105</x:v>
      </x:c>
      <x:c r="I22" s="145" t="n">
        <x:f>E22-F22</x:f>
        <x:v>68</x:v>
      </x:c>
      <x:c r="J22" s="151" t="n">
        <x:f>IFERROR(I22/E22,0)</x:f>
        <x:v>1</x:v>
      </x:c>
    </x:row>
    <x:row r="23">
      <x:c r="A23" s="113" t="n">
        <x:v>46221</x:v>
      </x:c>
      <x:c r="B23" s="66" t="str">
        <x:v>PD-003</x:v>
      </x:c>
      <x:c r="C23" s="66" t="str">
        <x:v>L3</x:v>
      </x:c>
      <x:c r="D23" s="121" t="n">
        <x:v>103</x:v>
      </x:c>
      <x:c r="E23" s="121" t="n">
        <x:v>135</x:v>
      </x:c>
      <x:c r="F23" s="122" t="n">
        <x:v>7</x:v>
      </x:c>
      <x:c r="G23" s="123" t="n">
        <x:f>E23-D23</x:f>
        <x:v>32</x:v>
      </x:c>
      <x:c r="H23" s="139" t="n">
        <x:f>IFERROR(E23/D23,0)</x:f>
        <x:v>1.3106796116504855</x:v>
      </x:c>
      <x:c r="I23" s="145" t="n">
        <x:f>E23-F23</x:f>
        <x:v>128</x:v>
      </x:c>
      <x:c r="J23" s="151" t="n">
        <x:f>IFERROR(I23/E23,0)</x:f>
        <x:v>0.9481481481481482</x:v>
      </x:c>
    </x:row>
    <x:row r="24">
      <x:c r="A24" s="113" t="n">
        <x:v>46222</x:v>
      </x:c>
      <x:c r="B24" s="66" t="str">
        <x:v>PD-004</x:v>
      </x:c>
      <x:c r="C24" s="66" t="str">
        <x:v>L1</x:v>
      </x:c>
      <x:c r="D24" s="121" t="n">
        <x:v>141</x:v>
      </x:c>
      <x:c r="E24" s="121" t="n">
        <x:v>180</x:v>
      </x:c>
      <x:c r="F24" s="122" t="n">
        <x:v>8</x:v>
      </x:c>
      <x:c r="G24" s="123" t="n">
        <x:f>E24-D24</x:f>
        <x:v>39</x:v>
      </x:c>
      <x:c r="H24" s="139" t="n">
        <x:f>IFERROR(E24/D24,0)</x:f>
        <x:v>1.2765957446808511</x:v>
      </x:c>
      <x:c r="I24" s="145" t="n">
        <x:f>E24-F24</x:f>
        <x:v>172</x:v>
      </x:c>
      <x:c r="J24" s="151" t="n">
        <x:f>IFERROR(I24/E24,0)</x:f>
        <x:v>0.9555555555555556</x:v>
      </x:c>
    </x:row>
    <x:row r="25">
      <x:c r="A25" s="113" t="n">
        <x:v>46223</x:v>
      </x:c>
      <x:c r="B25" s="66" t="str">
        <x:v>PD-005</x:v>
      </x:c>
      <x:c r="C25" s="66" t="str">
        <x:v>L2</x:v>
      </x:c>
      <x:c r="D25" s="121" t="n">
        <x:v>135</x:v>
      </x:c>
      <x:c r="E25" s="121" t="n">
        <x:v>169</x:v>
      </x:c>
      <x:c r="F25" s="122" t="n">
        <x:v>4</x:v>
      </x:c>
      <x:c r="G25" s="123" t="n">
        <x:f>E25-D25</x:f>
        <x:v>34</x:v>
      </x:c>
      <x:c r="H25" s="139" t="n">
        <x:f>IFERROR(E25/D25,0)</x:f>
        <x:v>1.2518518518518518</x:v>
      </x:c>
      <x:c r="I25" s="145" t="n">
        <x:f>E25-F25</x:f>
        <x:v>165</x:v>
      </x:c>
      <x:c r="J25" s="151" t="n">
        <x:f>IFERROR(I25/E25,0)</x:f>
        <x:v>0.9763313609467456</x:v>
      </x:c>
    </x:row>
    <x:row r="26">
      <x:c r="A26" s="113" t="n">
        <x:v>46224</x:v>
      </x:c>
      <x:c r="B26" s="66" t="str">
        <x:v>PD-006</x:v>
      </x:c>
      <x:c r="C26" s="66" t="str">
        <x:v>L3</x:v>
      </x:c>
      <x:c r="D26" s="121" t="n">
        <x:v>196</x:v>
      </x:c>
      <x:c r="E26" s="121" t="n">
        <x:v>206</x:v>
      </x:c>
      <x:c r="F26" s="122" t="n">
        <x:v>1</x:v>
      </x:c>
      <x:c r="G26" s="123" t="n">
        <x:f>E26-D26</x:f>
        <x:v>10</x:v>
      </x:c>
      <x:c r="H26" s="139" t="n">
        <x:f>IFERROR(E26/D26,0)</x:f>
        <x:v>1.0510204081632653</x:v>
      </x:c>
      <x:c r="I26" s="145" t="n">
        <x:f>E26-F26</x:f>
        <x:v>205</x:v>
      </x:c>
      <x:c r="J26" s="151" t="n">
        <x:f>IFERROR(I26/E26,0)</x:f>
        <x:v>0.9951456310679612</x:v>
      </x:c>
    </x:row>
    <x:row r="27">
      <x:c r="A27" s="113" t="n">
        <x:v>46225</x:v>
      </x:c>
      <x:c r="B27" s="66" t="str">
        <x:v>PD-007</x:v>
      </x:c>
      <x:c r="C27" s="66" t="str">
        <x:v>L1</x:v>
      </x:c>
      <x:c r="D27" s="121" t="n">
        <x:v>144</x:v>
      </x:c>
      <x:c r="E27" s="121" t="n">
        <x:v>161</x:v>
      </x:c>
      <x:c r="F27" s="122" t="n">
        <x:v>0</x:v>
      </x:c>
      <x:c r="G27" s="123" t="n">
        <x:f>E27-D27</x:f>
        <x:v>17</x:v>
      </x:c>
      <x:c r="H27" s="139" t="n">
        <x:f>IFERROR(E27/D27,0)</x:f>
        <x:v>1.1180555555555556</x:v>
      </x:c>
      <x:c r="I27" s="145" t="n">
        <x:f>E27-F27</x:f>
        <x:v>161</x:v>
      </x:c>
      <x:c r="J27" s="151" t="n">
        <x:f>IFERROR(I27/E27,0)</x:f>
        <x:v>1</x:v>
      </x:c>
    </x:row>
    <x:row r="28">
      <x:c r="A28" s="113" t="n">
        <x:v>46226</x:v>
      </x:c>
      <x:c r="B28" s="66" t="str">
        <x:v>PD-008</x:v>
      </x:c>
      <x:c r="C28" s="66" t="str">
        <x:v>L2</x:v>
      </x:c>
      <x:c r="D28" s="121" t="n">
        <x:v>103</x:v>
      </x:c>
      <x:c r="E28" s="121" t="n">
        <x:v>103</x:v>
      </x:c>
      <x:c r="F28" s="122" t="n">
        <x:v>4</x:v>
      </x:c>
      <x:c r="G28" s="123" t="n">
        <x:f>E28-D28</x:f>
        <x:v>0</x:v>
      </x:c>
      <x:c r="H28" s="139" t="n">
        <x:f>IFERROR(E28/D28,0)</x:f>
        <x:v>1</x:v>
      </x:c>
      <x:c r="I28" s="145" t="n">
        <x:f>E28-F28</x:f>
        <x:v>99</x:v>
      </x:c>
      <x:c r="J28" s="151" t="n">
        <x:f>IFERROR(I28/E28,0)</x:f>
        <x:v>0.9611650485436893</x:v>
      </x:c>
    </x:row>
    <x:row r="29">
      <x:c r="A29" s="113" t="n">
        <x:v>46227</x:v>
      </x:c>
      <x:c r="B29" s="66" t="str">
        <x:v>PD-009</x:v>
      </x:c>
      <x:c r="C29" s="66" t="str">
        <x:v>L3</x:v>
      </x:c>
      <x:c r="D29" s="121" t="n">
        <x:v>96</x:v>
      </x:c>
      <x:c r="E29" s="121" t="n">
        <x:v>123</x:v>
      </x:c>
      <x:c r="F29" s="122" t="n">
        <x:v>2</x:v>
      </x:c>
      <x:c r="G29" s="123" t="n">
        <x:f>E29-D29</x:f>
        <x:v>27</x:v>
      </x:c>
      <x:c r="H29" s="139" t="n">
        <x:f>IFERROR(E29/D29,0)</x:f>
        <x:v>1.28125</x:v>
      </x:c>
      <x:c r="I29" s="145" t="n">
        <x:f>E29-F29</x:f>
        <x:v>121</x:v>
      </x:c>
      <x:c r="J29" s="151" t="n">
        <x:f>IFERROR(I29/E29,0)</x:f>
        <x:v>0.983739837398374</x:v>
      </x:c>
    </x:row>
    <x:row r="30">
      <x:c r="A30" s="113" t="n">
        <x:v>46228</x:v>
      </x:c>
      <x:c r="B30" s="66" t="str">
        <x:v>PD-010</x:v>
      </x:c>
      <x:c r="C30" s="66" t="str">
        <x:v>L1</x:v>
      </x:c>
      <x:c r="D30" s="121" t="n">
        <x:v>94</x:v>
      </x:c>
      <x:c r="E30" s="121" t="n">
        <x:v>116</x:v>
      </x:c>
      <x:c r="F30" s="122" t="n">
        <x:v>3</x:v>
      </x:c>
      <x:c r="G30" s="123" t="n">
        <x:f>E30-D30</x:f>
        <x:v>22</x:v>
      </x:c>
      <x:c r="H30" s="139" t="n">
        <x:f>IFERROR(E30/D30,0)</x:f>
        <x:v>1.2340425531914894</x:v>
      </x:c>
      <x:c r="I30" s="145" t="n">
        <x:f>E30-F30</x:f>
        <x:v>113</x:v>
      </x:c>
      <x:c r="J30" s="151" t="n">
        <x:f>IFERROR(I30/E30,0)</x:f>
        <x:v>0.9741379310344828</x:v>
      </x:c>
    </x:row>
    <x:row r="31">
      <x:c r="A31" s="113" t="n">
        <x:v>46229</x:v>
      </x:c>
      <x:c r="B31" s="66" t="str">
        <x:v>PD-011</x:v>
      </x:c>
      <x:c r="C31" s="66" t="str">
        <x:v>L2</x:v>
      </x:c>
      <x:c r="D31" s="121" t="n">
        <x:v>110</x:v>
      </x:c>
      <x:c r="E31" s="121" t="n">
        <x:v>100</x:v>
      </x:c>
      <x:c r="F31" s="122" t="n">
        <x:v>1</x:v>
      </x:c>
      <x:c r="G31" s="123" t="n">
        <x:f>E31-D31</x:f>
        <x:v>-10</x:v>
      </x:c>
      <x:c r="H31" s="139" t="n">
        <x:f>IFERROR(E31/D31,0)</x:f>
        <x:v>0.9090909090909091</x:v>
      </x:c>
      <x:c r="I31" s="145" t="n">
        <x:f>E31-F31</x:f>
        <x:v>99</x:v>
      </x:c>
      <x:c r="J31" s="151" t="n">
        <x:f>IFERROR(I31/E31,0)</x:f>
        <x:v>0.99</x:v>
      </x:c>
    </x:row>
    <x:row r="32">
      <x:c r="A32" s="113" t="n">
        <x:v>46230</x:v>
      </x:c>
      <x:c r="B32" s="66" t="str">
        <x:v>PD-012</x:v>
      </x:c>
      <x:c r="C32" s="66" t="str">
        <x:v>L3</x:v>
      </x:c>
      <x:c r="D32" s="121" t="n">
        <x:v>189</x:v>
      </x:c>
      <x:c r="E32" s="121" t="n">
        <x:v>205</x:v>
      </x:c>
      <x:c r="F32" s="122" t="n">
        <x:v>0</x:v>
      </x:c>
      <x:c r="G32" s="123" t="n">
        <x:f>E32-D32</x:f>
        <x:v>16</x:v>
      </x:c>
      <x:c r="H32" s="139" t="n">
        <x:f>IFERROR(E31/D32,0)</x:f>
        <x:v>0.5291005291005291</x:v>
      </x:c>
      <x:c r="I32" s="145" t="n">
        <x:f>E32-F32</x:f>
        <x:v>205</x:v>
      </x:c>
      <x:c r="J32" s="151" t="n">
        <x:f>IFERROR(I32/E32,0)</x:f>
        <x:v>1</x:v>
      </x:c>
    </x:row>
    <x:row r="33">
      <x:c r="A33" s="113" t="n">
        <x:v>46231</x:v>
      </x:c>
      <x:c r="B33" s="66" t="str">
        <x:v>PD-013</x:v>
      </x:c>
      <x:c r="C33" s="66" t="str">
        <x:v>L1</x:v>
      </x:c>
      <x:c r="D33" s="121" t="n">
        <x:v>166</x:v>
      </x:c>
      <x:c r="E33" s="121" t="n">
        <x:v>192</x:v>
      </x:c>
      <x:c r="F33" s="122" t="n">
        <x:v>1</x:v>
      </x:c>
      <x:c r="G33" s="123" t="n">
        <x:f>E33-D33</x:f>
        <x:v>26</x:v>
      </x:c>
      <x:c r="H33" s="139" t="n">
        <x:f>IFERROR(E33/D33,0)</x:f>
        <x:v>1.1566265060240963</x:v>
      </x:c>
      <x:c r="I33" s="145" t="n">
        <x:f>E33-F33</x:f>
        <x:v>191</x:v>
      </x:c>
      <x:c r="J33" s="151" t="n">
        <x:f>IFERROR(I33/E33,0)</x:f>
        <x:v>0.9947916666666666</x:v>
      </x:c>
    </x:row>
    <x:row r="34">
      <x:c r="A34" s="113" t="n">
        <x:v>46232</x:v>
      </x:c>
      <x:c r="B34" s="66" t="str">
        <x:v>PD-014</x:v>
      </x:c>
      <x:c r="C34" s="66" t="str">
        <x:v>L2</x:v>
      </x:c>
      <x:c r="D34" s="121" t="n">
        <x:v>137</x:v>
      </x:c>
      <x:c r="E34" s="121" t="n">
        <x:v>122</x:v>
      </x:c>
      <x:c r="F34" s="122" t="n">
        <x:v>7</x:v>
      </x:c>
      <x:c r="G34" s="123" t="n">
        <x:f>E34-D34</x:f>
        <x:v>-15</x:v>
      </x:c>
      <x:c r="H34" s="139" t="n">
        <x:f>IFERROR(E34/D34,0)</x:f>
        <x:v>0.8905109489051095</x:v>
      </x:c>
      <x:c r="I34" s="145" t="n">
        <x:f>E34-F34</x:f>
        <x:v>115</x:v>
      </x:c>
      <x:c r="J34" s="151" t="n">
        <x:f>IFERROR(I34/E34,0)</x:f>
        <x:v>0.9426229508196722</x:v>
      </x:c>
    </x:row>
    <x:row r="35">
      <x:c r="A35" s="113" t="n">
        <x:v>46233</x:v>
      </x:c>
      <x:c r="B35" s="66" t="str">
        <x:v>PD-015</x:v>
      </x:c>
      <x:c r="C35" s="66" t="str">
        <x:v>L3</x:v>
      </x:c>
      <x:c r="D35" s="121" t="n">
        <x:v>99</x:v>
      </x:c>
      <x:c r="E35" s="121" t="n">
        <x:v>112</x:v>
      </x:c>
      <x:c r="F35" s="122" t="n">
        <x:v>0</x:v>
      </x:c>
      <x:c r="G35" s="123" t="n">
        <x:f>E35-D35</x:f>
        <x:v>13</x:v>
      </x:c>
      <x:c r="H35" s="139" t="n">
        <x:f>IFERROR(E35/D35,0)</x:f>
        <x:v>1.1313131313131313</x:v>
      </x:c>
      <x:c r="I35" s="145" t="n">
        <x:f>E35-F35</x:f>
        <x:v>112</x:v>
      </x:c>
      <x:c r="J35" s="151" t="n">
        <x:f>IFERROR(I35/E35,0)</x:f>
        <x:v>1</x:v>
      </x:c>
    </x:row>
    <x:row r="36">
      <x:c r="A36" s="113" t="n">
        <x:v>46234</x:v>
      </x:c>
      <x:c r="B36" s="66" t="str">
        <x:v>PD-001</x:v>
      </x:c>
      <x:c r="C36" s="66" t="str">
        <x:v>L1</x:v>
      </x:c>
      <x:c r="D36" s="121" t="n">
        <x:v>135</x:v>
      </x:c>
      <x:c r="E36" s="121" t="n">
        <x:v>118</x:v>
      </x:c>
      <x:c r="F36" s="122" t="n">
        <x:v>5</x:v>
      </x:c>
      <x:c r="G36" s="123" t="n">
        <x:f>E36-D36</x:f>
        <x:v>-17</x:v>
      </x:c>
      <x:c r="H36" s="139" t="n">
        <x:f>IFERROR(E36/D36,0)</x:f>
        <x:v>0.8740740740740741</x:v>
      </x:c>
      <x:c r="I36" s="145" t="n">
        <x:f>E36-F36</x:f>
        <x:v>113</x:v>
      </x:c>
      <x:c r="J36" s="151" t="n">
        <x:f>IFERROR(I36/E36,0)</x:f>
        <x:v>0.9576271186440678</x:v>
      </x:c>
    </x:row>
    <x:row r="37">
      <x:c r="A37" s="113" t="n">
        <x:v>46235</x:v>
      </x:c>
      <x:c r="B37" s="66" t="str">
        <x:v>PD-002</x:v>
      </x:c>
      <x:c r="C37" s="66" t="str">
        <x:v>L2</x:v>
      </x:c>
      <x:c r="D37" s="121" t="n">
        <x:v>177</x:v>
      </x:c>
      <x:c r="E37" s="121" t="n">
        <x:v>176</x:v>
      </x:c>
      <x:c r="F37" s="122" t="n">
        <x:v>9</x:v>
      </x:c>
      <x:c r="G37" s="123" t="n">
        <x:f>E37-D37</x:f>
        <x:v>-1</x:v>
      </x:c>
      <x:c r="H37" s="139" t="n">
        <x:f>IFERROR(E37/D37,0)</x:f>
        <x:v>0.9943502824858758</x:v>
      </x:c>
      <x:c r="I37" s="145" t="n">
        <x:f>E37-F37</x:f>
        <x:v>167</x:v>
      </x:c>
      <x:c r="J37" s="151" t="n">
        <x:f>IFERROR(I37/E37,0)</x:f>
        <x:v>0.9488636363636364</x:v>
      </x:c>
    </x:row>
    <x:row r="38">
      <x:c r="A38" s="113" t="n">
        <x:v>46236</x:v>
      </x:c>
      <x:c r="B38" s="66" t="str">
        <x:v>PD-003</x:v>
      </x:c>
      <x:c r="C38" s="66" t="str">
        <x:v>L3</x:v>
      </x:c>
      <x:c r="D38" s="121" t="n">
        <x:v>80</x:v>
      </x:c>
      <x:c r="E38" s="121" t="n">
        <x:v>50</x:v>
      </x:c>
      <x:c r="F38" s="122" t="n">
        <x:v>0</x:v>
      </x:c>
      <x:c r="G38" s="123" t="n">
        <x:f>E38-D38</x:f>
        <x:v>-30</x:v>
      </x:c>
      <x:c r="H38" s="139" t="n">
        <x:f>IFERROR(E38/D38,0)</x:f>
        <x:v>0.625</x:v>
      </x:c>
      <x:c r="I38" s="145" t="n">
        <x:f>E38-F38</x:f>
        <x:v>50</x:v>
      </x:c>
      <x:c r="J38" s="151" t="n">
        <x:f>IFERROR(I38/E38,0)</x:f>
        <x:v>1</x:v>
      </x:c>
    </x:row>
    <x:row r="39">
      <x:c r="A39" s="113" t="n">
        <x:v>46237</x:v>
      </x:c>
      <x:c r="B39" s="66" t="str">
        <x:v>PD-004</x:v>
      </x:c>
      <x:c r="C39" s="66" t="str">
        <x:v>L1</x:v>
      </x:c>
      <x:c r="D39" s="121" t="n">
        <x:v>115</x:v>
      </x:c>
      <x:c r="E39" s="121" t="n">
        <x:v>138</x:v>
      </x:c>
      <x:c r="F39" s="122" t="n">
        <x:v>2</x:v>
      </x:c>
      <x:c r="G39" s="123" t="n">
        <x:f>E39-D39</x:f>
        <x:v>23</x:v>
      </x:c>
      <x:c r="H39" s="139" t="n">
        <x:f>IFERROR(E39/D39,0)</x:f>
        <x:v>1.2</x:v>
      </x:c>
      <x:c r="I39" s="145" t="n">
        <x:f>E39-F39</x:f>
        <x:v>136</x:v>
      </x:c>
      <x:c r="J39" s="151" t="n">
        <x:f>IFERROR(I39/E39,0)</x:f>
        <x:v>0.9855072463768116</x:v>
      </x:c>
    </x:row>
    <x:row r="40">
      <x:c r="A40" s="113" t="n">
        <x:v>46238</x:v>
      </x:c>
      <x:c r="B40" s="66" t="str">
        <x:v>PD-005</x:v>
      </x:c>
      <x:c r="C40" s="66" t="str">
        <x:v>L2</x:v>
      </x:c>
      <x:c r="D40" s="121" t="n">
        <x:v>167</x:v>
      </x:c>
      <x:c r="E40" s="121" t="n">
        <x:v>142</x:v>
      </x:c>
      <x:c r="F40" s="122" t="n">
        <x:v>5</x:v>
      </x:c>
      <x:c r="G40" s="123" t="n">
        <x:f>E40-D40</x:f>
        <x:v>-25</x:v>
      </x:c>
      <x:c r="H40" s="139" t="n">
        <x:f>IFERROR(E40/D40,0)</x:f>
        <x:v>0.8502994011976048</x:v>
      </x:c>
      <x:c r="I40" s="145" t="n">
        <x:f>E40-F40</x:f>
        <x:v>137</x:v>
      </x:c>
      <x:c r="J40" s="151" t="n">
        <x:f>IFERROR(I40/E40,0)</x:f>
        <x:v>0.9647887323943662</x:v>
      </x:c>
    </x:row>
    <x:row r="41">
      <x:c r="A41" s="113" t="n">
        <x:v>46239</x:v>
      </x:c>
      <x:c r="B41" s="66" t="str">
        <x:v>PD-006</x:v>
      </x:c>
      <x:c r="C41" s="66" t="str">
        <x:v>L3</x:v>
      </x:c>
      <x:c r="D41" s="121" t="n">
        <x:v>83</x:v>
      </x:c>
      <x:c r="E41" s="121" t="n">
        <x:v>91</x:v>
      </x:c>
      <x:c r="F41" s="122" t="n">
        <x:v>1</x:v>
      </x:c>
      <x:c r="G41" s="123" t="n">
        <x:f>E41-D41</x:f>
        <x:v>8</x:v>
      </x:c>
      <x:c r="H41" s="139" t="n">
        <x:f>IFERROR(E41/D41,0)</x:f>
        <x:v>1.0963855421686748</x:v>
      </x:c>
      <x:c r="I41" s="145" t="n">
        <x:f>E41-F41</x:f>
        <x:v>90</x:v>
      </x:c>
      <x:c r="J41" s="151" t="n">
        <x:f>IFERROR(I41/E41,0)</x:f>
        <x:v>0.989010989010989</x:v>
      </x:c>
    </x:row>
    <x:row r="42">
      <x:c r="A42" s="113" t="n">
        <x:v>46240</x:v>
      </x:c>
      <x:c r="B42" s="66" t="str">
        <x:v>PD-007</x:v>
      </x:c>
      <x:c r="C42" s="66" t="str">
        <x:v>L1</x:v>
      </x:c>
      <x:c r="D42" s="121" t="n">
        <x:v>211</x:v>
      </x:c>
      <x:c r="E42" s="121" t="n">
        <x:v>216</x:v>
      </x:c>
      <x:c r="F42" s="122" t="n">
        <x:v>4</x:v>
      </x:c>
      <x:c r="G42" s="123" t="n">
        <x:f>E42-D42</x:f>
        <x:v>5</x:v>
      </x:c>
      <x:c r="H42" s="139" t="n">
        <x:f>IFERROR(E42/D42,0)</x:f>
        <x:v>1.0236966824644549</x:v>
      </x:c>
      <x:c r="I42" s="145" t="n">
        <x:f>E42-F42</x:f>
        <x:v>212</x:v>
      </x:c>
      <x:c r="J42" s="151" t="n">
        <x:f>IFERROR(I42/E42,0)</x:f>
        <x:v>0.9814814814814815</x:v>
      </x:c>
    </x:row>
    <x:row r="43">
      <x:c r="A43" s="113" t="n">
        <x:v>46241</x:v>
      </x:c>
      <x:c r="B43" s="66" t="str">
        <x:v>PD-008</x:v>
      </x:c>
      <x:c r="C43" s="66" t="str">
        <x:v>L2</x:v>
      </x:c>
      <x:c r="D43" s="121" t="n">
        <x:v>203</x:v>
      </x:c>
      <x:c r="E43" s="121" t="n">
        <x:v>201</x:v>
      </x:c>
      <x:c r="F43" s="122" t="n">
        <x:v>12</x:v>
      </x:c>
      <x:c r="G43" s="123" t="n">
        <x:f>E43-D43</x:f>
        <x:v>-2</x:v>
      </x:c>
      <x:c r="H43" s="139" t="n">
        <x:f>IFERROR(E43/D43,0)</x:f>
        <x:v>0.9901477832512315</x:v>
      </x:c>
      <x:c r="I43" s="145" t="n">
        <x:f>E43-F43</x:f>
        <x:v>189</x:v>
      </x:c>
      <x:c r="J43" s="151" t="n">
        <x:f>IFERROR(I43/E43,0)</x:f>
        <x:v>0.9402985074626866</x:v>
      </x:c>
    </x:row>
    <x:row r="44">
      <x:c r="A44" s="113" t="n">
        <x:v>46242</x:v>
      </x:c>
      <x:c r="B44" s="66" t="str">
        <x:v>PD-009</x:v>
      </x:c>
      <x:c r="C44" s="66" t="str">
        <x:v>L3</x:v>
      </x:c>
      <x:c r="D44" s="121" t="n">
        <x:v>143</x:v>
      </x:c>
      <x:c r="E44" s="121" t="n">
        <x:v>156</x:v>
      </x:c>
      <x:c r="F44" s="122" t="n">
        <x:v>0</x:v>
      </x:c>
      <x:c r="G44" s="123" t="n">
        <x:f>E44-D44</x:f>
        <x:v>13</x:v>
      </x:c>
      <x:c r="H44" s="139" t="n">
        <x:f>IFERROR(E44/D44,0)</x:f>
        <x:v>1.0909090909090908</x:v>
      </x:c>
      <x:c r="I44" s="145" t="n">
        <x:v>145</x:v>
      </x:c>
      <x:c r="J44" s="151" t="n">
        <x:f>IFERROR(I44/E44,0)</x:f>
        <x:v>0.9294871794871795</x:v>
      </x:c>
    </x:row>
    <x:row r="45">
      <x:c r="A45" s="113" t="n">
        <x:v>46243</x:v>
      </x:c>
      <x:c r="B45" s="66" t="str">
        <x:v>PD-010</x:v>
      </x:c>
      <x:c r="C45" s="66" t="str">
        <x:v>L1</x:v>
      </x:c>
      <x:c r="D45" s="121" t="n">
        <x:v>86</x:v>
      </x:c>
      <x:c r="E45" s="121" t="n">
        <x:v>58</x:v>
      </x:c>
      <x:c r="F45" s="122" t="n">
        <x:v>3</x:v>
      </x:c>
      <x:c r="G45" s="123" t="n">
        <x:f>E45-D45</x:f>
        <x:v>-28</x:v>
      </x:c>
      <x:c r="H45" s="139" t="n">
        <x:f>IFERROR(E45/D45,0)</x:f>
        <x:v>0.6744186046511628</x:v>
      </x:c>
      <x:c r="I45" s="145" t="n">
        <x:f>E45-F45</x:f>
        <x:v>55</x:v>
      </x:c>
      <x:c r="J45" s="151" t="n">
        <x:f>IFERROR(I45/E45,0)</x:f>
        <x:v>0.9482758620689655</x:v>
      </x:c>
    </x:row>
    <x:row r="46">
      <x:c r="A46" s="113" t="n">
        <x:v>46244</x:v>
      </x:c>
      <x:c r="B46" s="66" t="str">
        <x:v>PD-011</x:v>
      </x:c>
      <x:c r="C46" s="66" t="str">
        <x:v>L2</x:v>
      </x:c>
      <x:c r="D46" s="121" t="n">
        <x:v>93</x:v>
      </x:c>
      <x:c r="E46" s="121" t="n">
        <x:v>106</x:v>
      </x:c>
      <x:c r="F46" s="122" t="n">
        <x:v>6</x:v>
      </x:c>
      <x:c r="G46" s="123" t="n">
        <x:f>E46-D46</x:f>
        <x:v>13</x:v>
      </x:c>
      <x:c r="H46" s="139" t="n">
        <x:f>IFERROR(E46/D46,0)</x:f>
        <x:v>1.1397849462365592</x:v>
      </x:c>
      <x:c r="I46" s="145" t="n">
        <x:f>E46-F46</x:f>
        <x:v>100</x:v>
      </x:c>
      <x:c r="J46" s="151" t="n">
        <x:f>IFERROR(I46/E46,0)</x:f>
        <x:v>0.9433962264150944</x:v>
      </x:c>
    </x:row>
    <x:row r="47">
      <x:c r="A47" s="113" t="n">
        <x:v>46245</x:v>
      </x:c>
      <x:c r="B47" s="66" t="str">
        <x:v>PD-012</x:v>
      </x:c>
      <x:c r="C47" s="66" t="str">
        <x:v>L3</x:v>
      </x:c>
      <x:c r="D47" s="121" t="n">
        <x:v>89</x:v>
      </x:c>
      <x:c r="E47" s="121" t="n">
        <x:v>83</x:v>
      </x:c>
      <x:c r="F47" s="122" t="n">
        <x:v>3</x:v>
      </x:c>
      <x:c r="G47" s="123" t="n">
        <x:f>E47-D47</x:f>
        <x:v>-6</x:v>
      </x:c>
      <x:c r="H47" s="139" t="n">
        <x:f>IFERROR(E47/D47,0)</x:f>
        <x:v>0.9325842696629213</x:v>
      </x:c>
      <x:c r="I47" s="145" t="n">
        <x:f>E47-F47</x:f>
        <x:v>80</x:v>
      </x:c>
      <x:c r="J47" s="151" t="n">
        <x:f>IFERROR(I47/E47,0)</x:f>
        <x:v>0.963855421686747</x:v>
      </x:c>
    </x:row>
    <x:row r="48">
      <x:c r="A48" s="113" t="n">
        <x:v>46246</x:v>
      </x:c>
      <x:c r="B48" s="66" t="str">
        <x:v>PD-013</x:v>
      </x:c>
      <x:c r="C48" s="66" t="str">
        <x:v>L1</x:v>
      </x:c>
      <x:c r="D48" s="121" t="n">
        <x:v>82</x:v>
      </x:c>
      <x:c r="E48" s="121" t="n">
        <x:v>115</x:v>
      </x:c>
      <x:c r="F48" s="122" t="n">
        <x:v>1</x:v>
      </x:c>
      <x:c r="G48" s="123" t="n">
        <x:f>E48-D48</x:f>
        <x:v>33</x:v>
      </x:c>
      <x:c r="H48" s="139" t="n">
        <x:f>IFERROR(E48/D48,0)</x:f>
        <x:v>1.4024390243902438</x:v>
      </x:c>
      <x:c r="I48" s="145" t="n">
        <x:f>E48-F48</x:f>
        <x:v>114</x:v>
      </x:c>
      <x:c r="J48" s="151" t="n">
        <x:f>IFERROR(I48/E48,0)</x:f>
        <x:v>0.991304347826087</x:v>
      </x:c>
    </x:row>
    <x:row r="49">
      <x:c r="A49" s="113" t="n">
        <x:v>46247</x:v>
      </x:c>
      <x:c r="B49" s="66" t="str">
        <x:v>PD-014</x:v>
      </x:c>
      <x:c r="C49" s="66" t="str">
        <x:v>L2</x:v>
      </x:c>
      <x:c r="D49" s="121" t="n">
        <x:v>98</x:v>
      </x:c>
      <x:c r="E49" s="121" t="n">
        <x:v>116</x:v>
      </x:c>
      <x:c r="F49" s="122" t="n">
        <x:v>5</x:v>
      </x:c>
      <x:c r="G49" s="123" t="n">
        <x:f>E49-D49</x:f>
        <x:v>18</x:v>
      </x:c>
      <x:c r="H49" s="139" t="n">
        <x:f>IFERROR(E49/D49,0)</x:f>
        <x:v>1.183673469387755</x:v>
      </x:c>
      <x:c r="I49" s="145" t="n">
        <x:f>E49-F49</x:f>
        <x:v>111</x:v>
      </x:c>
      <x:c r="J49" s="151" t="n">
        <x:f>IFERROR(I49/E49,0)</x:f>
        <x:v>0.9568965517241379</x:v>
      </x:c>
    </x:row>
    <x:row r="50">
      <x:c r="A50" s="113" t="n">
        <x:v>46248</x:v>
      </x:c>
      <x:c r="B50" s="66" t="str">
        <x:v>PD-015</x:v>
      </x:c>
      <x:c r="C50" s="66" t="str">
        <x:v>L3</x:v>
      </x:c>
      <x:c r="D50" s="121" t="n">
        <x:v>163</x:v>
      </x:c>
      <x:c r="E50" s="121" t="n">
        <x:v>161</x:v>
      </x:c>
      <x:c r="F50" s="122" t="n">
        <x:v>5</x:v>
      </x:c>
      <x:c r="G50" s="123" t="n">
        <x:f>E50-D50</x:f>
        <x:v>-2</x:v>
      </x:c>
      <x:c r="H50" s="139" t="n">
        <x:f>IFERROR(E50/D50,0)</x:f>
        <x:v>0.9877300613496932</x:v>
      </x:c>
      <x:c r="I50" s="145" t="n">
        <x:f>E50-F50</x:f>
        <x:v>156</x:v>
      </x:c>
      <x:c r="J50" s="151" t="n">
        <x:f>IFERROR(I50/E50,0)</x:f>
        <x:v>0.968944099378882</x:v>
      </x:c>
    </x:row>
    <x:row r="51">
      <x:c r="A51" s="113" t="n">
        <x:v>46249</x:v>
      </x:c>
      <x:c r="B51" s="66" t="str">
        <x:v>PD-001</x:v>
      </x:c>
      <x:c r="C51" s="66" t="str">
        <x:v>L1</x:v>
      </x:c>
      <x:c r="D51" s="121" t="n">
        <x:v>178</x:v>
      </x:c>
      <x:c r="E51" s="121" t="n">
        <x:v>210</x:v>
      </x:c>
      <x:c r="F51" s="122" t="n">
        <x:v>9</x:v>
      </x:c>
      <x:c r="G51" s="123" t="n">
        <x:f>E51-D51</x:f>
        <x:v>32</x:v>
      </x:c>
      <x:c r="H51" s="139" t="n">
        <x:f>IFERROR(E51/D51,0)</x:f>
        <x:v>1.1797752808988764</x:v>
      </x:c>
      <x:c r="I51" s="145" t="n">
        <x:f>E51-F51</x:f>
        <x:v>201</x:v>
      </x:c>
      <x:c r="J51" s="151" t="n">
        <x:f>IFERROR(I51/E51,0)</x:f>
        <x:v>0.9571428571428572</x:v>
      </x:c>
    </x:row>
    <x:row r="52">
      <x:c r="A52" s="113" t="n">
        <x:v>46250</x:v>
      </x:c>
      <x:c r="B52" s="66" t="str">
        <x:v>PD-002</x:v>
      </x:c>
      <x:c r="C52" s="66" t="str">
        <x:v>L2</x:v>
      </x:c>
      <x:c r="D52" s="121" t="n">
        <x:v>98</x:v>
      </x:c>
      <x:c r="E52" s="121" t="n">
        <x:v>131</x:v>
      </x:c>
      <x:c r="F52" s="122" t="n">
        <x:v>1</x:v>
      </x:c>
      <x:c r="G52" s="123" t="n">
        <x:f>E52-D52</x:f>
        <x:v>33</x:v>
      </x:c>
      <x:c r="H52" s="139" t="n">
        <x:f>IFERROR(E52/D52,0)</x:f>
        <x:v>1.336734693877551</x:v>
      </x:c>
      <x:c r="I52" s="145" t="n">
        <x:f>E52-F52</x:f>
        <x:v>130</x:v>
      </x:c>
      <x:c r="J52" s="151" t="n">
        <x:f>IFERROR(I52/E52,0)</x:f>
        <x:v>0.9923664122137404</x:v>
      </x:c>
    </x:row>
    <x:row r="53">
      <x:c r="A53" s="113" t="n">
        <x:v>46251</x:v>
      </x:c>
      <x:c r="B53" s="66" t="str">
        <x:v>PD-003</x:v>
      </x:c>
      <x:c r="C53" s="66" t="str">
        <x:v>L3</x:v>
      </x:c>
      <x:c r="D53" s="121" t="n">
        <x:v>182</x:v>
      </x:c>
      <x:c r="E53" s="121" t="n">
        <x:v>185</x:v>
      </x:c>
      <x:c r="F53" s="122" t="n">
        <x:v>9</x:v>
      </x:c>
      <x:c r="G53" s="123" t="n">
        <x:f>E53-D53</x:f>
        <x:v>3</x:v>
      </x:c>
      <x:c r="H53" s="139" t="n">
        <x:f>IFERROR(E53/D53,0)</x:f>
        <x:v>1.0164835164835164</x:v>
      </x:c>
      <x:c r="I53" s="145" t="n">
        <x:f>E53-F53</x:f>
        <x:v>176</x:v>
      </x:c>
      <x:c r="J53" s="151" t="n">
        <x:f>IFERROR(I53/E53,0)</x:f>
        <x:v>0.9513513513513514</x:v>
      </x:c>
    </x:row>
    <x:row r="54">
      <x:c r="A54" s="113" t="n">
        <x:v>46252</x:v>
      </x:c>
      <x:c r="B54" s="66" t="str">
        <x:v>PD-004</x:v>
      </x:c>
      <x:c r="C54" s="66" t="str">
        <x:v>L1</x:v>
      </x:c>
      <x:c r="D54" s="121" t="n">
        <x:v>194</x:v>
      </x:c>
      <x:c r="E54" s="121" t="n">
        <x:v>173</x:v>
      </x:c>
      <x:c r="F54" s="122" t="n">
        <x:v>4</x:v>
      </x:c>
      <x:c r="G54" s="123" t="n">
        <x:f>E54-D54</x:f>
        <x:v>-21</x:v>
      </x:c>
      <x:c r="H54" s="139" t="n">
        <x:f>IFERROR(E54/D54,0)</x:f>
        <x:v>0.8917525773195877</x:v>
      </x:c>
      <x:c r="I54" s="145" t="n">
        <x:f>E54-F54</x:f>
        <x:v>169</x:v>
      </x:c>
      <x:c r="J54" s="151" t="n">
        <x:f>IFERROR(I54/E54,0)</x:f>
        <x:v>0.976878612716763</x:v>
      </x:c>
    </x:row>
    <x:row r="55">
      <x:c r="A55" s="113" t="n">
        <x:v>46253</x:v>
      </x:c>
      <x:c r="B55" s="66" t="str">
        <x:v>PD-005</x:v>
      </x:c>
      <x:c r="C55" s="66" t="str">
        <x:v>L2</x:v>
      </x:c>
      <x:c r="D55" s="121" t="n">
        <x:v>213</x:v>
      </x:c>
      <x:c r="E55" s="121" t="n">
        <x:v>253</x:v>
      </x:c>
      <x:c r="F55" s="122" t="n">
        <x:v>12</x:v>
      </x:c>
      <x:c r="G55" s="123" t="n">
        <x:f>E55-D55</x:f>
        <x:v>40</x:v>
      </x:c>
      <x:c r="H55" s="139" t="n">
        <x:f>IFERROR(E55/D55,0)</x:f>
        <x:v>1.187793427230047</x:v>
      </x:c>
      <x:c r="I55" s="145" t="n">
        <x:f>E55-F55</x:f>
        <x:v>241</x:v>
      </x:c>
      <x:c r="J55" s="151" t="n">
        <x:f>IFERROR(I55/E55,0)</x:f>
        <x:v>0.9525691699604744</x:v>
      </x:c>
    </x:row>
    <x:row r="56">
      <x:c r="A56" s="113" t="n">
        <x:v>46254</x:v>
      </x:c>
      <x:c r="B56" s="66" t="str">
        <x:v>PD-006</x:v>
      </x:c>
      <x:c r="C56" s="66" t="str">
        <x:v>L3</x:v>
      </x:c>
      <x:c r="D56" s="121" t="n">
        <x:v>207</x:v>
      </x:c>
      <x:c r="E56" s="121" t="n">
        <x:v>194</x:v>
      </x:c>
      <x:c r="F56" s="122" t="n">
        <x:v>11</x:v>
      </x:c>
      <x:c r="G56" s="123" t="n">
        <x:f>E56-D56</x:f>
        <x:v>-13</x:v>
      </x:c>
      <x:c r="H56" s="139" t="n">
        <x:f>IFERROR(E56/D56,0)</x:f>
        <x:v>0.9371980676328503</x:v>
      </x:c>
      <x:c r="I56" s="145" t="n">
        <x:f>E56-F56</x:f>
        <x:v>183</x:v>
      </x:c>
      <x:c r="J56" s="151"/>
    </x:row>
    <x:row r="57">
      <x:c r="A57" s="113" t="n">
        <x:v>46255</x:v>
      </x:c>
      <x:c r="B57" s="66" t="str">
        <x:v>PD-007</x:v>
      </x:c>
      <x:c r="C57" s="66" t="str">
        <x:v>L1</x:v>
      </x:c>
      <x:c r="D57" s="121" t="n">
        <x:v>141</x:v>
      </x:c>
      <x:c r="E57" s="121" t="n">
        <x:v>122</x:v>
      </x:c>
      <x:c r="F57" s="122" t="n">
        <x:v>4</x:v>
      </x:c>
      <x:c r="G57" s="123" t="n">
        <x:f>E57-D57</x:f>
        <x:v>-19</x:v>
      </x:c>
      <x:c r="H57" s="139" t="n">
        <x:f>IFERROR(E57/D57,0)</x:f>
        <x:v>0.8652482269503546</x:v>
      </x:c>
      <x:c r="I57" s="145" t="n">
        <x:f>E57-F57</x:f>
        <x:v>118</x:v>
      </x:c>
      <x:c r="J57" s="151" t="n">
        <x:f>IFERROR(I57/E57,0)</x:f>
        <x:v>0.9672131147540983</x:v>
      </x:c>
    </x:row>
    <x:row r="58">
      <x:c r="A58" s="113" t="n">
        <x:v>46256</x:v>
      </x:c>
      <x:c r="B58" s="66" t="str">
        <x:v>PD-008</x:v>
      </x:c>
      <x:c r="C58" s="66" t="str">
        <x:v>L2</x:v>
      </x:c>
      <x:c r="D58" s="121" t="n">
        <x:v>105</x:v>
      </x:c>
      <x:c r="E58" s="121" t="n">
        <x:v>75</x:v>
      </x:c>
      <x:c r="F58" s="122" t="n">
        <x:v>1</x:v>
      </x:c>
      <x:c r="G58" s="123" t="n">
        <x:f>E58-D58</x:f>
        <x:v>-30</x:v>
      </x:c>
      <x:c r="H58" s="139" t="n">
        <x:f>IFERROR(E58/D58,0)</x:f>
        <x:v>0.7142857142857143</x:v>
      </x:c>
      <x:c r="I58" s="145" t="n">
        <x:f>E58-F58</x:f>
        <x:v>74</x:v>
      </x:c>
      <x:c r="J58" s="151" t="n">
        <x:f>IFERROR(I58/E58,0)</x:f>
        <x:v>0.9866666666666667</x:v>
      </x:c>
    </x:row>
    <x:row r="59">
      <x:c r="A59" s="113" t="n">
        <x:v>46257</x:v>
      </x:c>
      <x:c r="B59" s="66" t="str">
        <x:v>PD-009</x:v>
      </x:c>
      <x:c r="C59" s="66" t="str">
        <x:v>L3</x:v>
      </x:c>
      <x:c r="D59" s="121" t="n">
        <x:v>91</x:v>
      </x:c>
      <x:c r="E59" s="121" t="n">
        <x:v>85</x:v>
      </x:c>
      <x:c r="F59" s="122" t="n">
        <x:v>1</x:v>
      </x:c>
      <x:c r="G59" s="123" t="n">
        <x:f>E59-D59</x:f>
        <x:v>-6</x:v>
      </x:c>
      <x:c r="H59" s="139" t="n">
        <x:f>IFERROR(E59/D59,0)</x:f>
        <x:v>0.9340659340659341</x:v>
      </x:c>
      <x:c r="I59" s="145" t="n">
        <x:f>E59-F59</x:f>
        <x:v>84</x:v>
      </x:c>
      <x:c r="J59" s="151" t="n">
        <x:f>IFERROR(I59/E59,0)</x:f>
        <x:v>0.9882352941176471</x:v>
      </x:c>
    </x:row>
    <x:row r="60">
      <x:c r="A60" s="113" t="n">
        <x:v>46258</x:v>
      </x:c>
      <x:c r="B60" s="66" t="str">
        <x:v>PD-010</x:v>
      </x:c>
      <x:c r="C60" s="66" t="str">
        <x:v>L1</x:v>
      </x:c>
      <x:c r="D60" s="121" t="n">
        <x:v>101</x:v>
      </x:c>
      <x:c r="E60" s="121" t="n">
        <x:v>104</x:v>
      </x:c>
      <x:c r="F60" s="122" t="n">
        <x:v>5</x:v>
      </x:c>
      <x:c r="G60" s="123" t="n">
        <x:f>E60-D60</x:f>
        <x:v>3</x:v>
      </x:c>
      <x:c r="H60" s="139" t="n">
        <x:f>IFERROR(E60/D60,0)</x:f>
        <x:v>1.0297029702970297</x:v>
      </x:c>
      <x:c r="I60" s="145" t="n">
        <x:f>E60-F60</x:f>
        <x:v>99</x:v>
      </x:c>
      <x:c r="J60" s="151" t="n">
        <x:f>IFERROR(I60/E60,0)</x:f>
        <x:v>0.9519230769230769</x:v>
      </x:c>
    </x:row>
    <x:row r="61">
      <x:c r="A61" s="113" t="n">
        <x:v>46259</x:v>
      </x:c>
      <x:c r="B61" s="66" t="str">
        <x:v>PD-011</x:v>
      </x:c>
      <x:c r="C61" s="66" t="str">
        <x:v>L2</x:v>
      </x:c>
      <x:c r="D61" s="121" t="n">
        <x:v>144</x:v>
      </x:c>
      <x:c r="E61" s="121" t="n">
        <x:v>118</x:v>
      </x:c>
      <x:c r="F61" s="122" t="n">
        <x:v>7</x:v>
      </x:c>
      <x:c r="G61" s="123" t="n">
        <x:f>E61-D61</x:f>
        <x:v>-26</x:v>
      </x:c>
      <x:c r="H61" s="139" t="n">
        <x:f>IFERROR(E61/D61,0)</x:f>
        <x:v>0.8194444444444444</x:v>
      </x:c>
      <x:c r="I61" s="145" t="n">
        <x:f>E61-F61</x:f>
        <x:v>111</x:v>
      </x:c>
      <x:c r="J61" s="151" t="n">
        <x:f>IFERROR(I61/E61,0)</x:f>
        <x:v>0.940677966101695</x:v>
      </x:c>
    </x:row>
    <x:row r="62">
      <x:c r="A62" s="113" t="n">
        <x:v>46260</x:v>
      </x:c>
      <x:c r="B62" s="66" t="str">
        <x:v>PD-012</x:v>
      </x:c>
      <x:c r="C62" s="66" t="str">
        <x:v>L3</x:v>
      </x:c>
      <x:c r="D62" s="121" t="n">
        <x:v>192</x:v>
      </x:c>
      <x:c r="E62" s="121" t="n">
        <x:v>219</x:v>
      </x:c>
      <x:c r="F62" s="122" t="n">
        <x:v>1</x:v>
      </x:c>
      <x:c r="G62" s="123" t="n">
        <x:f>E62-D62</x:f>
        <x:v>27</x:v>
      </x:c>
      <x:c r="H62" s="139" t="n">
        <x:f>IFERROR(E62/D62,0)</x:f>
        <x:v>1.140625</x:v>
      </x:c>
      <x:c r="I62" s="145" t="n">
        <x:f>E62-F62</x:f>
        <x:v>218</x:v>
      </x:c>
      <x:c r="J62" s="151" t="n">
        <x:f>IFERROR(I62/E62,0)</x:f>
        <x:v>0.9954337899543378</x:v>
      </x:c>
    </x:row>
    <x:row r="63">
      <x:c r="A63" s="113" t="n">
        <x:v>46261</x:v>
      </x:c>
      <x:c r="B63" s="66" t="str">
        <x:v>PD-013</x:v>
      </x:c>
      <x:c r="C63" s="66" t="str">
        <x:v>L1</x:v>
      </x:c>
      <x:c r="D63" s="121" t="n">
        <x:v>142</x:v>
      </x:c>
      <x:c r="E63" s="121" t="n">
        <x:v>176</x:v>
      </x:c>
      <x:c r="F63" s="122" t="n">
        <x:v>9</x:v>
      </x:c>
      <x:c r="G63" s="123" t="n">
        <x:f>E63-D63</x:f>
        <x:v>34</x:v>
      </x:c>
      <x:c r="H63" s="139" t="n">
        <x:f>IFERROR(E63/D63,0)</x:f>
        <x:v>1.2394366197183098</x:v>
      </x:c>
      <x:c r="I63" s="145" t="n">
        <x:f>E63-F63</x:f>
        <x:v>167</x:v>
      </x:c>
      <x:c r="J63" s="151" t="n">
        <x:f>IFERROR(I63/E63,0)</x:f>
        <x:v>0.9488636363636364</x:v>
      </x:c>
    </x:row>
    <x:row r="64">
      <x:c r="A64" s="113" t="n">
        <x:v>46262</x:v>
      </x:c>
      <x:c r="B64" s="66" t="str">
        <x:v>PD-014</x:v>
      </x:c>
      <x:c r="C64" s="66" t="str">
        <x:v>L2</x:v>
      </x:c>
      <x:c r="D64" s="121" t="n">
        <x:v>160</x:v>
      </x:c>
      <x:c r="E64" s="121" t="n">
        <x:v>156</x:v>
      </x:c>
      <x:c r="F64" s="122" t="n">
        <x:v>5</x:v>
      </x:c>
      <x:c r="G64" s="123" t="n">
        <x:f>E64-D64</x:f>
        <x:v>-4</x:v>
      </x:c>
      <x:c r="H64" s="139" t="n">
        <x:f>IFERROR(E64/D64,0)</x:f>
        <x:v>0.975</x:v>
      </x:c>
      <x:c r="I64" s="145" t="n">
        <x:f>E64-F64</x:f>
        <x:v>151</x:v>
      </x:c>
      <x:c r="J64" s="151" t="n">
        <x:f>IFERROR(I64/E64,0)</x:f>
        <x:v>0.967948717948718</x:v>
      </x:c>
    </x:row>
    <x:row r="65">
      <x:c r="A65" s="114" t="n">
        <x:v>46263</x:v>
      </x:c>
      <x:c r="B65" s="73" t="str">
        <x:v>PD-015</x:v>
      </x:c>
      <x:c r="C65" s="73" t="str">
        <x:v>L3</x:v>
      </x:c>
      <x:c r="D65" s="124" t="n">
        <x:v>86</x:v>
      </x:c>
      <x:c r="E65" s="124" t="n">
        <x:v>60</x:v>
      </x:c>
      <x:c r="F65" s="125" t="n">
        <x:v>0</x:v>
      </x:c>
      <x:c r="G65" s="126" t="n">
        <x:f>E65-D65</x:f>
        <x:v>-26</x:v>
      </x:c>
      <x:c r="H65" s="140" t="n">
        <x:f>IFERROR(E65/D65,0)</x:f>
        <x:v>0.6976744186046512</x:v>
      </x:c>
      <x:c r="I65" s="146" t="n">
        <x:f>E65-F65</x:f>
        <x:v>60</x:v>
      </x:c>
      <x:c r="J65" s="152" t="n">
        <x:f>IFERROR(I65/E65,0)</x:f>
        <x:v>1</x:v>
      </x:c>
    </x:row>
    <x:row r="66">
      <x:c r="A66" s="160" t="str">
        <x:v>소계</x:v>
      </x:c>
      <x:c r="B66" s="161" t="str"/>
      <x:c r="C66" s="161" t="str"/>
      <x:c r="D66" s="162" t="n">
        <x:f>SUM(D6:D65)</x:f>
        <x:v>8389</x:v>
      </x:c>
      <x:c r="E66" s="162" t="n">
        <x:f>SUM(E6:E65)</x:f>
        <x:v>8742</x:v>
      </x:c>
      <x:c r="F66" s="162" t="n">
        <x:f>SUM(F6:F65)</x:f>
        <x:v>249</x:v>
      </x:c>
      <x:c r="G66" s="162" t="n">
        <x:f>SUM(G6:G65)</x:f>
        <x:v>755</x:v>
      </x:c>
      <x:c r="H66" s="161" t="str"/>
      <x:c r="I66" s="162" t="n">
        <x:f>SUM(I6:I65)</x:f>
        <x:v>8482</x:v>
      </x:c>
      <x:c r="J66" s="163" t="str"/>
    </x:row>
    <x:row r="67">
      <x:c r="A67" s="176" t="str">
        <x:v>품질조정</x:v>
      </x:c>
      <x:c r="B67" s="177" t="str"/>
      <x:c r="C67" s="177" t="str"/>
      <x:c r="D67" s="178" t="n">
        <x:v>0</x:v>
      </x:c>
      <x:c r="E67" s="178" t="n">
        <x:v>0</x:v>
      </x:c>
      <x:c r="F67" s="178" t="n">
        <x:v>-8</x:v>
      </x:c>
      <x:c r="G67" s="178" t="n">
        <x:v>0</x:v>
      </x:c>
      <x:c r="H67" s="177" t="n">
        <x:v>0</x:v>
      </x:c>
      <x:c r="I67" s="178" t="n">
        <x:v>8</x:v>
      </x:c>
      <x:c r="J67" s="179" t="n">
        <x:v>0</x:v>
      </x:c>
    </x:row>
    <x:row r="68">
      <x:c r="A68" s="160" t="str">
        <x:v>합계</x:v>
      </x:c>
      <x:c r="B68" s="161" t="str"/>
      <x:c r="C68" s="161" t="str"/>
      <x:c r="D68" s="162" t="n">
        <x:f>D66+D67</x:f>
        <x:v>8389</x:v>
      </x:c>
      <x:c r="E68" s="162" t="n">
        <x:f>E66+E67</x:f>
        <x:v>8742</x:v>
      </x:c>
      <x:c r="F68" s="162" t="n">
        <x:f>F66+F67</x:f>
        <x:v>241</x:v>
      </x:c>
      <x:c r="G68" s="162" t="n">
        <x:f>G66+G67</x:f>
        <x:v>755</x:v>
      </x:c>
      <x:c r="H68" s="161" t="str"/>
      <x:c r="I68" s="162" t="n">
        <x:f>I66+I67</x:f>
        <x:v>8490</x:v>
      </x:c>
      <x:c r="J68" s="163" t="str"/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0" hidden="0" customWidth="1"/>
  </x:cols>
  <x:sheetData>
    <x:row r="1" ht="30" customHeight="1">
      <x:c r="A1" s="5" t="str">
        <x:v>제품별 생산 요약</x:v>
      </x:c>
      <x:c r="B1" s="5"/>
      <x:c r="C1" s="5"/>
      <x:c r="D1" s="5"/>
      <x:c r="E1" s="5"/>
      <x:c r="F1" s="5"/>
    </x:row>
    <x:row r="2" ht="24" customHeight="1">
      <x:c r="A2" s="12" t="str">
        <x:v>제품별 계획·실적·불량·수율</x:v>
      </x:c>
      <x:c r="B2" s="12"/>
      <x:c r="C2" s="12"/>
      <x:c r="D2" s="12"/>
      <x:c r="E2" s="12"/>
      <x:c r="F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</x:row>
    <x:row r="5" ht="28" customHeight="1">
      <x:c r="A5" s="30" t="str">
        <x:v>제품코드</x:v>
      </x:c>
      <x:c r="B5" s="61" t="str">
        <x:v>계획</x:v>
      </x:c>
      <x:c r="C5" s="61" t="str">
        <x:v>실적</x:v>
      </x:c>
      <x:c r="D5" s="61" t="str">
        <x:v>불량</x:v>
      </x:c>
      <x:c r="E5" s="61" t="str">
        <x:v>양품</x:v>
      </x:c>
      <x:c r="F5" s="31" t="str">
        <x:v>수율</x:v>
      </x:c>
    </x:row>
    <x:row r="6">
      <x:c r="A6" s="188" t="str">
        <x:v>PD-001</x:v>
      </x:c>
      <x:c r="B6" s="120" t="n">
        <x:f>SUMIF('생산실적'!$B$6:$B$65,A6,'생산실적'!$D$6:$D$65)</x:f>
        <x:v>684</x:v>
      </x:c>
      <x:c r="C6" s="144" t="n">
        <x:f>SUMIF('생산실적'!$B$6:$B$65,A6,'생산실적'!$E$6:$E$65)</x:f>
        <x:v>664</x:v>
      </x:c>
      <x:c r="D6" s="144" t="n">
        <x:f>SUMIF('생산실적'!$B$6:$B$65,A6,'생산실적'!$F$6:$F$65)</x:f>
        <x:v>25</x:v>
      </x:c>
      <x:c r="E6" s="144" t="n">
        <x:f>SUMIF('생산실적'!$B$6:$B$65,A6,'생산실적'!$I$6:$I$65)</x:f>
        <x:v>639</x:v>
      </x:c>
      <x:c r="F6" s="150" t="n">
        <x:f>IFERROR(E6/C6,0)</x:f>
        <x:v>0.9623493975903614</x:v>
      </x:c>
    </x:row>
    <x:row r="7">
      <x:c r="A7" s="189" t="str">
        <x:v>PD-002</x:v>
      </x:c>
      <x:c r="B7" s="123" t="n">
        <x:f>SUMIF('생산실적'!$B$6:$B$65,A7,'생산실적'!$D$6:$D$65)</x:f>
        <x:v>565</x:v>
      </x:c>
      <x:c r="C7" s="145" t="n">
        <x:f>SUMIF('생산실적'!$B$6:$B$65,A7,'생산실적'!$E$6:$E$65)</x:f>
        <x:v>585</x:v>
      </x:c>
      <x:c r="D7" s="145" t="n">
        <x:f>SUMIF('생산실적'!$B$6:$B$65,A7,'생산실적'!$F$6:$F$65)</x:f>
        <x:v>16</x:v>
      </x:c>
      <x:c r="E7" s="145" t="n">
        <x:f>SUMIF('생산실적'!$B$6:$B$65,A7,'생산실적'!$I$6:$I$65)</x:f>
        <x:v>569</x:v>
      </x:c>
      <x:c r="F7" s="151" t="n">
        <x:f>IFERROR(E7/C7,0)</x:f>
        <x:v>0.9726495726495726</x:v>
      </x:c>
    </x:row>
    <x:row r="8">
      <x:c r="A8" s="189" t="str">
        <x:v>PD-003</x:v>
      </x:c>
      <x:c r="B8" s="123" t="n">
        <x:f>SUMIF('생산실적'!$B$6:$B$65,A8,'생산실적'!$D$6:$D$65)</x:f>
        <x:v>452</x:v>
      </x:c>
      <x:c r="C8" s="145" t="n">
        <x:f>SUMIF('생산실적'!$B$6:$B$65,A8,'생산실적'!$E$6:$E$65)</x:f>
        <x:v>491</x:v>
      </x:c>
      <x:c r="D8" s="145" t="n">
        <x:f>SUMIF('생산실적'!$B$6:$B$65,A8,'생산실적'!$F$6:$F$65)</x:f>
        <x:v>22</x:v>
      </x:c>
      <x:c r="E8" s="145" t="n">
        <x:f>SUMIF('생산실적'!$B$6:$B$65,A8,'생산실적'!$I$6:$I$65)</x:f>
        <x:v>469</x:v>
      </x:c>
      <x:c r="F8" s="151" t="n">
        <x:f>IFERROR(E8/C8,0)</x:f>
        <x:v>0.955193482688391</x:v>
      </x:c>
    </x:row>
    <x:row r="9">
      <x:c r="A9" s="189" t="str">
        <x:v>PD-004</x:v>
      </x:c>
      <x:c r="B9" s="123" t="n">
        <x:f>SUMIF('생산실적'!$B$6:$B$65,A9,'생산실적'!$D$6:$D$65)</x:f>
        <x:v>626</x:v>
      </x:c>
      <x:c r="C9" s="145" t="n">
        <x:f>SUMIF('생산실적'!$B$6:$B$65,A9,'생산실적'!$E$6:$E$65)</x:f>
        <x:v>674</x:v>
      </x:c>
      <x:c r="D9" s="145" t="n">
        <x:f>SUMIF('생산실적'!$B$6:$B$65,A9,'생산실적'!$F$6:$F$65)</x:f>
        <x:v>19</x:v>
      </x:c>
      <x:c r="E9" s="145" t="n">
        <x:f>SUMIF('생산실적'!$B$6:$B$65,A9,'생산실적'!$I$6:$I$65)</x:f>
        <x:v>655</x:v>
      </x:c>
      <x:c r="F9" s="151" t="n">
        <x:f>IFERROR(E9/C9,0)</x:f>
        <x:v>0.9718100890207715</x:v>
      </x:c>
    </x:row>
    <x:row r="10">
      <x:c r="A10" s="189" t="str">
        <x:v>PD-005</x:v>
      </x:c>
      <x:c r="B10" s="123" t="n">
        <x:f>SUMIF('생산실적'!$B$6:$B$65,A10,'생산실적'!$D$6:$D$65)</x:f>
        <x:v>659</x:v>
      </x:c>
      <x:c r="C10" s="145" t="n">
        <x:f>SUMIF('생산실적'!$B$6:$B$65,A10,'생산실적'!$E$6:$E$65)</x:f>
        <x:v>738</x:v>
      </x:c>
      <x:c r="D10" s="145" t="n">
        <x:f>SUMIF('생산실적'!$B$6:$B$65,A10,'생산실적'!$F$6:$F$65)</x:f>
        <x:v>31</x:v>
      </x:c>
      <x:c r="E10" s="145" t="n">
        <x:f>SUMIF('생산실적'!$B$6:$B$65,A10,'생산실적'!$I$6:$I$65)</x:f>
        <x:v>707</x:v>
      </x:c>
      <x:c r="F10" s="151" t="n">
        <x:f>IFERROR(E10/C10,0)</x:f>
        <x:v>0.9579945799457995</x:v>
      </x:c>
    </x:row>
    <x:row r="11">
      <x:c r="A11" s="189" t="str">
        <x:v>PD-006</x:v>
      </x:c>
      <x:c r="B11" s="123" t="n">
        <x:f>SUMIF('생산실적'!$B$6:$B$65,A11,'생산실적'!$D$6:$D$65)</x:f>
        <x:v>592</x:v>
      </x:c>
      <x:c r="C11" s="145" t="n">
        <x:f>SUMIF('생산실적'!$B$6:$B$65,A11,'생산실적'!$E$6:$E$65)</x:f>
        <x:v>630</x:v>
      </x:c>
      <x:c r="D11" s="145" t="n">
        <x:f>SUMIF('생산실적'!$B$6:$B$65,A11,'생산실적'!$F$6:$F$65)</x:f>
        <x:v>20</x:v>
      </x:c>
      <x:c r="E11" s="145" t="n">
        <x:f>SUMIF('생산실적'!$B$6:$B$65,A11,'생산실적'!$I$6:$I$65)</x:f>
        <x:v>610</x:v>
      </x:c>
      <x:c r="F11" s="151" t="n">
        <x:f>IFERROR(E11/C11,0)</x:f>
        <x:v>0.9682539682539683</x:v>
      </x:c>
    </x:row>
    <x:row r="12">
      <x:c r="A12" s="189" t="str">
        <x:v>PD-007</x:v>
      </x:c>
      <x:c r="B12" s="123" t="n">
        <x:f>SUMIF('생산실적'!$B$6:$B$65,A12,'생산실적'!$D$6:$D$65)</x:f>
        <x:v>632</x:v>
      </x:c>
      <x:c r="C12" s="145" t="n">
        <x:f>SUMIF('생산실적'!$B$6:$B$65,A12,'생산실적'!$E$6:$E$65)</x:f>
        <x:v>646</x:v>
      </x:c>
      <x:c r="D12" s="145" t="n">
        <x:f>SUMIF('생산실적'!$B$6:$B$65,A12,'생산실적'!$F$6:$F$65)</x:f>
        <x:v>10</x:v>
      </x:c>
      <x:c r="E12" s="145" t="n">
        <x:f>SUMIF('생산실적'!$B$6:$B$65,A12,'생산실적'!$I$6:$I$65)</x:f>
        <x:v>636</x:v>
      </x:c>
      <x:c r="F12" s="151" t="n">
        <x:f>IFERROR(E12/C12,0)</x:f>
        <x:v>0.9845201238390093</x:v>
      </x:c>
    </x:row>
    <x:row r="13">
      <x:c r="A13" s="189" t="str">
        <x:v>PD-008</x:v>
      </x:c>
      <x:c r="B13" s="123" t="n">
        <x:f>SUMIF('생산실적'!$B$6:$B$65,A13,'생산실적'!$D$6:$D$65)</x:f>
        <x:v>618</x:v>
      </x:c>
      <x:c r="C13" s="145" t="n">
        <x:f>SUMIF('생산실적'!$B$6:$B$65,A13,'생산실적'!$E$6:$E$65)</x:f>
        <x:v>573</x:v>
      </x:c>
      <x:c r="D13" s="145" t="n">
        <x:f>SUMIF('생산실적'!$B$6:$B$65,A13,'생산실적'!$F$6:$F$65)</x:f>
        <x:v>28</x:v>
      </x:c>
      <x:c r="E13" s="145" t="n">
        <x:f>SUMIF('생산실적'!$B$6:$B$65,A13,'생산실적'!$I$6:$I$65)</x:f>
        <x:v>545</x:v>
      </x:c>
      <x:c r="F13" s="151" t="n">
        <x:f>IFERROR(E13/C13,0)</x:f>
        <x:v>0.9511343804537522</x:v>
      </x:c>
    </x:row>
    <x:row r="14">
      <x:c r="A14" s="189" t="str">
        <x:v>PD-009</x:v>
      </x:c>
      <x:c r="B14" s="123" t="n">
        <x:f>SUMIF('생산실적'!$B$6:$B$65,A14,'생산실적'!$D$6:$D$65)</x:f>
        <x:v>420</x:v>
      </x:c>
      <x:c r="C14" s="145" t="n">
        <x:f>SUMIF('생산실적'!$B$6:$B$65,A14,'생산실적'!$E$6:$E$65)</x:f>
        <x:v>487</x:v>
      </x:c>
      <x:c r="D14" s="145" t="n">
        <x:f>SUMIF('생산실적'!$B$6:$B$65,A14,'생산실적'!$F$6:$F$65)</x:f>
        <x:v>4</x:v>
      </x:c>
      <x:c r="E14" s="145" t="n">
        <x:f>SUMIF('생산실적'!$B$6:$B$65,A14,'생산실적'!$I$6:$I$65)</x:f>
        <x:v>472</x:v>
      </x:c>
      <x:c r="F14" s="151" t="n">
        <x:f>IFERROR(E14/C14,0)</x:f>
        <x:v>0.9691991786447639</x:v>
      </x:c>
    </x:row>
    <x:row r="15">
      <x:c r="A15" s="189" t="str">
        <x:v>PD-010</x:v>
      </x:c>
      <x:c r="B15" s="123" t="n">
        <x:f>SUMIF('생산실적'!$B$6:$B$65,A15,'생산실적'!$D$6:$D$65)</x:f>
        <x:v>363</x:v>
      </x:c>
      <x:c r="C15" s="145" t="n">
        <x:f>SUMIF('생산실적'!$B$6:$B$65,A15,'생산실적'!$E$6:$E$65)</x:f>
        <x:v>389</x:v>
      </x:c>
      <x:c r="D15" s="145" t="n">
        <x:f>SUMIF('생산실적'!$B$6:$B$65,A15,'생산실적'!$F$6:$F$65)</x:f>
        <x:v>13</x:v>
      </x:c>
      <x:c r="E15" s="145" t="n">
        <x:f>SUMIF('생산실적'!$B$6:$B$65,A15,'생산실적'!$I$6:$I$65)</x:f>
        <x:v>376</x:v>
      </x:c>
      <x:c r="F15" s="151" t="n">
        <x:f>IFERROR(E15/C15,0)</x:f>
        <x:v>0.9665809768637532</x:v>
      </x:c>
    </x:row>
    <x:row r="16">
      <x:c r="A16" s="189" t="str">
        <x:v>PD-011</x:v>
      </x:c>
      <x:c r="B16" s="123" t="n">
        <x:f>SUMIF('생산실적'!$B$6:$B$65,A16,'생산실적'!$D$6:$D$65)</x:f>
        <x:v>445</x:v>
      </x:c>
      <x:c r="C16" s="145" t="n">
        <x:f>SUMIF('생산실적'!$B$6:$B$65,A16,'생산실적'!$E$6:$E$65)</x:f>
        <x:v>440</x:v>
      </x:c>
      <x:c r="D16" s="145" t="n">
        <x:f>SUMIF('생산실적'!$B$6:$B$65,A16,'생산실적'!$F$6:$F$65)</x:f>
        <x:v>16</x:v>
      </x:c>
      <x:c r="E16" s="145" t="n">
        <x:f>SUMIF('생산실적'!$B$6:$B$65,A16,'생산실적'!$I$6:$I$65)</x:f>
        <x:v>424</x:v>
      </x:c>
      <x:c r="F16" s="151" t="n">
        <x:f>IFERROR(E16/C16,0)</x:f>
        <x:v>0.9636363636363636</x:v>
      </x:c>
    </x:row>
    <x:row r="17">
      <x:c r="A17" s="189" t="str">
        <x:v>PD-012</x:v>
      </x:c>
      <x:c r="B17" s="123" t="n">
        <x:f>SUMIF('생산실적'!$B$6:$B$65,A17,'생산실적'!$D$6:$D$65)</x:f>
        <x:v>669</x:v>
      </x:c>
      <x:c r="C17" s="145" t="n">
        <x:f>SUMIF('생산실적'!$B$6:$B$65,A17,'생산실적'!$E$6:$E$65)</x:f>
        <x:v>676</x:v>
      </x:c>
      <x:c r="D17" s="145" t="n">
        <x:f>SUMIF('생산실적'!$B$6:$B$65,A17,'생산실적'!$F$6:$F$65)</x:f>
        <x:v>10</x:v>
      </x:c>
      <x:c r="E17" s="145" t="n">
        <x:f>SUMIF('생산실적'!$B$6:$B$65,A17,'생산실적'!$I$6:$I$65)</x:f>
        <x:v>666</x:v>
      </x:c>
      <x:c r="F17" s="151" t="n">
        <x:f>IFERROR(E17/C17,0)</x:f>
        <x:v>0.985207100591716</x:v>
      </x:c>
    </x:row>
    <x:row r="18">
      <x:c r="A18" s="189" t="str">
        <x:v>PD-013</x:v>
      </x:c>
      <x:c r="B18" s="123" t="n">
        <x:f>SUMIF('생산실적'!$B$6:$B$65,A18,'생산실적'!$D$6:$D$65)</x:f>
        <x:v>573</x:v>
      </x:c>
      <x:c r="C18" s="145" t="n">
        <x:f>SUMIF('생산실적'!$B$6:$B$65,A18,'생산실적'!$E$6:$E$65)</x:f>
        <x:v>662</x:v>
      </x:c>
      <x:c r="D18" s="145" t="n">
        <x:f>SUMIF('생산실적'!$B$6:$B$65,A18,'생산실적'!$F$6:$F$65)</x:f>
        <x:v>11</x:v>
      </x:c>
      <x:c r="E18" s="145" t="n">
        <x:f>SUMIF('생산실적'!$B$6:$B$65,A18,'생산실적'!$I$6:$I$65)</x:f>
        <x:v>651</x:v>
      </x:c>
      <x:c r="F18" s="151" t="n">
        <x:f>IFERROR(E18/C18,0)</x:f>
        <x:v>0.9833836858006042</x:v>
      </x:c>
    </x:row>
    <x:row r="19">
      <x:c r="A19" s="189" t="str">
        <x:v>PD-014</x:v>
      </x:c>
      <x:c r="B19" s="123" t="n">
        <x:f>SUMIF('생산실적'!$B$6:$B$65,A19,'생산실적'!$D$6:$D$65)</x:f>
        <x:v>542</x:v>
      </x:c>
      <x:c r="C19" s="145" t="n">
        <x:f>SUMIF('생산실적'!$B$6:$B$65,A19,'생산실적'!$E$6:$E$65)</x:f>
        <x:v>576</x:v>
      </x:c>
      <x:c r="D19" s="145" t="n">
        <x:f>SUMIF('생산실적'!$B$6:$B$65,A19,'생산실적'!$F$6:$F$65)</x:f>
        <x:v>17</x:v>
      </x:c>
      <x:c r="E19" s="145" t="n">
        <x:f>SUMIF('생산실적'!$B$6:$B$65,A19,'생산실적'!$I$6:$I$65)</x:f>
        <x:v>559</x:v>
      </x:c>
      <x:c r="F19" s="151" t="n">
        <x:f>IFERROR(E19/C19,0)</x:f>
        <x:v>0.9704861111111112</x:v>
      </x:c>
    </x:row>
    <x:row r="20">
      <x:c r="A20" s="190" t="str">
        <x:v>PD-015</x:v>
      </x:c>
      <x:c r="B20" s="126" t="n">
        <x:f>SUMIF('생산실적'!$B$6:$B$65,A20,'생산실적'!$D$6:$D$65)</x:f>
        <x:v>549</x:v>
      </x:c>
      <x:c r="C20" s="146" t="n">
        <x:f>SUMIF('생산실적'!$B$6:$B$65,A20,'생산실적'!$E$6:$E$65)</x:f>
        <x:v>511</x:v>
      </x:c>
      <x:c r="D20" s="146" t="n">
        <x:f>SUMIF('생산실적'!$B$6:$B$65,A20,'생산실적'!$F$6:$F$65)</x:f>
        <x:v>7</x:v>
      </x:c>
      <x:c r="E20" s="146" t="n">
        <x:f>SUMIF('생산실적'!$B$6:$B$65,A20,'생산실적'!$I$6:$I$65)</x:f>
        <x:v>504</x:v>
      </x:c>
      <x:c r="F20" s="152" t="n">
        <x:f>IFERROR(E20/C20,0)</x:f>
        <x:v>0.9863013698630136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생산 KPI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총 실적·불량·양품·평균수율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>
      <x:c r="A5" s="195" t="str">
        <x:v>총 생산실적</x:v>
      </x:c>
      <x:c r="B5" s="195"/>
      <x:c r="C5" s="195" t="str">
        <x:v>총 불량</x:v>
      </x:c>
      <x:c r="D5" s="195"/>
      <x:c r="E5" s="195" t="str">
        <x:v>총 양품</x:v>
      </x:c>
      <x:c r="F5" s="195"/>
      <x:c r="G5" s="195" t="str">
        <x:v>전체 수율</x:v>
      </x:c>
      <x:c r="H5" s="195"/>
    </x:row>
    <x:row r="6">
      <x:c r="A6" s="200" t="n">
        <x:f>'생산실적'!E68</x:f>
        <x:v>8742</x:v>
      </x:c>
      <x:c r="B6" s="200"/>
      <x:c r="C6" s="200" t="n">
        <x:f>'생산실적'!F68</x:f>
        <x:v>241</x:v>
      </x:c>
      <x:c r="D6" s="200"/>
      <x:c r="E6" s="200" t="n">
        <x:f>'생산실적'!I68</x:f>
        <x:v>8490</x:v>
      </x:c>
      <x:c r="F6" s="200"/>
      <x:c r="G6" s="200" t="n">
        <x:f>IFERROR('생산실적'!I68/'생산실적'!E68,0)</x:f>
        <x:v>0.9711736444749485</x:v>
      </x:c>
      <x:c r="H6" s="200"/>
    </x:row>
    <x:row r="7">
      <x:c r="A7" s="200"/>
      <x:c r="B7" s="200"/>
      <x:c r="C7" s="200"/>
      <x:c r="D7" s="200"/>
      <x:c r="E7" s="200"/>
      <x:c r="F7" s="200"/>
      <x:c r="G7" s="200"/>
      <x:c r="H7" s="200"/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</x:worksheet>
</file>