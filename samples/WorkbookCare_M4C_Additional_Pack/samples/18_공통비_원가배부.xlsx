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d086981d5645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fb596254155b4dfd"/>
    <x:sheet xmlns:r="http://schemas.openxmlformats.org/officeDocument/2006/relationships" name="부서기준" sheetId="2" r:id="Rb97d669615b74a91"/>
    <x:sheet xmlns:r="http://schemas.openxmlformats.org/officeDocument/2006/relationships" name="공통비" sheetId="3" r:id="R0846bd7451b14d9d"/>
    <x:sheet xmlns:r="http://schemas.openxmlformats.org/officeDocument/2006/relationships" name="배부계산" sheetId="4" r:id="R4d25b6bf72084f95"/>
    <x:sheet xmlns:r="http://schemas.openxmlformats.org/officeDocument/2006/relationships" name="요약" sheetId="5" r:id="R6f9f689db89543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00%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95959"/>
      <x:name val="Carlito"/>
    </x:font>
    <x:font>
      <x:sz val="9"/>
      <x:color rgb="FF666666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2F75B5"/>
      </x:patternFill>
    </x:fill>
    <x:fill>
      <x:patternFill patternType="solid">
        <x:fgColor rgb="FFE7E6E6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30">
    <x:border/>
    <x:border/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left style="hair">
        <x:color rgb="FFD9D9D9"/>
      </x:left>
      <x:top style="hair">
        <x:color rgb="FFD9D9D9"/>
      </x:top>
    </x:border>
    <x:border>
      <x:top style="hair">
        <x:color rgb="FFD9D9D9"/>
      </x:top>
    </x:border>
    <x:border>
      <x:right style="hair">
        <x:color rgb="FFD9D9D9"/>
      </x:right>
      <x:top style="hair">
        <x:color rgb="FFD9D9D9"/>
      </x:top>
    </x:border>
    <x:border>
      <x:left style="hair">
        <x:color rgb="FFD9D9D9"/>
      </x:left>
    </x:border>
    <x:border>
      <x:right style="hair">
        <x:color rgb="FFD9D9D9"/>
      </x:right>
    </x:border>
    <x:border>
      <x:left style="hair">
        <x:color rgb="FFD9D9D9"/>
      </x:left>
      <x:bottom style="hair">
        <x:color rgb="FFD9D9D9"/>
      </x:bottom>
    </x:border>
    <x:border>
      <x:bottom style="hair">
        <x:color rgb="FFD9D9D9"/>
      </x:bottom>
    </x:border>
    <x:border>
      <x:right style="hair">
        <x:color rgb="FFD9D9D9"/>
      </x:right>
      <x:bottom style="hair">
        <x:color rgb="FFD9D9D9"/>
      </x:bottom>
    </x:border>
    <x:border>
      <x:left style="hair">
        <x:color rgb="FFD9D9D9"/>
      </x:left>
      <x:top style="hair">
        <x:color rgb="FFD9D9D9"/>
      </x:top>
    </x:border>
    <x:border>
      <x:top style="hair">
        <x:color rgb="FFD9D9D9"/>
      </x:top>
    </x:border>
    <x:border>
      <x:right style="hair">
        <x:color rgb="FFD9D9D9"/>
      </x:right>
      <x:top style="hair">
        <x:color rgb="FFD9D9D9"/>
      </x:top>
    </x:border>
    <x:border>
      <x:left style="hair">
        <x:color rgb="FFD9D9D9"/>
      </x:left>
    </x:border>
    <x:border>
      <x:right style="hair">
        <x:color rgb="FFD9D9D9"/>
      </x:right>
    </x:border>
    <x:border>
      <x:left style="hair">
        <x:color rgb="FFD9D9D9"/>
      </x:left>
      <x:bottom style="hair">
        <x:color rgb="FFD9D9D9"/>
      </x:bottom>
    </x:border>
    <x:border>
      <x:bottom style="hair">
        <x:color rgb="FFD9D9D9"/>
      </x:bottom>
    </x:border>
    <x:border>
      <x:right style="hair">
        <x:color rgb="FFD9D9D9"/>
      </x:right>
      <x:bottom style="hair">
        <x:color rgb="FFD9D9D9"/>
      </x:bottom>
    </x:border>
    <x:border>
      <x:left style="hair">
        <x:color rgb="FFD9D9D9"/>
      </x:left>
      <x:right style="hair">
        <x:color rgb="FFD9D9D9"/>
      </x:right>
      <x:top style="hair">
        <x:color rgb="FFD9D9D9"/>
      </x:top>
    </x:border>
    <x:border>
      <x:left style="hair">
        <x:color rgb="FFD9D9D9"/>
      </x:left>
      <x:right style="hair">
        <x:color rgb="FFD9D9D9"/>
      </x:right>
    </x:border>
    <x:border>
      <x:left style="hair">
        <x:color rgb="FFD9D9D9"/>
      </x:left>
      <x:right style="hair">
        <x:color rgb="FFD9D9D9"/>
      </x:right>
      <x:bottom style="hair">
        <x:color rgb="FFD9D9D9"/>
      </x:bottom>
    </x:border>
    <x:border>
      <x:left style="hair">
        <x:color rgb="FFD9D9D9"/>
      </x:left>
      <x:right style="hair">
        <x:color rgb="FFD9D9D9"/>
      </x:right>
      <x:top style="hair">
        <x:color rgb="FFD9D9D9"/>
      </x:top>
    </x:border>
    <x:border>
      <x:left style="hair">
        <x:color rgb="FFD9D9D9"/>
      </x:left>
      <x:right style="hair">
        <x:color rgb="FFD9D9D9"/>
      </x:right>
    </x:border>
    <x:border>
      <x:left style="hair">
        <x:color rgb="FFD9D9D9"/>
      </x:left>
      <x:right style="hair">
        <x:color rgb="FFD9D9D9"/>
      </x:right>
      <x:bottom style="hair">
        <x:color rgb="FFD9D9D9"/>
      </x:bottom>
    </x:border>
  </x:borders>
  <x:cellStyleXfs count="1">
    <x:xf numFmtId="0" fontId="0" fillId="0" borderId="0"/>
  </x:cellStyleXfs>
  <x:cellXfs count="1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4" fillId="5" borderId="6" xfId="0" applyNumberFormat="1" applyFont="1" applyFill="1" applyBorder="1"/>
    <x:xf numFmtId="0" fontId="4" fillId="5" borderId="6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/>
    <x:xf numFmtId="0" fontId="4" fillId="5" borderId="7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0" fillId="8" borderId="8" xfId="0" applyNumberFormat="1" applyFont="1" applyFill="1" applyBorder="1"/>
    <x:xf numFmtId="0" fontId="0" fillId="8" borderId="9" xfId="0" applyNumberFormat="1" applyFont="1" applyFill="1" applyBorder="1"/>
    <x:xf numFmtId="0" fontId="0" fillId="8" borderId="10" xfId="0" applyNumberFormat="1" applyFont="1" applyFill="1" applyBorder="1"/>
    <x:xf numFmtId="0" fontId="0" fillId="8" borderId="11" xfId="0" applyNumberFormat="1" applyFont="1" applyFill="1" applyBorder="1"/>
    <x:xf numFmtId="0" fontId="0" fillId="8" borderId="12" xfId="0" applyNumberFormat="1" applyFont="1" applyFill="1" applyBorder="1"/>
    <x:xf numFmtId="0" fontId="0" fillId="8" borderId="13" xfId="0" applyNumberFormat="1" applyFont="1" applyFill="1" applyBorder="1"/>
    <x:xf numFmtId="0" fontId="0" fillId="8" borderId="14" xfId="0" applyNumberFormat="1" applyFont="1" applyFill="1" applyBorder="1"/>
    <x:xf numFmtId="0" fontId="0" fillId="8" borderId="15" xfId="0" applyNumberFormat="1" applyFont="1" applyFill="1" applyBorder="1"/>
    <x:xf numFmtId="0" fontId="0" fillId="8" borderId="1" xfId="0" applyNumberFormat="1" applyFont="1" applyFill="1" applyBorder="1"/>
    <x:xf numFmtId="0" fontId="0" fillId="8" borderId="16" xfId="0" applyNumberFormat="1" applyFont="1" applyFill="1" applyBorder="1"/>
    <x:xf numFmtId="0" fontId="0" fillId="8" borderId="17" xfId="0" applyNumberFormat="1" applyFont="1" applyFill="1" applyBorder="1"/>
    <x:xf numFmtId="0" fontId="0" fillId="8" borderId="18" xfId="0" applyNumberFormat="1" applyFont="1" applyFill="1" applyBorder="1"/>
    <x:xf numFmtId="0" fontId="0" fillId="8" borderId="19" xfId="0" applyNumberFormat="1" applyFont="1" applyFill="1" applyBorder="1"/>
    <x:xf numFmtId="0" fontId="0" fillId="8" borderId="20" xfId="0" applyNumberFormat="1" applyFont="1" applyFill="1" applyBorder="1"/>
    <x:xf numFmtId="0" fontId="0" fillId="8" borderId="21" xfId="0" applyNumberFormat="1" applyFont="1" applyFill="1" applyBorder="1"/>
    <x:xf numFmtId="0" fontId="0" fillId="8" borderId="22" xfId="0" applyNumberFormat="1" applyFont="1" applyFill="1" applyBorder="1"/>
    <x:xf numFmtId="0" fontId="0" fillId="8" borderId="23" xfId="0" applyNumberFormat="1" applyFont="1" applyFill="1" applyBorder="1"/>
    <x:xf numFmtId="200" fontId="0" fillId="8" borderId="9" xfId="0" applyNumberFormat="1" applyFont="1" applyFill="1" applyBorder="1"/>
    <x:xf numFmtId="200" fontId="0" fillId="8" borderId="10" xfId="0" applyNumberFormat="1" applyFont="1" applyFill="1" applyBorder="1"/>
    <x:xf numFmtId="200" fontId="0" fillId="8" borderId="0" xfId="0" applyNumberFormat="1" applyFont="1" applyFill="1" applyBorder="1"/>
    <x:xf numFmtId="200" fontId="0" fillId="8" borderId="12" xfId="0" applyNumberFormat="1" applyFont="1" applyFill="1" applyBorder="1"/>
    <x:xf numFmtId="200" fontId="0" fillId="8" borderId="14" xfId="0" applyNumberFormat="1" applyFont="1" applyFill="1" applyBorder="1"/>
    <x:xf numFmtId="200" fontId="0" fillId="8" borderId="15" xfId="0" applyNumberFormat="1" applyFont="1" applyFill="1" applyBorder="1"/>
    <x:xf numFmtId="200" fontId="0" fillId="8" borderId="17" xfId="0" applyNumberFormat="1" applyFont="1" applyFill="1" applyBorder="1"/>
    <x:xf numFmtId="200" fontId="0" fillId="8" borderId="18" xfId="0" applyNumberFormat="1" applyFont="1" applyFill="1" applyBorder="1"/>
    <x:xf numFmtId="200" fontId="0" fillId="8" borderId="1" xfId="0" applyNumberFormat="1" applyFont="1" applyFill="1" applyBorder="1"/>
    <x:xf numFmtId="200" fontId="0" fillId="8" borderId="20" xfId="0" applyNumberFormat="1" applyFont="1" applyFill="1" applyBorder="1"/>
    <x:xf numFmtId="200" fontId="0" fillId="8" borderId="22" xfId="0" applyNumberFormat="1" applyFont="1" applyFill="1" applyBorder="1"/>
    <x:xf numFmtId="200" fontId="0" fillId="8" borderId="23" xfId="0" applyNumberFormat="1" applyFont="1" applyFill="1" applyBorder="1"/>
    <x:xf numFmtId="0" fontId="0" fillId="7" borderId="8" xfId="0" applyNumberFormat="1" applyFont="1" applyFill="1" applyBorder="1"/>
    <x:xf numFmtId="0" fontId="0" fillId="7" borderId="9" xfId="0" applyNumberFormat="1" applyFont="1" applyFill="1" applyBorder="1"/>
    <x:xf numFmtId="0" fontId="0" fillId="7" borderId="10" xfId="0" applyNumberFormat="1" applyFont="1" applyFill="1" applyBorder="1"/>
    <x:xf numFmtId="0" fontId="0" fillId="7" borderId="11" xfId="0" applyNumberFormat="1" applyFont="1" applyFill="1" applyBorder="1"/>
    <x:xf numFmtId="0" fontId="0" fillId="7" borderId="12" xfId="0" applyNumberFormat="1" applyFont="1" applyFill="1" applyBorder="1"/>
    <x:xf numFmtId="0" fontId="0" fillId="7" borderId="13" xfId="0" applyNumberFormat="1" applyFont="1" applyFill="1" applyBorder="1"/>
    <x:xf numFmtId="0" fontId="0" fillId="7" borderId="14" xfId="0" applyNumberFormat="1" applyFont="1" applyFill="1" applyBorder="1"/>
    <x:xf numFmtId="0" fontId="0" fillId="7" borderId="15" xfId="0" applyNumberFormat="1" applyFont="1" applyFill="1" applyBorder="1"/>
    <x:xf numFmtId="0" fontId="0" fillId="7" borderId="16" xfId="0" applyNumberFormat="1" applyFont="1" applyFill="1" applyBorder="1"/>
    <x:xf numFmtId="0" fontId="0" fillId="7" borderId="17" xfId="0" applyNumberFormat="1" applyFont="1" applyFill="1" applyBorder="1"/>
    <x:xf numFmtId="0" fontId="0" fillId="7" borderId="18" xfId="0" applyNumberFormat="1" applyFont="1" applyFill="1" applyBorder="1"/>
    <x:xf numFmtId="0" fontId="0" fillId="7" borderId="19" xfId="0" applyNumberFormat="1" applyFont="1" applyFill="1" applyBorder="1"/>
    <x:xf numFmtId="0" fontId="0" fillId="7" borderId="20" xfId="0" applyNumberFormat="1" applyFont="1" applyFill="1" applyBorder="1"/>
    <x:xf numFmtId="0" fontId="0" fillId="7" borderId="21" xfId="0" applyNumberFormat="1" applyFont="1" applyFill="1" applyBorder="1"/>
    <x:xf numFmtId="0" fontId="0" fillId="7" borderId="22" xfId="0" applyNumberFormat="1" applyFont="1" applyFill="1" applyBorder="1"/>
    <x:xf numFmtId="0" fontId="0" fillId="7" borderId="23" xfId="0" applyNumberFormat="1" applyFont="1" applyFill="1" applyBorder="1"/>
    <x:xf numFmtId="200" fontId="0" fillId="7" borderId="8" xfId="0" applyNumberFormat="1" applyFont="1" applyFill="1" applyBorder="1"/>
    <x:xf numFmtId="200" fontId="0" fillId="7" borderId="9" xfId="0" applyNumberFormat="1" applyFont="1" applyFill="1" applyBorder="1"/>
    <x:xf numFmtId="200" fontId="0" fillId="7" borderId="11" xfId="0" applyNumberFormat="1" applyFont="1" applyFill="1" applyBorder="1"/>
    <x:xf numFmtId="200" fontId="0" fillId="7" borderId="0" xfId="0" applyNumberFormat="1" applyFont="1" applyFill="1" applyBorder="1"/>
    <x:xf numFmtId="200" fontId="0" fillId="7" borderId="13" xfId="0" applyNumberFormat="1" applyFont="1" applyFill="1" applyBorder="1"/>
    <x:xf numFmtId="200" fontId="0" fillId="7" borderId="14" xfId="0" applyNumberFormat="1" applyFont="1" applyFill="1" applyBorder="1"/>
    <x:xf numFmtId="200" fontId="0" fillId="7" borderId="16" xfId="0" applyNumberFormat="1" applyFont="1" applyFill="1" applyBorder="1"/>
    <x:xf numFmtId="200" fontId="0" fillId="7" borderId="17" xfId="0" applyNumberFormat="1" applyFont="1" applyFill="1" applyBorder="1"/>
    <x:xf numFmtId="200" fontId="0" fillId="7" borderId="19" xfId="0" applyNumberFormat="1" applyFont="1" applyFill="1" applyBorder="1"/>
    <x:xf numFmtId="200" fontId="0" fillId="7" borderId="1" xfId="0" applyNumberFormat="1" applyFont="1" applyFill="1" applyBorder="1"/>
    <x:xf numFmtId="200" fontId="0" fillId="7" borderId="21" xfId="0" applyNumberFormat="1" applyFont="1" applyFill="1" applyBorder="1"/>
    <x:xf numFmtId="200" fontId="0" fillId="7" borderId="22" xfId="0" applyNumberFormat="1" applyFont="1" applyFill="1" applyBorder="1"/>
    <x:xf numFmtId="201" fontId="0" fillId="7" borderId="9" xfId="0" applyNumberFormat="1" applyFont="1" applyFill="1" applyBorder="1"/>
    <x:xf numFmtId="201" fontId="0" fillId="7" borderId="0" xfId="0" applyNumberFormat="1" applyFont="1" applyFill="1" applyBorder="1"/>
    <x:xf numFmtId="201" fontId="0" fillId="7" borderId="14" xfId="0" applyNumberFormat="1" applyFont="1" applyFill="1" applyBorder="1"/>
    <x:xf numFmtId="201" fontId="0" fillId="7" borderId="17" xfId="0" applyNumberFormat="1" applyFont="1" applyFill="1" applyBorder="1"/>
    <x:xf numFmtId="201" fontId="0" fillId="7" borderId="1" xfId="0" applyNumberFormat="1" applyFont="1" applyFill="1" applyBorder="1"/>
    <x:xf numFmtId="201" fontId="0" fillId="7" borderId="22" xfId="0" applyNumberFormat="1" applyFont="1" applyFill="1" applyBorder="1"/>
    <x:xf numFmtId="200" fontId="0" fillId="7" borderId="10" xfId="0" applyNumberFormat="1" applyFont="1" applyFill="1" applyBorder="1"/>
    <x:xf numFmtId="200" fontId="0" fillId="7" borderId="12" xfId="0" applyNumberFormat="1" applyFont="1" applyFill="1" applyBorder="1"/>
    <x:xf numFmtId="200" fontId="0" fillId="7" borderId="15" xfId="0" applyNumberFormat="1" applyFont="1" applyFill="1" applyBorder="1"/>
    <x:xf numFmtId="200" fontId="0" fillId="7" borderId="18" xfId="0" applyNumberFormat="1" applyFont="1" applyFill="1" applyBorder="1"/>
    <x:xf numFmtId="200" fontId="0" fillId="7" borderId="20" xfId="0" applyNumberFormat="1" applyFont="1" applyFill="1" applyBorder="1"/>
    <x:xf numFmtId="200" fontId="0" fillId="7" borderId="23" xfId="0" applyNumberFormat="1" applyFont="1" applyFill="1" applyBorder="1"/>
    <x:xf numFmtId="0" fontId="0" fillId="8" borderId="24" xfId="0" applyNumberFormat="1" applyFont="1" applyFill="1" applyBorder="1"/>
    <x:xf numFmtId="0" fontId="0" fillId="8" borderId="25" xfId="0" applyNumberFormat="1" applyFont="1" applyFill="1" applyBorder="1"/>
    <x:xf numFmtId="0" fontId="0" fillId="8" borderId="26" xfId="0" applyNumberFormat="1" applyFont="1" applyFill="1" applyBorder="1"/>
    <x:xf numFmtId="0" fontId="0" fillId="8" borderId="27" xfId="0" applyNumberFormat="1" applyFont="1" applyFill="1" applyBorder="1"/>
    <x:xf numFmtId="0" fontId="0" fillId="8" borderId="28" xfId="0" applyNumberFormat="1" applyFont="1" applyFill="1" applyBorder="1"/>
    <x:xf numFmtId="0" fontId="0" fillId="8" borderId="2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150785ee244e6e" /><Relationship Type="http://schemas.openxmlformats.org/officeDocument/2006/relationships/theme" Target="/xl/theme/theme1.xml" Id="R8c05d7341ef34a46" /><Relationship Type="http://schemas.openxmlformats.org/officeDocument/2006/relationships/sharedStrings" Target="/xl/sharedStrings.xml" Id="R660a999c6b6e468f" /><Relationship Type="http://schemas.openxmlformats.org/officeDocument/2006/relationships/worksheet" Target="/xl/worksheets/sheet1.xml" Id="Rfb596254155b4dfd" /><Relationship Type="http://schemas.openxmlformats.org/officeDocument/2006/relationships/worksheet" Target="/xl/worksheets/sheet2.xml" Id="Rb97d669615b74a91" /><Relationship Type="http://schemas.openxmlformats.org/officeDocument/2006/relationships/worksheet" Target="/xl/worksheets/sheet3.xml" Id="R0846bd7451b14d9d" /><Relationship Type="http://schemas.openxmlformats.org/officeDocument/2006/relationships/worksheet" Target="/xl/worksheets/sheet4.xml" Id="R4d25b6bf72084f95" /><Relationship Type="http://schemas.openxmlformats.org/officeDocument/2006/relationships/worksheet" Target="/xl/worksheets/sheet5.xml" Id="R6f9f689db89543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4" hidden="0" customWidth="1"/>
  </x:cols>
  <x:sheetData>
    <x:row r="1" ht="30" customHeight="1">
      <x:c r="A1" s="5" t="str">
        <x:v>부서별 공통비 원가배부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2" t="str">
        <x:v>공통비 항목별 배부기준을 부서에 적용해 배부비율·배부금액·검증차이를 계산하는 합성 관리회계 샘플</x:v>
      </x:c>
      <x:c r="B2" s="12"/>
      <x:c r="C2" s="12"/>
      <x:c r="D2" s="12"/>
      <x:c r="E2" s="12"/>
      <x:c r="F2" s="12"/>
      <x:c r="G2" s="12"/>
      <x:c r="H2" s="12"/>
    </x:row>
    <x:row r="3">
      <x:c r="A3" s="18" t="str">
        <x:v>M4-C 추가 교정용 합성 데이터입니다.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</x:row>
    <x:row r="5" ht="28" customHeight="1">
      <x:c r="A5" s="30" t="str">
        <x:v>구분</x:v>
      </x:c>
      <x:c r="B5" s="31" t="str">
        <x:v>내용</x:v>
      </x:c>
    </x:row>
    <x:row r="6">
      <x:c r="A6" s="45" t="str">
        <x:v>샘플 성격</x:v>
      </x:c>
      <x:c r="B6" s="51" t="str">
        <x:v>실제 회사·개인정보를 사용하지 않은 합성 업무 파일</x:v>
      </x:c>
    </x:row>
    <x:row r="7">
      <x:c r="A7" s="45" t="str">
        <x:v>검증 용도</x:v>
      </x:c>
      <x:c r="B7" s="51" t="str">
        <x:v>Calibration</x:v>
      </x:c>
    </x:row>
    <x:row r="8">
      <x:c r="A8" s="45" t="str">
        <x:v>핵심 검증</x:v>
      </x:c>
      <x:c r="B8" s="51" t="str">
        <x:v>배부기준합계 행 참조 이탈, 배부비율 함수 이탈, 배부금액 상수 덮어쓰기, 검증차이 빈 셀</x:v>
      </x:c>
    </x:row>
    <x:row r="9">
      <x:c r="A9" s="45" t="str">
        <x:v>사용 방법</x:v>
      </x:c>
      <x:c r="B9" s="51" t="str">
        <x:v>기본 무료 진단 후 M4 수식 패턴 정밀검사를 선택 실행</x:v>
      </x:c>
    </x:row>
    <x:row r="10">
      <x:c r="A10" s="45" t="str">
        <x:v>주의</x:v>
      </x:c>
      <x:c r="B10" s="51" t="str">
        <x:v>Finding은 업무 오류 확정이 아니라 사람이 확인할 이상 후보입니다.</x:v>
      </x:c>
    </x:row>
    <x:row r="12" ht="28" customHeight="1">
      <x:c r="A12" s="30" t="str">
        <x:v>시트</x:v>
      </x:c>
      <x:c r="B12" s="31" t="str">
        <x:v>업무 역할</x:v>
      </x:c>
    </x:row>
    <x:row r="13">
      <x:c r="A13" s="55" t="str">
        <x:v>부서기준</x:v>
      </x:c>
      <x:c r="B13" s="50" t="str">
        <x:v>인원·매출·면적 기준</x:v>
      </x:c>
    </x:row>
    <x:row r="14">
      <x:c r="A14" s="55" t="str">
        <x:v>공통비</x:v>
      </x:c>
      <x:c r="B14" s="50" t="str">
        <x:v>공통비 항목·배부기준</x:v>
      </x:c>
    </x:row>
    <x:row r="15">
      <x:c r="A15" s="55" t="str">
        <x:v>배부계산</x:v>
      </x:c>
      <x:c r="B15" s="50" t="str">
        <x:v>부서별 배부 계산</x:v>
      </x:c>
    </x:row>
    <x:row r="16">
      <x:c r="A16" s="55" t="str">
        <x:v>요약</x:v>
      </x:c>
      <x:c r="B16" s="50" t="str">
        <x:v>배부 KPI</x:v>
      </x:c>
    </x:row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8" hidden="0" customWidth="1"/>
    <x:col min="4" max="4" width="12" hidden="0" customWidth="1"/>
  </x:cols>
  <x:sheetData>
    <x:row r="1" ht="30" customHeight="1">
      <x:c r="A1" s="5" t="str">
        <x:v>부서별 배부 기준</x:v>
      </x:c>
      <x:c r="B1" s="5"/>
      <x:c r="C1" s="5"/>
      <x:c r="D1" s="5"/>
    </x:row>
    <x:row r="2" ht="24" customHeight="1">
      <x:c r="A2" s="12" t="str">
        <x:v>합성 인원·매출·면적 데이터</x:v>
      </x:c>
      <x:c r="B2" s="12"/>
      <x:c r="C2" s="12"/>
      <x:c r="D2" s="12"/>
    </x:row>
    <x:row r="3">
      <x:c r="A3" s="18" t="str">
        <x:v>M4-C 추가 교정용 합성 데이터입니다. 노란색은 입력, 파란색은 계산 영역입니다.</x:v>
      </x:c>
      <x:c r="B3" s="18"/>
      <x:c r="C3" s="18"/>
      <x:c r="D3" s="18"/>
    </x:row>
    <x:row r="5" ht="28" customHeight="1">
      <x:c r="A5" s="30" t="str">
        <x:v>부서</x:v>
      </x:c>
      <x:c r="B5" s="61" t="str">
        <x:v>인원</x:v>
      </x:c>
      <x:c r="C5" s="61" t="str">
        <x:v>매출</x:v>
      </x:c>
      <x:c r="D5" s="31" t="str">
        <x:v>면적</x:v>
      </x:c>
    </x:row>
    <x:row r="6">
      <x:c r="A6" s="67" t="str">
        <x:v>부서01</x:v>
      </x:c>
      <x:c r="B6" s="84" t="n">
        <x:v>15</x:v>
      </x:c>
      <x:c r="C6" s="84" t="n">
        <x:v>34500000</x:v>
      </x:c>
      <x:c r="D6" s="85" t="n">
        <x:v>145</x:v>
      </x:c>
    </x:row>
    <x:row r="7">
      <x:c r="A7" s="70" t="str">
        <x:v>부서02</x:v>
      </x:c>
      <x:c r="B7" s="86" t="n">
        <x:v>18</x:v>
      </x:c>
      <x:c r="C7" s="86" t="n">
        <x:v>39000000</x:v>
      </x:c>
      <x:c r="D7" s="87" t="n">
        <x:v>170</x:v>
      </x:c>
    </x:row>
    <x:row r="8">
      <x:c r="A8" s="70" t="str">
        <x:v>부서03</x:v>
      </x:c>
      <x:c r="B8" s="86" t="n">
        <x:v>21</x:v>
      </x:c>
      <x:c r="C8" s="86" t="n">
        <x:v>43500000</x:v>
      </x:c>
      <x:c r="D8" s="87" t="n">
        <x:v>195</x:v>
      </x:c>
    </x:row>
    <x:row r="9">
      <x:c r="A9" s="70" t="str">
        <x:v>부서04</x:v>
      </x:c>
      <x:c r="B9" s="86" t="n">
        <x:v>24</x:v>
      </x:c>
      <x:c r="C9" s="86" t="n">
        <x:v>48000000</x:v>
      </x:c>
      <x:c r="D9" s="87" t="n">
        <x:v>220</x:v>
      </x:c>
    </x:row>
    <x:row r="10">
      <x:c r="A10" s="70" t="str">
        <x:v>부서05</x:v>
      </x:c>
      <x:c r="B10" s="86" t="n">
        <x:v>27</x:v>
      </x:c>
      <x:c r="C10" s="86" t="n">
        <x:v>52500000</x:v>
      </x:c>
      <x:c r="D10" s="87" t="n">
        <x:v>245</x:v>
      </x:c>
    </x:row>
    <x:row r="11">
      <x:c r="A11" s="70" t="str">
        <x:v>부서06</x:v>
      </x:c>
      <x:c r="B11" s="86" t="n">
        <x:v>30</x:v>
      </x:c>
      <x:c r="C11" s="86" t="n">
        <x:v>57000000</x:v>
      </x:c>
      <x:c r="D11" s="87" t="n">
        <x:v>270</x:v>
      </x:c>
    </x:row>
    <x:row r="12">
      <x:c r="A12" s="70" t="str">
        <x:v>부서07</x:v>
      </x:c>
      <x:c r="B12" s="86" t="n">
        <x:v>33</x:v>
      </x:c>
      <x:c r="C12" s="86" t="n">
        <x:v>61500000</x:v>
      </x:c>
      <x:c r="D12" s="87" t="n">
        <x:v>295</x:v>
      </x:c>
    </x:row>
    <x:row r="13">
      <x:c r="A13" s="72" t="str">
        <x:v>부서08</x:v>
      </x:c>
      <x:c r="B13" s="88" t="n">
        <x:v>36</x:v>
      </x:c>
      <x:c r="C13" s="88" t="n">
        <x:v>66000000</x:v>
      </x:c>
      <x:c r="D13" s="89" t="n">
        <x:v>320</x:v>
      </x:c>
    </x:row>
  </x:sheetData>
  <x:mergeCells>
    <x:mergeCell ref="A1:D1"/>
    <x:mergeCell ref="A2:D2"/>
    <x:mergeCell ref="A3:D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7" hidden="0" customWidth="1"/>
    <x:col min="3" max="3" width="13" hidden="0" customWidth="1"/>
  </x:cols>
  <x:sheetData>
    <x:row r="1" ht="30" customHeight="1">
      <x:c r="A1" s="5" t="str">
        <x:v>공통비 마스터</x:v>
      </x:c>
      <x:c r="B1" s="5"/>
      <x:c r="C1" s="5"/>
    </x:row>
    <x:row r="2" ht="24" customHeight="1">
      <x:c r="A2" s="12" t="str">
        <x:v>공통비 항목과 배부기준</x:v>
      </x:c>
      <x:c r="B2" s="12"/>
      <x:c r="C2" s="12"/>
    </x:row>
    <x:row r="3">
      <x:c r="A3" s="18" t="str">
        <x:v>M4-C 추가 교정용 합성 데이터입니다. 노란색은 입력, 파란색은 계산 영역입니다.</x:v>
      </x:c>
      <x:c r="B3" s="18"/>
      <x:c r="C3" s="18"/>
    </x:row>
    <x:row r="5" ht="28" customHeight="1">
      <x:c r="A5" s="30" t="str">
        <x:v>공통비코드</x:v>
      </x:c>
      <x:c r="B5" s="61" t="str">
        <x:v>공통비금액</x:v>
      </x:c>
      <x:c r="C5" s="31" t="str">
        <x:v>배부기준</x:v>
      </x:c>
    </x:row>
    <x:row r="6">
      <x:c r="A6" s="67" t="str">
        <x:v>OH-01</x:v>
      </x:c>
      <x:c r="B6" s="84" t="n">
        <x:v>48000000</x:v>
      </x:c>
      <x:c r="C6" s="69" t="str">
        <x:v>인원</x:v>
      </x:c>
    </x:row>
    <x:row r="7">
      <x:c r="A7" s="70" t="str">
        <x:v>OH-02</x:v>
      </x:c>
      <x:c r="B7" s="86" t="n">
        <x:v>72000000</x:v>
      </x:c>
      <x:c r="C7" s="71" t="str">
        <x:v>매출</x:v>
      </x:c>
    </x:row>
    <x:row r="8">
      <x:c r="A8" s="70" t="str">
        <x:v>OH-03</x:v>
      </x:c>
      <x:c r="B8" s="86" t="n">
        <x:v>36000000</x:v>
      </x:c>
      <x:c r="C8" s="71" t="str">
        <x:v>면적</x:v>
      </x:c>
    </x:row>
    <x:row r="9">
      <x:c r="A9" s="70" t="str">
        <x:v>OH-04</x:v>
      </x:c>
      <x:c r="B9" s="86" t="n">
        <x:v>24000000</x:v>
      </x:c>
      <x:c r="C9" s="71" t="str">
        <x:v>인원</x:v>
      </x:c>
    </x:row>
    <x:row r="10">
      <x:c r="A10" s="72" t="str">
        <x:v>OH-05</x:v>
      </x:c>
      <x:c r="B10" s="88" t="n">
        <x:v>30000000</x:v>
      </x:c>
      <x:c r="C10" s="74" t="str">
        <x:v>매출</x:v>
      </x:c>
    </x:row>
  </x:sheetData>
  <x:mergeCells>
    <x:mergeCell ref="A1:C1"/>
    <x:mergeCell ref="A2:C2"/>
    <x:mergeCell ref="A3:C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16" hidden="0" customWidth="1"/>
    <x:col min="4" max="4" width="15" hidden="0" customWidth="1"/>
    <x:col min="5" max="5" width="15" hidden="0" customWidth="1"/>
    <x:col min="6" max="6" width="12" hidden="0" customWidth="1"/>
    <x:col min="7" max="7" width="16" hidden="0" customWidth="1"/>
    <x:col min="8" max="8" width="16" hidden="0" customWidth="1"/>
    <x:col min="9" max="9" width="14" hidden="0" customWidth="1"/>
  </x:cols>
  <x:sheetData>
    <x:row r="1" ht="30" customHeight="1">
      <x:c r="A1" s="5" t="str">
        <x:v>공통비 배부 계산</x:v>
      </x:c>
      <x:c r="B1" s="5"/>
      <x:c r="C1" s="5"/>
      <x:c r="D1" s="5"/>
      <x:c r="E1" s="5"/>
      <x:c r="F1" s="5"/>
      <x:c r="G1" s="5"/>
      <x:c r="H1" s="5"/>
      <x:c r="I1" s="5"/>
    </x:row>
    <x:row r="2" ht="24" customHeight="1">
      <x:c r="A2" s="12" t="str">
        <x:v>공통비 5개 항목을 8개 부서에 배부합니다.</x:v>
      </x:c>
      <x:c r="B2" s="12"/>
      <x:c r="C2" s="12"/>
      <x:c r="D2" s="12"/>
      <x:c r="E2" s="12"/>
      <x:c r="F2" s="12"/>
      <x:c r="G2" s="12"/>
      <x:c r="H2" s="12"/>
      <x:c r="I2" s="12"/>
    </x:row>
    <x:row r="3">
      <x:c r="A3" s="18" t="str">
        <x:v>M4-C 추가 교정용 합성 데이터입니다.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  <x:c r="I3" s="18"/>
    </x:row>
    <x:row r="5" ht="28" customHeight="1">
      <x:c r="A5" s="30" t="str">
        <x:v>공통비코드</x:v>
      </x:c>
      <x:c r="B5" s="61" t="str">
        <x:v>부서</x:v>
      </x:c>
      <x:c r="C5" s="61" t="str">
        <x:v>공통비금액</x:v>
      </x:c>
      <x:c r="D5" s="61" t="str">
        <x:v>배부기준값</x:v>
      </x:c>
      <x:c r="E5" s="61" t="str">
        <x:v>기준합계</x:v>
      </x:c>
      <x:c r="F5" s="61" t="str">
        <x:v>배부비율</x:v>
      </x:c>
      <x:c r="G5" s="61" t="str">
        <x:v>배부금액</x:v>
      </x:c>
      <x:c r="H5" s="61" t="str">
        <x:v>누계배부</x:v>
      </x:c>
      <x:c r="I5" s="31" t="str">
        <x:v>검증차이</x:v>
      </x:c>
    </x:row>
    <x:row r="6">
      <x:c r="A6" s="67" t="str">
        <x:v>OH-01</x:v>
      </x:c>
      <x:c r="B6" s="68" t="str">
        <x:v>부서01</x:v>
      </x:c>
      <x:c r="C6" s="85" t="n">
        <x:v>48000000</x:v>
      </x:c>
      <x:c r="D6" s="112" t="n">
        <x:f>VLOOKUP(B6,'부서기준'!$A$6:$D$13,2,FALSE)</x:f>
        <x:v>15</x:v>
      </x:c>
      <x:c r="E6" s="113" t="n">
        <x:f>SUMIF($A$6:$A$45,A6,$D$6:$D$45)</x:f>
        <x:v>204</x:v>
      </x:c>
      <x:c r="F6" s="124" t="n">
        <x:f>IFERROR(D6/E6,0)</x:f>
        <x:v>0.07352941176470588</x:v>
      </x:c>
      <x:c r="G6" s="113" t="n">
        <x:f>C6*F6</x:f>
        <x:v>3529411.7647058824</x:v>
      </x:c>
      <x:c r="H6" s="113" t="n">
        <x:f>SUMIF($A$6:$A$45,A6,$G$6:$G$45)</x:f>
        <x:v>48000000</x:v>
      </x:c>
      <x:c r="I6" s="130" t="n">
        <x:f>H6-C6</x:f>
        <x:v>0</x:v>
      </x:c>
    </x:row>
    <x:row r="7">
      <x:c r="A7" s="70" t="str">
        <x:v>OH-01</x:v>
      </x:c>
      <x:c r="B7" s="66" t="str">
        <x:v>부서02</x:v>
      </x:c>
      <x:c r="C7" s="87" t="n">
        <x:v>48000000</x:v>
      </x:c>
      <x:c r="D7" s="114" t="n">
        <x:f>VLOOKUP(B7,'부서기준'!$A$6:$D$13,2,FALSE)</x:f>
        <x:v>18</x:v>
      </x:c>
      <x:c r="E7" s="115" t="n">
        <x:f>SUMIF($A$6:$A$45,A7,$D$6:$D$45)</x:f>
        <x:v>204</x:v>
      </x:c>
      <x:c r="F7" s="125" t="n">
        <x:f>IFERROR(D7/E7,0)</x:f>
        <x:v>0.08823529411764706</x:v>
      </x:c>
      <x:c r="G7" s="115" t="n">
        <x:f>C7*F7</x:f>
        <x:v>4235294.117647059</x:v>
      </x:c>
      <x:c r="H7" s="115" t="n">
        <x:f>SUMIF($A$6:$A$45,A7,$G$6:$G$45)</x:f>
        <x:v>48000000</x:v>
      </x:c>
      <x:c r="I7" s="131" t="n">
        <x:f>H7-C7</x:f>
        <x:v>0</x:v>
      </x:c>
    </x:row>
    <x:row r="8">
      <x:c r="A8" s="70" t="str">
        <x:v>OH-01</x:v>
      </x:c>
      <x:c r="B8" s="66" t="str">
        <x:v>부서03</x:v>
      </x:c>
      <x:c r="C8" s="87" t="n">
        <x:v>48000000</x:v>
      </x:c>
      <x:c r="D8" s="114" t="n">
        <x:f>VLOOKUP(B8,'부서기준'!$A$6:$D$13,2,FALSE)</x:f>
        <x:v>21</x:v>
      </x:c>
      <x:c r="E8" s="115" t="n">
        <x:f>SUMIF($A$6:$A$45,A8,$D$6:$D$45)</x:f>
        <x:v>204</x:v>
      </x:c>
      <x:c r="F8" s="125" t="n">
        <x:f>IFERROR(D8/E8,0)</x:f>
        <x:v>0.10294117647058823</x:v>
      </x:c>
      <x:c r="G8" s="115" t="n">
        <x:f>C8*F8</x:f>
        <x:v>4941176.470588235</x:v>
      </x:c>
      <x:c r="H8" s="115" t="n">
        <x:f>SUMIF($A$6:$A$45,A8,$G$6:$G$45)</x:f>
        <x:v>48000000</x:v>
      </x:c>
      <x:c r="I8" s="131" t="n">
        <x:f>H8-C8</x:f>
        <x:v>0</x:v>
      </x:c>
    </x:row>
    <x:row r="9">
      <x:c r="A9" s="70" t="str">
        <x:v>OH-01</x:v>
      </x:c>
      <x:c r="B9" s="66" t="str">
        <x:v>부서04</x:v>
      </x:c>
      <x:c r="C9" s="87" t="n">
        <x:v>48000000</x:v>
      </x:c>
      <x:c r="D9" s="114" t="n">
        <x:f>VLOOKUP(B9,'부서기준'!$A$6:$D$13,2,FALSE)</x:f>
        <x:v>24</x:v>
      </x:c>
      <x:c r="E9" s="115" t="n">
        <x:f>SUMIF($A$6:$A$45,A9,$D$6:$D$45)</x:f>
        <x:v>204</x:v>
      </x:c>
      <x:c r="F9" s="125" t="n">
        <x:f>IFERROR(D9/E9,0)</x:f>
        <x:v>0.11764705882352941</x:v>
      </x:c>
      <x:c r="G9" s="115" t="n">
        <x:f>C9*F9</x:f>
        <x:v>5647058.823529412</x:v>
      </x:c>
      <x:c r="H9" s="115" t="n">
        <x:f>SUMIF($A$6:$A$45,A9,$G$6:$G$45)</x:f>
        <x:v>48000000</x:v>
      </x:c>
      <x:c r="I9" s="131" t="n">
        <x:f>H9-C9</x:f>
        <x:v>0</x:v>
      </x:c>
    </x:row>
    <x:row r="10">
      <x:c r="A10" s="70" t="str">
        <x:v>OH-01</x:v>
      </x:c>
      <x:c r="B10" s="66" t="str">
        <x:v>부서05</x:v>
      </x:c>
      <x:c r="C10" s="87" t="n">
        <x:v>48000000</x:v>
      </x:c>
      <x:c r="D10" s="114" t="n">
        <x:f>VLOOKUP(B10,'부서기준'!$A$6:$D$13,2,FALSE)</x:f>
        <x:v>27</x:v>
      </x:c>
      <x:c r="E10" s="115" t="n">
        <x:f>SUMIF($A$6:$A$45,A10,$D$6:$D$45)</x:f>
        <x:v>204</x:v>
      </x:c>
      <x:c r="F10" s="125" t="n">
        <x:f>IFERROR(D10/E10,0)</x:f>
        <x:v>0.1323529411764706</x:v>
      </x:c>
      <x:c r="G10" s="115" t="n">
        <x:f>C10*F10</x:f>
        <x:v>6352941.176470588</x:v>
      </x:c>
      <x:c r="H10" s="115" t="n">
        <x:f>SUMIF($A$6:$A$45,A10,$G$6:$G$45)</x:f>
        <x:v>48000000</x:v>
      </x:c>
      <x:c r="I10" s="131" t="n">
        <x:f>H10-C10</x:f>
        <x:v>0</x:v>
      </x:c>
    </x:row>
    <x:row r="11">
      <x:c r="A11" s="70" t="str">
        <x:v>OH-01</x:v>
      </x:c>
      <x:c r="B11" s="66" t="str">
        <x:v>부서06</x:v>
      </x:c>
      <x:c r="C11" s="87" t="n">
        <x:v>48000000</x:v>
      </x:c>
      <x:c r="D11" s="114" t="n">
        <x:f>VLOOKUP(B11,'부서기준'!$A$6:$D$13,2,FALSE)</x:f>
        <x:v>30</x:v>
      </x:c>
      <x:c r="E11" s="115" t="n">
        <x:f>SUMIF($A$6:$A$45,A11,$D$6:$D$45)</x:f>
        <x:v>204</x:v>
      </x:c>
      <x:c r="F11" s="125" t="n">
        <x:f>IFERROR(D11/E11,0)</x:f>
        <x:v>0.14705882352941177</x:v>
      </x:c>
      <x:c r="G11" s="115" t="n">
        <x:f>C11*F11</x:f>
        <x:v>7058823.529411765</x:v>
      </x:c>
      <x:c r="H11" s="115" t="n">
        <x:f>SUMIF($A$6:$A$45,A11,$G$6:$G$45)</x:f>
        <x:v>48000000</x:v>
      </x:c>
      <x:c r="I11" s="131" t="n">
        <x:f>H11-C11</x:f>
        <x:v>0</x:v>
      </x:c>
    </x:row>
    <x:row r="12">
      <x:c r="A12" s="70" t="str">
        <x:v>OH-01</x:v>
      </x:c>
      <x:c r="B12" s="66" t="str">
        <x:v>부서07</x:v>
      </x:c>
      <x:c r="C12" s="87" t="n">
        <x:v>48000000</x:v>
      </x:c>
      <x:c r="D12" s="114" t="n">
        <x:f>VLOOKUP(B12,'부서기준'!$A$6:$D$13,2,FALSE)</x:f>
        <x:v>33</x:v>
      </x:c>
      <x:c r="E12" s="115" t="n">
        <x:f>SUMIF($A$6:$A$45,A12,$D$6:$D$45)</x:f>
        <x:v>204</x:v>
      </x:c>
      <x:c r="F12" s="125" t="n">
        <x:f>IFERROR(D12/E12,0)</x:f>
        <x:v>0.16176470588235295</x:v>
      </x:c>
      <x:c r="G12" s="115" t="n">
        <x:f>C12*F12</x:f>
        <x:v>7764705.882352942</x:v>
      </x:c>
      <x:c r="H12" s="115" t="n">
        <x:f>SUMIF($A$6:$A$45,A12,$G$6:$G$45)</x:f>
        <x:v>48000000</x:v>
      </x:c>
      <x:c r="I12" s="131" t="n">
        <x:f>H12-C12</x:f>
        <x:v>0</x:v>
      </x:c>
    </x:row>
    <x:row r="13">
      <x:c r="A13" s="70" t="str">
        <x:v>OH-01</x:v>
      </x:c>
      <x:c r="B13" s="66" t="str">
        <x:v>부서08</x:v>
      </x:c>
      <x:c r="C13" s="87" t="n">
        <x:v>48000000</x:v>
      </x:c>
      <x:c r="D13" s="114" t="n">
        <x:f>VLOOKUP(B13,'부서기준'!$A$6:$D$13,2,FALSE)</x:f>
        <x:v>36</x:v>
      </x:c>
      <x:c r="E13" s="115" t="n">
        <x:f>SUMIF($A$6:$A$45,A12,$D$6:$D$45)</x:f>
        <x:v>204</x:v>
      </x:c>
      <x:c r="F13" s="125" t="n">
        <x:f>IFERROR(D13/E13,0)</x:f>
        <x:v>0.17647058823529413</x:v>
      </x:c>
      <x:c r="G13" s="115" t="n">
        <x:f>C13*F13</x:f>
        <x:v>8470588.235294119</x:v>
      </x:c>
      <x:c r="H13" s="115" t="n">
        <x:f>SUMIF($A$6:$A$45,A13,$G$6:$G$45)</x:f>
        <x:v>48000000</x:v>
      </x:c>
      <x:c r="I13" s="131" t="n">
        <x:f>H13-C13</x:f>
        <x:v>0</x:v>
      </x:c>
    </x:row>
    <x:row r="14">
      <x:c r="A14" s="70" t="str">
        <x:v>OH-02</x:v>
      </x:c>
      <x:c r="B14" s="66" t="str">
        <x:v>부서01</x:v>
      </x:c>
      <x:c r="C14" s="87" t="n">
        <x:v>72000000</x:v>
      </x:c>
      <x:c r="D14" s="114" t="n">
        <x:f>VLOOKUP(B14,'부서기준'!$A$6:$D$13,3,FALSE)</x:f>
        <x:v>34500000</x:v>
      </x:c>
      <x:c r="E14" s="115" t="n">
        <x:f>SUMIF($A$6:$A$45,A14,$D$6:$D$45)</x:f>
        <x:v>402000000</x:v>
      </x:c>
      <x:c r="F14" s="125" t="n">
        <x:f>IFERROR(D14/E14,0)</x:f>
        <x:v>0.08582089552238806</x:v>
      </x:c>
      <x:c r="G14" s="115" t="n">
        <x:f>C14*F14</x:f>
        <x:v>6179104.47761194</x:v>
      </x:c>
      <x:c r="H14" s="115" t="n">
        <x:f>SUMIF($A$6:$A$45,A14,$G$6:$G$45)</x:f>
        <x:v>72000000</x:v>
      </x:c>
      <x:c r="I14" s="131" t="n">
        <x:f>H14-C14</x:f>
        <x:v>0</x:v>
      </x:c>
    </x:row>
    <x:row r="15">
      <x:c r="A15" s="70" t="str">
        <x:v>OH-02</x:v>
      </x:c>
      <x:c r="B15" s="66" t="str">
        <x:v>부서02</x:v>
      </x:c>
      <x:c r="C15" s="87" t="n">
        <x:v>72000000</x:v>
      </x:c>
      <x:c r="D15" s="114" t="n">
        <x:f>VLOOKUP(B15,'부서기준'!$A$6:$D$13,3,FALSE)</x:f>
        <x:v>39000000</x:v>
      </x:c>
      <x:c r="E15" s="115" t="n">
        <x:f>SUMIF($A$6:$A$45,A15,$D$6:$D$45)</x:f>
        <x:v>402000000</x:v>
      </x:c>
      <x:c r="F15" s="125" t="n">
        <x:f>IFERROR(D15/E15,0)</x:f>
        <x:v>0.09701492537313433</x:v>
      </x:c>
      <x:c r="G15" s="115" t="n">
        <x:f>C15*F15</x:f>
        <x:v>6985074.626865672</x:v>
      </x:c>
      <x:c r="H15" s="115" t="n">
        <x:f>SUMIF($A$6:$A$45,A15,$G$6:$G$45)</x:f>
        <x:v>72000000</x:v>
      </x:c>
      <x:c r="I15" s="131" t="n">
        <x:f>H15-C15</x:f>
        <x:v>0</x:v>
      </x:c>
    </x:row>
    <x:row r="16">
      <x:c r="A16" s="70" t="str">
        <x:v>OH-02</x:v>
      </x:c>
      <x:c r="B16" s="66" t="str">
        <x:v>부서03</x:v>
      </x:c>
      <x:c r="C16" s="87" t="n">
        <x:v>72000000</x:v>
      </x:c>
      <x:c r="D16" s="114" t="n">
        <x:f>VLOOKUP(B16,'부서기준'!$A$6:$D$13,3,FALSE)</x:f>
        <x:v>43500000</x:v>
      </x:c>
      <x:c r="E16" s="115" t="n">
        <x:f>SUMIF($A$6:$A$45,A16,$D$6:$D$45)</x:f>
        <x:v>402000000</x:v>
      </x:c>
      <x:c r="F16" s="125" t="n">
        <x:f>IFERROR(D16/E16,0)</x:f>
        <x:v>0.10820895522388059</x:v>
      </x:c>
      <x:c r="G16" s="115" t="n">
        <x:f>C16*F16</x:f>
        <x:v>7791044.776119403</x:v>
      </x:c>
      <x:c r="H16" s="115" t="n">
        <x:f>SUMIF($A$6:$A$45,A16,$G$6:$G$45)</x:f>
        <x:v>72000000</x:v>
      </x:c>
      <x:c r="I16" s="131" t="n">
        <x:f>H16-C16</x:f>
        <x:v>0</x:v>
      </x:c>
    </x:row>
    <x:row r="17">
      <x:c r="A17" s="70" t="str">
        <x:v>OH-02</x:v>
      </x:c>
      <x:c r="B17" s="66" t="str">
        <x:v>부서04</x:v>
      </x:c>
      <x:c r="C17" s="87" t="n">
        <x:v>72000000</x:v>
      </x:c>
      <x:c r="D17" s="114" t="n">
        <x:f>VLOOKUP(B17,'부서기준'!$A$6:$D$13,3,FALSE)</x:f>
        <x:v>48000000</x:v>
      </x:c>
      <x:c r="E17" s="115" t="n">
        <x:f>SUMIF($A$6:$A$45,A17,$D$6:$D$45)</x:f>
        <x:v>402000000</x:v>
      </x:c>
      <x:c r="F17" s="125" t="n">
        <x:f>IFERROR(D17/E17,0)</x:f>
        <x:v>0.11940298507462686</x:v>
      </x:c>
      <x:c r="G17" s="115" t="n">
        <x:f>C17*F17</x:f>
        <x:v>8597014.925373133</x:v>
      </x:c>
      <x:c r="H17" s="115" t="n">
        <x:f>SUMIF($A$6:$A$45,A17,$G$6:$G$45)</x:f>
        <x:v>72000000</x:v>
      </x:c>
      <x:c r="I17" s="131" t="n">
        <x:f>H17-C17</x:f>
        <x:v>0</x:v>
      </x:c>
    </x:row>
    <x:row r="18">
      <x:c r="A18" s="70" t="str">
        <x:v>OH-02</x:v>
      </x:c>
      <x:c r="B18" s="66" t="str">
        <x:v>부서05</x:v>
      </x:c>
      <x:c r="C18" s="87" t="n">
        <x:v>72000000</x:v>
      </x:c>
      <x:c r="D18" s="114" t="n">
        <x:f>VLOOKUP(B18,'부서기준'!$A$6:$D$13,3,FALSE)</x:f>
        <x:v>52500000</x:v>
      </x:c>
      <x:c r="E18" s="115" t="n">
        <x:f>SUMIF($A$6:$A$45,A18,$D$6:$D$45)</x:f>
        <x:v>402000000</x:v>
      </x:c>
      <x:c r="F18" s="125" t="n">
        <x:f>IFERROR(D18/E18,0)</x:f>
        <x:v>0.13059701492537312</x:v>
      </x:c>
      <x:c r="G18" s="115" t="n">
        <x:f>C18*F18</x:f>
        <x:v>9402985.074626865</x:v>
      </x:c>
      <x:c r="H18" s="115" t="n">
        <x:f>SUMIF($A$6:$A$45,A18,$G$6:$G$45)</x:f>
        <x:v>72000000</x:v>
      </x:c>
      <x:c r="I18" s="131" t="n">
        <x:f>H18-C18</x:f>
        <x:v>0</x:v>
      </x:c>
    </x:row>
    <x:row r="19">
      <x:c r="A19" s="70" t="str">
        <x:v>OH-02</x:v>
      </x:c>
      <x:c r="B19" s="66" t="str">
        <x:v>부서06</x:v>
      </x:c>
      <x:c r="C19" s="87" t="n">
        <x:v>72000000</x:v>
      </x:c>
      <x:c r="D19" s="114" t="n">
        <x:f>VLOOKUP(B19,'부서기준'!$A$6:$D$13,3,FALSE)</x:f>
        <x:v>57000000</x:v>
      </x:c>
      <x:c r="E19" s="115" t="n">
        <x:f>SUMIF($A$6:$A$45,A19,$D$6:$D$45)</x:f>
        <x:v>402000000</x:v>
      </x:c>
      <x:c r="F19" s="125" t="n">
        <x:f>IFERROR(D19/E19,0)</x:f>
        <x:v>0.1417910447761194</x:v>
      </x:c>
      <x:c r="G19" s="115" t="n">
        <x:f>C19*F19</x:f>
        <x:v>10208955.223880596</x:v>
      </x:c>
      <x:c r="H19" s="115" t="n">
        <x:f>SUMIF($A$6:$A$45,A19,$G$6:$G$45)</x:f>
        <x:v>72000000</x:v>
      </x:c>
      <x:c r="I19" s="131" t="n">
        <x:f>H19-C19</x:f>
        <x:v>0</x:v>
      </x:c>
    </x:row>
    <x:row r="20">
      <x:c r="A20" s="70" t="str">
        <x:v>OH-02</x:v>
      </x:c>
      <x:c r="B20" s="66" t="str">
        <x:v>부서07</x:v>
      </x:c>
      <x:c r="C20" s="87" t="n">
        <x:v>72000000</x:v>
      </x:c>
      <x:c r="D20" s="114" t="n">
        <x:f>VLOOKUP(B20,'부서기준'!$A$6:$D$13,3,FALSE)</x:f>
        <x:v>61500000</x:v>
      </x:c>
      <x:c r="E20" s="115" t="n">
        <x:f>SUMIF($A$6:$A$45,A20,$D$6:$D$45)</x:f>
        <x:v>402000000</x:v>
      </x:c>
      <x:c r="F20" s="125" t="n">
        <x:f>IFERROR(D20/E20,0)</x:f>
        <x:v>0.15298507462686567</x:v>
      </x:c>
      <x:c r="G20" s="115" t="n">
        <x:f>C20*F20</x:f>
        <x:v>11014925.373134328</x:v>
      </x:c>
      <x:c r="H20" s="115" t="n">
        <x:f>SUMIF($A$6:$A$45,A20,$G$6:$G$45)</x:f>
        <x:v>72000000</x:v>
      </x:c>
      <x:c r="I20" s="131" t="n">
        <x:f>H20-C20</x:f>
        <x:v>0</x:v>
      </x:c>
    </x:row>
    <x:row r="21">
      <x:c r="A21" s="70" t="str">
        <x:v>OH-02</x:v>
      </x:c>
      <x:c r="B21" s="66" t="str">
        <x:v>부서08</x:v>
      </x:c>
      <x:c r="C21" s="87" t="n">
        <x:v>72000000</x:v>
      </x:c>
      <x:c r="D21" s="114" t="n">
        <x:f>VLOOKUP(B21,'부서기준'!$A$6:$D$13,3,FALSE)</x:f>
        <x:v>66000000</x:v>
      </x:c>
      <x:c r="E21" s="115" t="n">
        <x:f>SUMIF($A$6:$A$45,A21,$D$6:$D$45)</x:f>
        <x:v>402000000</x:v>
      </x:c>
      <x:c r="F21" s="125" t="n">
        <x:f>IFERROR(D21/E21,0)</x:f>
        <x:v>0.16417910447761194</x:v>
      </x:c>
      <x:c r="G21" s="115" t="n">
        <x:f>C21*F21</x:f>
        <x:v>11820895.52238806</x:v>
      </x:c>
      <x:c r="H21" s="115" t="n">
        <x:f>SUMIF($A$6:$A$45,A21,$G$6:$G$45)</x:f>
        <x:v>72000000</x:v>
      </x:c>
      <x:c r="I21" s="131" t="n">
        <x:f>H21-C21</x:f>
        <x:v>0</x:v>
      </x:c>
    </x:row>
    <x:row r="22">
      <x:c r="A22" s="70" t="str">
        <x:v>OH-03</x:v>
      </x:c>
      <x:c r="B22" s="66" t="str">
        <x:v>부서01</x:v>
      </x:c>
      <x:c r="C22" s="87" t="n">
        <x:v>36000000</x:v>
      </x:c>
      <x:c r="D22" s="114" t="n">
        <x:f>VLOOKUP(B22,'부서기준'!$A$6:$D$13,4,FALSE)</x:f>
        <x:v>145</x:v>
      </x:c>
      <x:c r="E22" s="115" t="n">
        <x:f>SUMIF($A$6:$A$45,A22,$D$6:$D$45)</x:f>
        <x:v>1860</x:v>
      </x:c>
      <x:c r="F22" s="125" t="n">
        <x:f>SUM(D22:E22)</x:f>
        <x:v>2005</x:v>
      </x:c>
      <x:c r="G22" s="115" t="n">
        <x:f>C22*F22</x:f>
        <x:v>72180000000</x:v>
      </x:c>
      <x:c r="H22" s="115" t="n">
        <x:f>SUMIF($A$6:$A$45,A22,$G$6:$G$45)</x:f>
        <x:v>72213193548.3871</x:v>
      </x:c>
      <x:c r="I22" s="131" t="n">
        <x:f>H22-C22</x:f>
        <x:v>72177193548.3871</x:v>
      </x:c>
    </x:row>
    <x:row r="23">
      <x:c r="A23" s="70" t="str">
        <x:v>OH-03</x:v>
      </x:c>
      <x:c r="B23" s="66" t="str">
        <x:v>부서02</x:v>
      </x:c>
      <x:c r="C23" s="87" t="n">
        <x:v>36000000</x:v>
      </x:c>
      <x:c r="D23" s="114" t="n">
        <x:f>VLOOKUP(B23,'부서기준'!$A$6:$D$13,4,FALSE)</x:f>
        <x:v>170</x:v>
      </x:c>
      <x:c r="E23" s="115" t="n">
        <x:f>SUMIF($A$6:$A$45,A23,$D$6:$D$45)</x:f>
        <x:v>1860</x:v>
      </x:c>
      <x:c r="F23" s="125" t="n">
        <x:f>IFERROR(D23/E23,0)</x:f>
        <x:v>0.0913978494623656</x:v>
      </x:c>
      <x:c r="G23" s="115" t="n">
        <x:f>C23*F23</x:f>
        <x:v>3290322.580645161</x:v>
      </x:c>
      <x:c r="H23" s="115" t="n">
        <x:f>SUMIF($A$6:$A$45,A23,$G$6:$G$45)</x:f>
        <x:v>72213193548.3871</x:v>
      </x:c>
      <x:c r="I23" s="131" t="n">
        <x:f>H23-C23</x:f>
        <x:v>72177193548.3871</x:v>
      </x:c>
    </x:row>
    <x:row r="24">
      <x:c r="A24" s="70" t="str">
        <x:v>OH-03</x:v>
      </x:c>
      <x:c r="B24" s="66" t="str">
        <x:v>부서03</x:v>
      </x:c>
      <x:c r="C24" s="87" t="n">
        <x:v>36000000</x:v>
      </x:c>
      <x:c r="D24" s="114" t="n">
        <x:f>VLOOKUP(B24,'부서기준'!$A$6:$D$13,4,FALSE)</x:f>
        <x:v>195</x:v>
      </x:c>
      <x:c r="E24" s="115" t="n">
        <x:f>SUMIF($A$6:$A$45,A24,$D$6:$D$45)</x:f>
        <x:v>1860</x:v>
      </x:c>
      <x:c r="F24" s="125" t="n">
        <x:f>IFERROR(D24/E24,0)</x:f>
        <x:v>0.10483870967741936</x:v>
      </x:c>
      <x:c r="G24" s="115" t="n">
        <x:f>C24*F24</x:f>
        <x:v>3774193.5483870967</x:v>
      </x:c>
      <x:c r="H24" s="115" t="n">
        <x:f>SUMIF($A$6:$A$45,A24,$G$6:$G$45)</x:f>
        <x:v>72213193548.3871</x:v>
      </x:c>
      <x:c r="I24" s="131" t="n">
        <x:f>H24-C24</x:f>
        <x:v>72177193548.3871</x:v>
      </x:c>
    </x:row>
    <x:row r="25">
      <x:c r="A25" s="70" t="str">
        <x:v>OH-03</x:v>
      </x:c>
      <x:c r="B25" s="66" t="str">
        <x:v>부서04</x:v>
      </x:c>
      <x:c r="C25" s="87" t="n">
        <x:v>36000000</x:v>
      </x:c>
      <x:c r="D25" s="114" t="n">
        <x:f>VLOOKUP(B25,'부서기준'!$A$6:$D$13,4,FALSE)</x:f>
        <x:v>220</x:v>
      </x:c>
      <x:c r="E25" s="115" t="n">
        <x:f>SUMIF($A$6:$A$45,A25,$D$6:$D$45)</x:f>
        <x:v>1860</x:v>
      </x:c>
      <x:c r="F25" s="125" t="n">
        <x:f>IFERROR(D25/E25,0)</x:f>
        <x:v>0.11827956989247312</x:v>
      </x:c>
      <x:c r="G25" s="115" t="n">
        <x:f>C25*F25</x:f>
        <x:v>4258064.516129033</x:v>
      </x:c>
      <x:c r="H25" s="115" t="n">
        <x:f>SUMIF($A$6:$A$45,A25,$G$6:$G$45)</x:f>
        <x:v>72213193548.3871</x:v>
      </x:c>
      <x:c r="I25" s="131" t="n">
        <x:f>H25-C25</x:f>
        <x:v>72177193548.3871</x:v>
      </x:c>
    </x:row>
    <x:row r="26">
      <x:c r="A26" s="70" t="str">
        <x:v>OH-03</x:v>
      </x:c>
      <x:c r="B26" s="66" t="str">
        <x:v>부서05</x:v>
      </x:c>
      <x:c r="C26" s="87" t="n">
        <x:v>36000000</x:v>
      </x:c>
      <x:c r="D26" s="114" t="n">
        <x:f>VLOOKUP(B26,'부서기준'!$A$6:$D$13,4,FALSE)</x:f>
        <x:v>245</x:v>
      </x:c>
      <x:c r="E26" s="115" t="n">
        <x:f>SUMIF($A$6:$A$45,A26,$D$6:$D$45)</x:f>
        <x:v>1860</x:v>
      </x:c>
      <x:c r="F26" s="125" t="n">
        <x:f>IFERROR(D26/E26,0)</x:f>
        <x:v>0.13172043010752688</x:v>
      </x:c>
      <x:c r="G26" s="115" t="n">
        <x:f>C26*F26</x:f>
        <x:v>4741935.483870967</x:v>
      </x:c>
      <x:c r="H26" s="115" t="n">
        <x:f>SUMIF($A$6:$A$45,A26,$G$6:$G$45)</x:f>
        <x:v>72213193548.3871</x:v>
      </x:c>
      <x:c r="I26" s="131" t="n">
        <x:f>H26-C26</x:f>
        <x:v>72177193548.3871</x:v>
      </x:c>
    </x:row>
    <x:row r="27">
      <x:c r="A27" s="70" t="str">
        <x:v>OH-03</x:v>
      </x:c>
      <x:c r="B27" s="66" t="str">
        <x:v>부서06</x:v>
      </x:c>
      <x:c r="C27" s="87" t="n">
        <x:v>36000000</x:v>
      </x:c>
      <x:c r="D27" s="114" t="n">
        <x:f>VLOOKUP(B27,'부서기준'!$A$6:$D$13,4,FALSE)</x:f>
        <x:v>270</x:v>
      </x:c>
      <x:c r="E27" s="115" t="n">
        <x:f>SUMIF($A$6:$A$45,A27,$D$6:$D$45)</x:f>
        <x:v>1860</x:v>
      </x:c>
      <x:c r="F27" s="125" t="n">
        <x:f>IFERROR(D27/E27,0)</x:f>
        <x:v>0.14516129032258066</x:v>
      </x:c>
      <x:c r="G27" s="115" t="n">
        <x:f>C27*F27</x:f>
        <x:v>5225806.451612904</x:v>
      </x:c>
      <x:c r="H27" s="115" t="n">
        <x:f>SUMIF($A$6:$A$45,A27,$G$6:$G$45)</x:f>
        <x:v>72213193548.3871</x:v>
      </x:c>
      <x:c r="I27" s="131" t="n">
        <x:f>H27-C27</x:f>
        <x:v>72177193548.3871</x:v>
      </x:c>
    </x:row>
    <x:row r="28">
      <x:c r="A28" s="70" t="str">
        <x:v>OH-03</x:v>
      </x:c>
      <x:c r="B28" s="66" t="str">
        <x:v>부서07</x:v>
      </x:c>
      <x:c r="C28" s="87" t="n">
        <x:v>36000000</x:v>
      </x:c>
      <x:c r="D28" s="114" t="n">
        <x:f>VLOOKUP(B28,'부서기준'!$A$6:$D$13,4,FALSE)</x:f>
        <x:v>295</x:v>
      </x:c>
      <x:c r="E28" s="115" t="n">
        <x:f>SUMIF($A$6:$A$45,A28,$D$6:$D$45)</x:f>
        <x:v>1860</x:v>
      </x:c>
      <x:c r="F28" s="125" t="n">
        <x:f>IFERROR(D28/E28,0)</x:f>
        <x:v>0.1586021505376344</x:v>
      </x:c>
      <x:c r="G28" s="115" t="n">
        <x:f>C28*F28</x:f>
        <x:v>5709677.419354838</x:v>
      </x:c>
      <x:c r="H28" s="115" t="n">
        <x:f>SUMIF($A$6:$A$45,A28,$G$6:$G$45)</x:f>
        <x:v>72213193548.3871</x:v>
      </x:c>
      <x:c r="I28" s="131" t="n">
        <x:f>H28-C28</x:f>
        <x:v>72177193548.3871</x:v>
      </x:c>
    </x:row>
    <x:row r="29">
      <x:c r="A29" s="70" t="str">
        <x:v>OH-03</x:v>
      </x:c>
      <x:c r="B29" s="66" t="str">
        <x:v>부서08</x:v>
      </x:c>
      <x:c r="C29" s="87" t="n">
        <x:v>36000000</x:v>
      </x:c>
      <x:c r="D29" s="114" t="n">
        <x:f>VLOOKUP(B29,'부서기준'!$A$6:$D$13,4,FALSE)</x:f>
        <x:v>320</x:v>
      </x:c>
      <x:c r="E29" s="115" t="n">
        <x:f>SUMIF($A$6:$A$45,A29,$D$6:$D$45)</x:f>
        <x:v>1860</x:v>
      </x:c>
      <x:c r="F29" s="125" t="n">
        <x:f>IFERROR(D29/E29,0)</x:f>
        <x:v>0.17204301075268819</x:v>
      </x:c>
      <x:c r="G29" s="115" t="n">
        <x:f>C29*F29</x:f>
        <x:v>6193548.387096775</x:v>
      </x:c>
      <x:c r="H29" s="115" t="n">
        <x:f>SUMIF($A$6:$A$45,A29,$G$6:$G$45)</x:f>
        <x:v>72213193548.3871</x:v>
      </x:c>
      <x:c r="I29" s="131" t="n">
        <x:f>H29-C29</x:f>
        <x:v>72177193548.3871</x:v>
      </x:c>
    </x:row>
    <x:row r="30">
      <x:c r="A30" s="70" t="str">
        <x:v>OH-04</x:v>
      </x:c>
      <x:c r="B30" s="66" t="str">
        <x:v>부서01</x:v>
      </x:c>
      <x:c r="C30" s="87" t="n">
        <x:v>24000000</x:v>
      </x:c>
      <x:c r="D30" s="114" t="n">
        <x:f>VLOOKUP(B30,'부서기준'!$A$6:$D$13,2,FALSE)</x:f>
        <x:v>15</x:v>
      </x:c>
      <x:c r="E30" s="115" t="n">
        <x:f>SUMIF($A$6:$A$45,A30,$D$6:$D$45)</x:f>
        <x:v>204</x:v>
      </x:c>
      <x:c r="F30" s="125" t="n">
        <x:f>IFERROR(D30/E30,0)</x:f>
        <x:v>0.07352941176470588</x:v>
      </x:c>
      <x:c r="G30" s="115" t="n">
        <x:f>C30*F30</x:f>
        <x:v>1764705.8823529412</x:v>
      </x:c>
      <x:c r="H30" s="115" t="n">
        <x:f>SUMIF($A$6:$A$45,A30,$G$6:$G$45)</x:f>
        <x:v>27132352.94117647</x:v>
      </x:c>
      <x:c r="I30" s="131" t="n">
        <x:f>H30-C30</x:f>
        <x:v>3132352.9411764704</x:v>
      </x:c>
    </x:row>
    <x:row r="31">
      <x:c r="A31" s="70" t="str">
        <x:v>OH-04</x:v>
      </x:c>
      <x:c r="B31" s="66" t="str">
        <x:v>부서02</x:v>
      </x:c>
      <x:c r="C31" s="87" t="n">
        <x:v>24000000</x:v>
      </x:c>
      <x:c r="D31" s="114" t="n">
        <x:f>VLOOKUP(B31,'부서기준'!$A$6:$D$13,2,FALSE)</x:f>
        <x:v>18</x:v>
      </x:c>
      <x:c r="E31" s="115" t="n">
        <x:f>SUMIF($A$6:$A$45,A31,$D$6:$D$45)</x:f>
        <x:v>204</x:v>
      </x:c>
      <x:c r="F31" s="125" t="n">
        <x:f>IFERROR(D31/E31,0)</x:f>
        <x:v>0.08823529411764706</x:v>
      </x:c>
      <x:c r="G31" s="115" t="n">
        <x:v>5250000</x:v>
      </x:c>
      <x:c r="H31" s="115" t="n">
        <x:f>SUMIF($A$6:$A$45,A31,$G$6:$G$45)</x:f>
        <x:v>27132352.94117647</x:v>
      </x:c>
      <x:c r="I31" s="131" t="n">
        <x:f>H31-C31</x:f>
        <x:v>3132352.9411764704</x:v>
      </x:c>
    </x:row>
    <x:row r="32">
      <x:c r="A32" s="70" t="str">
        <x:v>OH-04</x:v>
      </x:c>
      <x:c r="B32" s="66" t="str">
        <x:v>부서03</x:v>
      </x:c>
      <x:c r="C32" s="87" t="n">
        <x:v>24000000</x:v>
      </x:c>
      <x:c r="D32" s="114" t="n">
        <x:f>VLOOKUP(B32,'부서기준'!$A$6:$D$13,2,FALSE)</x:f>
        <x:v>21</x:v>
      </x:c>
      <x:c r="E32" s="115" t="n">
        <x:f>SUMIF($A$6:$A$45,A32,$D$6:$D$45)</x:f>
        <x:v>204</x:v>
      </x:c>
      <x:c r="F32" s="125" t="n">
        <x:f>IFERROR(D32/E32,0)</x:f>
        <x:v>0.10294117647058823</x:v>
      </x:c>
      <x:c r="G32" s="115" t="n">
        <x:f>C32*F32</x:f>
        <x:v>2470588.2352941176</x:v>
      </x:c>
      <x:c r="H32" s="115" t="n">
        <x:f>SUMIF($A$6:$A$45,A32,$G$6:$G$45)</x:f>
        <x:v>27132352.94117647</x:v>
      </x:c>
      <x:c r="I32" s="131" t="n">
        <x:f>H32-C32</x:f>
        <x:v>3132352.9411764704</x:v>
      </x:c>
    </x:row>
    <x:row r="33">
      <x:c r="A33" s="70" t="str">
        <x:v>OH-04</x:v>
      </x:c>
      <x:c r="B33" s="66" t="str">
        <x:v>부서04</x:v>
      </x:c>
      <x:c r="C33" s="87" t="n">
        <x:v>24000000</x:v>
      </x:c>
      <x:c r="D33" s="114" t="n">
        <x:f>VLOOKUP(B33,'부서기준'!$A$6:$D$13,2,FALSE)</x:f>
        <x:v>24</x:v>
      </x:c>
      <x:c r="E33" s="115" t="n">
        <x:f>SUMIF($A$6:$A$45,A33,$D$6:$D$45)</x:f>
        <x:v>204</x:v>
      </x:c>
      <x:c r="F33" s="125" t="n">
        <x:f>IFERROR(D33/E33,0)</x:f>
        <x:v>0.11764705882352941</x:v>
      </x:c>
      <x:c r="G33" s="115" t="n">
        <x:f>C33*F33</x:f>
        <x:v>2823529.411764706</x:v>
      </x:c>
      <x:c r="H33" s="115" t="n">
        <x:f>SUMIF($A$6:$A$45,A33,$G$6:$G$45)</x:f>
        <x:v>27132352.94117647</x:v>
      </x:c>
      <x:c r="I33" s="131" t="n">
        <x:f>H33-C33</x:f>
        <x:v>3132352.9411764704</x:v>
      </x:c>
    </x:row>
    <x:row r="34">
      <x:c r="A34" s="70" t="str">
        <x:v>OH-04</x:v>
      </x:c>
      <x:c r="B34" s="66" t="str">
        <x:v>부서05</x:v>
      </x:c>
      <x:c r="C34" s="87" t="n">
        <x:v>24000000</x:v>
      </x:c>
      <x:c r="D34" s="114" t="n">
        <x:f>VLOOKUP(B34,'부서기준'!$A$6:$D$13,2,FALSE)</x:f>
        <x:v>27</x:v>
      </x:c>
      <x:c r="E34" s="115" t="n">
        <x:f>SUMIF($A$6:$A$45,A34,$D$6:$D$45)</x:f>
        <x:v>204</x:v>
      </x:c>
      <x:c r="F34" s="125" t="n">
        <x:f>IFERROR(D34/E34,0)</x:f>
        <x:v>0.1323529411764706</x:v>
      </x:c>
      <x:c r="G34" s="115" t="n">
        <x:f>C34*F34</x:f>
        <x:v>3176470.588235294</x:v>
      </x:c>
      <x:c r="H34" s="115" t="n">
        <x:f>SUMIF($A$6:$A$45,A34,$G$6:$G$45)</x:f>
        <x:v>27132352.94117647</x:v>
      </x:c>
      <x:c r="I34" s="131" t="n">
        <x:f>H34-C34</x:f>
        <x:v>3132352.9411764704</x:v>
      </x:c>
    </x:row>
    <x:row r="35">
      <x:c r="A35" s="70" t="str">
        <x:v>OH-04</x:v>
      </x:c>
      <x:c r="B35" s="66" t="str">
        <x:v>부서06</x:v>
      </x:c>
      <x:c r="C35" s="87" t="n">
        <x:v>24000000</x:v>
      </x:c>
      <x:c r="D35" s="114" t="n">
        <x:f>VLOOKUP(B35,'부서기준'!$A$6:$D$13,2,FALSE)</x:f>
        <x:v>30</x:v>
      </x:c>
      <x:c r="E35" s="115" t="n">
        <x:f>SUMIF($A$6:$A$45,A35,$D$6:$D$45)</x:f>
        <x:v>204</x:v>
      </x:c>
      <x:c r="F35" s="125" t="n">
        <x:f>IFERROR(D35/E35,0)</x:f>
        <x:v>0.14705882352941177</x:v>
      </x:c>
      <x:c r="G35" s="115" t="n">
        <x:f>C35*F35</x:f>
        <x:v>3529411.7647058824</x:v>
      </x:c>
      <x:c r="H35" s="115" t="n">
        <x:f>SUMIF($A$6:$A$45,A35,$G$6:$G$45)</x:f>
        <x:v>27132352.94117647</x:v>
      </x:c>
      <x:c r="I35" s="131" t="n">
        <x:f>H35-C35</x:f>
        <x:v>3132352.9411764704</x:v>
      </x:c>
    </x:row>
    <x:row r="36">
      <x:c r="A36" s="70" t="str">
        <x:v>OH-04</x:v>
      </x:c>
      <x:c r="B36" s="66" t="str">
        <x:v>부서07</x:v>
      </x:c>
      <x:c r="C36" s="87" t="n">
        <x:v>24000000</x:v>
      </x:c>
      <x:c r="D36" s="114" t="n">
        <x:f>VLOOKUP(B36,'부서기준'!$A$6:$D$13,2,FALSE)</x:f>
        <x:v>33</x:v>
      </x:c>
      <x:c r="E36" s="115" t="n">
        <x:f>SUMIF($A$6:$A$45,A36,$D$6:$D$45)</x:f>
        <x:v>204</x:v>
      </x:c>
      <x:c r="F36" s="125" t="n">
        <x:f>IFERROR(D36/E36,0)</x:f>
        <x:v>0.16176470588235295</x:v>
      </x:c>
      <x:c r="G36" s="115" t="n">
        <x:f>C36*F36</x:f>
        <x:v>3882352.941176471</x:v>
      </x:c>
      <x:c r="H36" s="115" t="n">
        <x:f>SUMIF($A$6:$A$45,A36,$G$6:$G$45)</x:f>
        <x:v>27132352.94117647</x:v>
      </x:c>
      <x:c r="I36" s="131" t="n">
        <x:f>H36-C36</x:f>
        <x:v>3132352.9411764704</x:v>
      </x:c>
    </x:row>
    <x:row r="37">
      <x:c r="A37" s="70" t="str">
        <x:v>OH-04</x:v>
      </x:c>
      <x:c r="B37" s="66" t="str">
        <x:v>부서08</x:v>
      </x:c>
      <x:c r="C37" s="87" t="n">
        <x:v>24000000</x:v>
      </x:c>
      <x:c r="D37" s="114" t="n">
        <x:f>VLOOKUP(B37,'부서기준'!$A$6:$D$13,2,FALSE)</x:f>
        <x:v>36</x:v>
      </x:c>
      <x:c r="E37" s="115" t="n">
        <x:f>SUMIF($A$6:$A$45,A37,$D$6:$D$45)</x:f>
        <x:v>204</x:v>
      </x:c>
      <x:c r="F37" s="125" t="n">
        <x:f>IFERROR(D37/E37,0)</x:f>
        <x:v>0.17647058823529413</x:v>
      </x:c>
      <x:c r="G37" s="115" t="n">
        <x:f>C37*F37</x:f>
        <x:v>4235294.117647059</x:v>
      </x:c>
      <x:c r="H37" s="115" t="n">
        <x:f>SUMIF($A$6:$A$45,A37,$G$6:$G$45)</x:f>
        <x:v>27132352.94117647</x:v>
      </x:c>
      <x:c r="I37" s="131" t="n">
        <x:f>H37-C37</x:f>
        <x:v>3132352.9411764704</x:v>
      </x:c>
    </x:row>
    <x:row r="38">
      <x:c r="A38" s="70" t="str">
        <x:v>OH-05</x:v>
      </x:c>
      <x:c r="B38" s="66" t="str">
        <x:v>부서01</x:v>
      </x:c>
      <x:c r="C38" s="87" t="n">
        <x:v>30000000</x:v>
      </x:c>
      <x:c r="D38" s="114" t="n">
        <x:f>VLOOKUP(B38,'부서기준'!$A$6:$D$13,3,FALSE)</x:f>
        <x:v>34500000</x:v>
      </x:c>
      <x:c r="E38" s="115" t="n">
        <x:f>SUMIF($A$6:$A$45,A38,$D$6:$D$45)</x:f>
        <x:v>402000000</x:v>
      </x:c>
      <x:c r="F38" s="125" t="n">
        <x:f>IFERROR(D38/E38,0)</x:f>
        <x:v>0.08582089552238806</x:v>
      </x:c>
      <x:c r="G38" s="115" t="n">
        <x:f>C38*F38</x:f>
        <x:v>2574626.8656716417</x:v>
      </x:c>
      <x:c r="H38" s="115" t="n">
        <x:f>SUMIF($A$6:$A$45,A38,$G$6:$G$45)</x:f>
        <x:v>30000000</x:v>
      </x:c>
      <x:c r="I38" s="131" t="n">
        <x:f>H38-C38</x:f>
        <x:v>0</x:v>
      </x:c>
    </x:row>
    <x:row r="39">
      <x:c r="A39" s="70" t="str">
        <x:v>OH-05</x:v>
      </x:c>
      <x:c r="B39" s="66" t="str">
        <x:v>부서02</x:v>
      </x:c>
      <x:c r="C39" s="87" t="n">
        <x:v>30000000</x:v>
      </x:c>
      <x:c r="D39" s="114" t="n">
        <x:f>VLOOKUP(B39,'부서기준'!$A$6:$D$13,3,FALSE)</x:f>
        <x:v>39000000</x:v>
      </x:c>
      <x:c r="E39" s="115" t="n">
        <x:f>SUMIF($A$6:$A$45,A39,$D$6:$D$45)</x:f>
        <x:v>402000000</x:v>
      </x:c>
      <x:c r="F39" s="125" t="n">
        <x:f>IFERROR(D39/E39,0)</x:f>
        <x:v>0.09701492537313433</x:v>
      </x:c>
      <x:c r="G39" s="115" t="n">
        <x:f>C39*F39</x:f>
        <x:v>2910447.76119403</x:v>
      </x:c>
      <x:c r="H39" s="115" t="n">
        <x:f>SUMIF($A$6:$A$45,A39,$G$6:$G$45)</x:f>
        <x:v>30000000</x:v>
      </x:c>
      <x:c r="I39" s="131" t="n">
        <x:f>H39-C39</x:f>
        <x:v>0</x:v>
      </x:c>
    </x:row>
    <x:row r="40">
      <x:c r="A40" s="70" t="str">
        <x:v>OH-05</x:v>
      </x:c>
      <x:c r="B40" s="66" t="str">
        <x:v>부서03</x:v>
      </x:c>
      <x:c r="C40" s="87" t="n">
        <x:v>30000000</x:v>
      </x:c>
      <x:c r="D40" s="114" t="n">
        <x:f>VLOOKUP(B40,'부서기준'!$A$6:$D$13,3,FALSE)</x:f>
        <x:v>43500000</x:v>
      </x:c>
      <x:c r="E40" s="115" t="n">
        <x:f>SUMIF($A$6:$A$45,A40,$D$6:$D$45)</x:f>
        <x:v>402000000</x:v>
      </x:c>
      <x:c r="F40" s="125" t="n">
        <x:f>IFERROR(D40/E40,0)</x:f>
        <x:v>0.10820895522388059</x:v>
      </x:c>
      <x:c r="G40" s="115" t="n">
        <x:f>C40*F40</x:f>
        <x:v>3246268.6567164175</x:v>
      </x:c>
      <x:c r="H40" s="115" t="n">
        <x:f>SUMIF($A$6:$A$45,A40,$G$6:$G$45)</x:f>
        <x:v>30000000</x:v>
      </x:c>
      <x:c r="I40" s="131"/>
    </x:row>
    <x:row r="41">
      <x:c r="A41" s="70" t="str">
        <x:v>OH-05</x:v>
      </x:c>
      <x:c r="B41" s="66" t="str">
        <x:v>부서04</x:v>
      </x:c>
      <x:c r="C41" s="87" t="n">
        <x:v>30000000</x:v>
      </x:c>
      <x:c r="D41" s="114" t="n">
        <x:f>VLOOKUP(B41,'부서기준'!$A$6:$D$13,3,FALSE)</x:f>
        <x:v>48000000</x:v>
      </x:c>
      <x:c r="E41" s="115" t="n">
        <x:f>SUMIF($A$6:$A$45,A41,$D$6:$D$45)</x:f>
        <x:v>402000000</x:v>
      </x:c>
      <x:c r="F41" s="125" t="n">
        <x:f>IFERROR(D41/E41,0)</x:f>
        <x:v>0.11940298507462686</x:v>
      </x:c>
      <x:c r="G41" s="115" t="n">
        <x:f>C41*F41</x:f>
        <x:v>3582089.5522388057</x:v>
      </x:c>
      <x:c r="H41" s="115" t="n">
        <x:f>SUMIF($A$6:$A$45,A41,$G$6:$G$45)</x:f>
        <x:v>30000000</x:v>
      </x:c>
      <x:c r="I41" s="131" t="n">
        <x:f>H41-C41</x:f>
        <x:v>0</x:v>
      </x:c>
    </x:row>
    <x:row r="42">
      <x:c r="A42" s="70" t="str">
        <x:v>OH-05</x:v>
      </x:c>
      <x:c r="B42" s="66" t="str">
        <x:v>부서05</x:v>
      </x:c>
      <x:c r="C42" s="87" t="n">
        <x:v>30000000</x:v>
      </x:c>
      <x:c r="D42" s="114" t="n">
        <x:f>VLOOKUP(B42,'부서기준'!$A$6:$D$13,3,FALSE)</x:f>
        <x:v>52500000</x:v>
      </x:c>
      <x:c r="E42" s="115" t="n">
        <x:f>SUMIF($A$6:$A$45,A42,$D$6:$D$45)</x:f>
        <x:v>402000000</x:v>
      </x:c>
      <x:c r="F42" s="125" t="n">
        <x:f>IFERROR(D42/E42,0)</x:f>
        <x:v>0.13059701492537312</x:v>
      </x:c>
      <x:c r="G42" s="115" t="n">
        <x:f>C42*F42</x:f>
        <x:v>3917910.447761194</x:v>
      </x:c>
      <x:c r="H42" s="115" t="n">
        <x:f>SUMIF($A$6:$A$45,A42,$G$6:$G$45)</x:f>
        <x:v>30000000</x:v>
      </x:c>
      <x:c r="I42" s="131" t="n">
        <x:f>H42-C42</x:f>
        <x:v>0</x:v>
      </x:c>
    </x:row>
    <x:row r="43">
      <x:c r="A43" s="70" t="str">
        <x:v>OH-05</x:v>
      </x:c>
      <x:c r="B43" s="66" t="str">
        <x:v>부서06</x:v>
      </x:c>
      <x:c r="C43" s="87" t="n">
        <x:v>30000000</x:v>
      </x:c>
      <x:c r="D43" s="114" t="n">
        <x:f>VLOOKUP(B43,'부서기준'!$A$6:$D$13,3,FALSE)</x:f>
        <x:v>57000000</x:v>
      </x:c>
      <x:c r="E43" s="115" t="n">
        <x:f>SUMIF($A$6:$A$45,A43,$D$6:$D$45)</x:f>
        <x:v>402000000</x:v>
      </x:c>
      <x:c r="F43" s="125" t="n">
        <x:f>IFERROR(D43/E43,0)</x:f>
        <x:v>0.1417910447761194</x:v>
      </x:c>
      <x:c r="G43" s="115" t="n">
        <x:f>C43*F43</x:f>
        <x:v>4253731.343283582</x:v>
      </x:c>
      <x:c r="H43" s="115" t="n">
        <x:f>SUMIF($A$6:$A$45,A43,$G$6:$G$45)</x:f>
        <x:v>30000000</x:v>
      </x:c>
      <x:c r="I43" s="131" t="n">
        <x:f>H43-C43</x:f>
        <x:v>0</x:v>
      </x:c>
    </x:row>
    <x:row r="44">
      <x:c r="A44" s="70" t="str">
        <x:v>OH-05</x:v>
      </x:c>
      <x:c r="B44" s="66" t="str">
        <x:v>부서07</x:v>
      </x:c>
      <x:c r="C44" s="87" t="n">
        <x:v>30000000</x:v>
      </x:c>
      <x:c r="D44" s="114" t="n">
        <x:f>VLOOKUP(B44,'부서기준'!$A$6:$D$13,3,FALSE)</x:f>
        <x:v>61500000</x:v>
      </x:c>
      <x:c r="E44" s="115" t="n">
        <x:f>SUMIF($A$6:$A$45,A44,$D$6:$D$45)</x:f>
        <x:v>402000000</x:v>
      </x:c>
      <x:c r="F44" s="125" t="n">
        <x:f>IFERROR(D44/E44,0)</x:f>
        <x:v>0.15298507462686567</x:v>
      </x:c>
      <x:c r="G44" s="115" t="n">
        <x:f>C44*F44</x:f>
        <x:v>4589552.23880597</x:v>
      </x:c>
      <x:c r="H44" s="115" t="n">
        <x:f>SUMIF($A$6:$A$45,A44,$G$6:$G$45)</x:f>
        <x:v>30000000</x:v>
      </x:c>
      <x:c r="I44" s="131" t="n">
        <x:f>H44-C44</x:f>
        <x:v>0</x:v>
      </x:c>
    </x:row>
    <x:row r="45">
      <x:c r="A45" s="72" t="str">
        <x:v>OH-05</x:v>
      </x:c>
      <x:c r="B45" s="73" t="str">
        <x:v>부서08</x:v>
      </x:c>
      <x:c r="C45" s="89" t="n">
        <x:v>30000000</x:v>
      </x:c>
      <x:c r="D45" s="116" t="n">
        <x:f>VLOOKUP(B45,'부서기준'!$A$6:$D$13,3,FALSE)</x:f>
        <x:v>66000000</x:v>
      </x:c>
      <x:c r="E45" s="117" t="n">
        <x:f>SUMIF($A$6:$A$45,A45,$D$6:$D$45)</x:f>
        <x:v>402000000</x:v>
      </x:c>
      <x:c r="F45" s="126" t="n">
        <x:f>IFERROR(D45/E45,0)</x:f>
        <x:v>0.16417910447761194</x:v>
      </x:c>
      <x:c r="G45" s="117" t="n">
        <x:f>C45*F45</x:f>
        <x:v>4925373.134328358</x:v>
      </x:c>
      <x:c r="H45" s="117" t="n">
        <x:f>SUMIF($A$6:$A$45,A45,$G$6:$G$45)</x:f>
        <x:v>30000000</x:v>
      </x:c>
      <x:c r="I45" s="132" t="n">
        <x:f>H45-C45</x:f>
        <x:v>0</x:v>
      </x:c>
    </x:row>
  </x:sheetData>
  <x:mergeCells>
    <x:mergeCell ref="A1:I1"/>
    <x:mergeCell ref="A2:I2"/>
    <x:mergeCell ref="A3:I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7" hidden="0" customWidth="1"/>
    <x:col min="3" max="3" width="17" hidden="0" customWidth="1"/>
    <x:col min="4" max="4" width="15" hidden="0" customWidth="1"/>
  </x:cols>
  <x:sheetData>
    <x:row r="1" ht="30" customHeight="1">
      <x:c r="A1" s="5" t="str">
        <x:v>공통비 배부 요약</x:v>
      </x:c>
      <x:c r="B1" s="5"/>
      <x:c r="C1" s="5"/>
      <x:c r="D1" s="5"/>
    </x:row>
    <x:row r="2" ht="24" customHeight="1">
      <x:c r="A2" s="12" t="str">
        <x:v>항목별 원가·배부액·검증차이</x:v>
      </x:c>
      <x:c r="B2" s="12"/>
      <x:c r="C2" s="12"/>
      <x:c r="D2" s="12"/>
    </x:row>
    <x:row r="3">
      <x:c r="A3" s="18" t="str">
        <x:v>M4-C 추가 교정용 합성 데이터입니다. 노란색은 입력, 파란색은 계산 영역입니다.</x:v>
      </x:c>
      <x:c r="B3" s="18"/>
      <x:c r="C3" s="18"/>
      <x:c r="D3" s="18"/>
    </x:row>
    <x:row r="5" ht="28" customHeight="1">
      <x:c r="A5" s="30" t="str">
        <x:v>공통비코드</x:v>
      </x:c>
      <x:c r="B5" s="61" t="str">
        <x:v>원가</x:v>
      </x:c>
      <x:c r="C5" s="61" t="str">
        <x:v>배부액</x:v>
      </x:c>
      <x:c r="D5" s="31" t="str">
        <x:v>차이</x:v>
      </x:c>
    </x:row>
    <x:row r="6">
      <x:c r="A6" s="136" t="str">
        <x:v>OH-01</x:v>
      </x:c>
      <x:c r="B6" s="112" t="n">
        <x:f>SUMIF('공통비'!$A$6:$A$10,A6,'공통비'!$B$6:$B$10)</x:f>
        <x:v>48000000</x:v>
      </x:c>
      <x:c r="C6" s="113" t="n">
        <x:f>SUMIF('배부계산'!$A$6:$A$45,A6,'배부계산'!$G$6:$G$45)</x:f>
        <x:v>48000000</x:v>
      </x:c>
      <x:c r="D6" s="130" t="n">
        <x:f>C6-B6</x:f>
        <x:v>0</x:v>
      </x:c>
    </x:row>
    <x:row r="7">
      <x:c r="A7" s="137" t="str">
        <x:v>OH-02</x:v>
      </x:c>
      <x:c r="B7" s="114" t="n">
        <x:f>SUMIF('공통비'!$A$6:$A$10,A7,'공통비'!$B$6:$B$10)</x:f>
        <x:v>72000000</x:v>
      </x:c>
      <x:c r="C7" s="115" t="n">
        <x:f>SUMIF('배부계산'!$A$6:$A$45,A7,'배부계산'!$G$6:$G$45)</x:f>
        <x:v>72000000</x:v>
      </x:c>
      <x:c r="D7" s="131" t="n">
        <x:f>C7-B7</x:f>
        <x:v>0</x:v>
      </x:c>
    </x:row>
    <x:row r="8">
      <x:c r="A8" s="137" t="str">
        <x:v>OH-03</x:v>
      </x:c>
      <x:c r="B8" s="114" t="n">
        <x:f>SUMIF('공통비'!$A$6:$A$10,A8,'공통비'!$B$6:$B$10)</x:f>
        <x:v>36000000</x:v>
      </x:c>
      <x:c r="C8" s="115" t="n">
        <x:f>SUMIF('배부계산'!$A$6:$A$45,A8,'배부계산'!$G$6:$G$45)</x:f>
        <x:v>72213193548.3871</x:v>
      </x:c>
      <x:c r="D8" s="131" t="n">
        <x:f>C8-B8</x:f>
        <x:v>72177193548.3871</x:v>
      </x:c>
    </x:row>
    <x:row r="9">
      <x:c r="A9" s="137" t="str">
        <x:v>OH-04</x:v>
      </x:c>
      <x:c r="B9" s="114" t="n">
        <x:f>SUMIF('공통비'!$A$6:$A$10,A9,'공통비'!$B$6:$B$10)</x:f>
        <x:v>24000000</x:v>
      </x:c>
      <x:c r="C9" s="115" t="n">
        <x:f>SUMIF('배부계산'!$A$6:$A$45,A9,'배부계산'!$G$6:$G$45)</x:f>
        <x:v>27132352.94117647</x:v>
      </x:c>
      <x:c r="D9" s="131" t="n">
        <x:f>C9-B9</x:f>
        <x:v>3132352.9411764704</x:v>
      </x:c>
    </x:row>
    <x:row r="10">
      <x:c r="A10" s="138" t="str">
        <x:v>OH-05</x:v>
      </x:c>
      <x:c r="B10" s="116" t="n">
        <x:f>SUMIF('공통비'!$A$6:$A$10,A10,'공통비'!$B$6:$B$10)</x:f>
        <x:v>30000000</x:v>
      </x:c>
      <x:c r="C10" s="117" t="n">
        <x:f>SUMIF('배부계산'!$A$6:$A$45,A10,'배부계산'!$G$6:$G$45)</x:f>
        <x:v>30000000</x:v>
      </x:c>
      <x:c r="D10" s="132" t="n">
        <x:f>C10-B10</x:f>
        <x:v>0</x:v>
      </x:c>
    </x:row>
  </x:sheetData>
  <x:mergeCells>
    <x:mergeCell ref="A1:D1"/>
    <x:mergeCell ref="A2:D2"/>
    <x:mergeCell ref="A3:D3"/>
  </x:mergeCells>
  <x:pageMargins left="0.7" right="0.7" top="0.75" bottom="0.75" header="0.3" footer="0.3"/>
</x:worksheet>
</file>