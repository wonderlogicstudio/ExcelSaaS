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3186104af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11fb63273bd041cf"/>
    <x:sheet xmlns:r="http://schemas.openxmlformats.org/officeDocument/2006/relationships" name="영업사원" sheetId="2" r:id="R85a0b7818cfd4774"/>
    <x:sheet xmlns:r="http://schemas.openxmlformats.org/officeDocument/2006/relationships" name="매출내역" sheetId="3" r:id="Rd4cf86f80a0b48ad"/>
    <x:sheet xmlns:r="http://schemas.openxmlformats.org/officeDocument/2006/relationships" name="수수료계산" sheetId="4" r:id="R0339226405f04ded"/>
    <x:sheet xmlns:r="http://schemas.openxmlformats.org/officeDocument/2006/relationships" name="요약" sheetId="5" r:id="Rf82f9b193da346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9C0006"/>
      <x:name val="Carlito"/>
    </x:font>
    <x:font>
      <x:b/>
      <x:sz val="11"/>
      <x:color rgb="FF595959"/>
      <x:name val="Carlito"/>
    </x:font>
    <x:font>
      <x:b/>
      <x:sz val="15"/>
      <x:color rgb="FF17365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FCE4D6"/>
      </x:patternFill>
    </x:fill>
  </x:fills>
  <x:borders count="36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4" fillId="5" borderId="6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8" borderId="23" xfId="0" applyNumberFormat="1" applyFont="1" applyFill="1" applyBorder="1"/>
    <x:xf numFmtId="200" fontId="0" fillId="8" borderId="10" xfId="0" applyNumberFormat="1" applyFont="1" applyFill="1" applyBorder="1"/>
    <x:xf numFmtId="200" fontId="0" fillId="8" borderId="12" xfId="0" applyNumberFormat="1" applyFont="1" applyFill="1" applyBorder="1"/>
    <x:xf numFmtId="200" fontId="0" fillId="8" borderId="15" xfId="0" applyNumberFormat="1" applyFont="1" applyFill="1" applyBorder="1"/>
    <x:xf numFmtId="200" fontId="0" fillId="8" borderId="18" xfId="0" applyNumberFormat="1" applyFont="1" applyFill="1" applyBorder="1"/>
    <x:xf numFmtId="200" fontId="0" fillId="8" borderId="20" xfId="0" applyNumberFormat="1" applyFont="1" applyFill="1" applyBorder="1"/>
    <x:xf numFmtId="200" fontId="0" fillId="8" borderId="23" xfId="0" applyNumberFormat="1" applyFont="1" applyFill="1" applyBorder="1"/>
    <x:xf numFmtId="201" fontId="0" fillId="8" borderId="8" xfId="0" applyNumberFormat="1" applyFont="1" applyFill="1" applyBorder="1"/>
    <x:xf numFmtId="201" fontId="0" fillId="8" borderId="11" xfId="0" applyNumberFormat="1" applyFont="1" applyFill="1" applyBorder="1"/>
    <x:xf numFmtId="201" fontId="0" fillId="8" borderId="13" xfId="0" applyNumberFormat="1" applyFont="1" applyFill="1" applyBorder="1"/>
    <x:xf numFmtId="201" fontId="0" fillId="8" borderId="16" xfId="0" applyNumberFormat="1" applyFont="1" applyFill="1" applyBorder="1"/>
    <x:xf numFmtId="201" fontId="0" fillId="8" borderId="19" xfId="0" applyNumberFormat="1" applyFont="1" applyFill="1" applyBorder="1"/>
    <x:xf numFmtId="201" fontId="0" fillId="8" borderId="21" xfId="0" applyNumberFormat="1" applyFont="1" applyFill="1" applyBorder="1"/>
    <x:xf numFmtId="200" fontId="0" fillId="8" borderId="9" xfId="0" applyNumberFormat="1" applyFont="1" applyFill="1" applyBorder="1"/>
    <x:xf numFmtId="200" fontId="0" fillId="8" borderId="0" xfId="0" applyNumberFormat="1" applyFont="1" applyFill="1" applyBorder="1"/>
    <x:xf numFmtId="200" fontId="0" fillId="8" borderId="14" xfId="0" applyNumberFormat="1" applyFont="1" applyFill="1" applyBorder="1"/>
    <x:xf numFmtId="200" fontId="0" fillId="8" borderId="17" xfId="0" applyNumberFormat="1" applyFont="1" applyFill="1" applyBorder="1"/>
    <x:xf numFmtId="200" fontId="0" fillId="8" borderId="1" xfId="0" applyNumberFormat="1" applyFont="1" applyFill="1" applyBorder="1"/>
    <x:xf numFmtId="200" fontId="0" fillId="8" borderId="22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22" xfId="0" applyNumberFormat="1" applyFont="1" applyFill="1" applyBorder="1"/>
    <x:xf numFmtId="0" fontId="0" fillId="7" borderId="23" xfId="0" applyNumberFormat="1" applyFont="1" applyFill="1" applyBorder="1"/>
    <x:xf numFmtId="200" fontId="0" fillId="7" borderId="8" xfId="0" applyNumberFormat="1" applyFont="1" applyFill="1" applyBorder="1"/>
    <x:xf numFmtId="200" fontId="0" fillId="7" borderId="9" xfId="0" applyNumberFormat="1" applyFont="1" applyFill="1" applyBorder="1"/>
    <x:xf numFmtId="200" fontId="0" fillId="7" borderId="11" xfId="0" applyNumberFormat="1" applyFont="1" applyFill="1" applyBorder="1"/>
    <x:xf numFmtId="200" fontId="0" fillId="7" borderId="0" xfId="0" applyNumberFormat="1" applyFont="1" applyFill="1" applyBorder="1"/>
    <x:xf numFmtId="200" fontId="0" fillId="7" borderId="13" xfId="0" applyNumberFormat="1" applyFont="1" applyFill="1" applyBorder="1"/>
    <x:xf numFmtId="200" fontId="0" fillId="7" borderId="14" xfId="0" applyNumberFormat="1" applyFont="1" applyFill="1" applyBorder="1"/>
    <x:xf numFmtId="200" fontId="0" fillId="0" borderId="0" xfId="0" applyNumberFormat="1" applyFont="1" applyFill="1" applyBorder="1"/>
    <x:xf numFmtId="200" fontId="0" fillId="7" borderId="16" xfId="0" applyNumberFormat="1" applyFont="1" applyFill="1" applyBorder="1"/>
    <x:xf numFmtId="200" fontId="0" fillId="7" borderId="17" xfId="0" applyNumberFormat="1" applyFont="1" applyFill="1" applyBorder="1"/>
    <x:xf numFmtId="200" fontId="0" fillId="7" borderId="19" xfId="0" applyNumberFormat="1" applyFont="1" applyFill="1" applyBorder="1"/>
    <x:xf numFmtId="200" fontId="0" fillId="7" borderId="1" xfId="0" applyNumberFormat="1" applyFont="1" applyFill="1" applyBorder="1"/>
    <x:xf numFmtId="200" fontId="0" fillId="7" borderId="21" xfId="0" applyNumberFormat="1" applyFont="1" applyFill="1" applyBorder="1"/>
    <x:xf numFmtId="200" fontId="0" fillId="7" borderId="22" xfId="0" applyNumberFormat="1" applyFont="1" applyFill="1" applyBorder="1"/>
    <x:xf numFmtId="200" fontId="0" fillId="0" borderId="1" xfId="0" applyNumberFormat="1" applyFont="1" applyFill="1" applyBorder="1"/>
    <x:xf numFmtId="202" fontId="0" fillId="7" borderId="9" xfId="0" applyNumberFormat="1" applyFont="1" applyFill="1" applyBorder="1"/>
    <x:xf numFmtId="202" fontId="0" fillId="7" borderId="0" xfId="0" applyNumberFormat="1" applyFont="1" applyFill="1" applyBorder="1"/>
    <x:xf numFmtId="202" fontId="0" fillId="7" borderId="14" xfId="0" applyNumberFormat="1" applyFont="1" applyFill="1" applyBorder="1"/>
    <x:xf numFmtId="202" fontId="0" fillId="7" borderId="17" xfId="0" applyNumberFormat="1" applyFont="1" applyFill="1" applyBorder="1"/>
    <x:xf numFmtId="202" fontId="0" fillId="7" borderId="1" xfId="0" applyNumberFormat="1" applyFont="1" applyFill="1" applyBorder="1"/>
    <x:xf numFmtId="202" fontId="0" fillId="7" borderId="22" xfId="0" applyNumberFormat="1" applyFont="1" applyFill="1" applyBorder="1"/>
    <x:xf numFmtId="200" fontId="0" fillId="7" borderId="10" xfId="0" applyNumberFormat="1" applyFont="1" applyFill="1" applyBorder="1"/>
    <x:xf numFmtId="200" fontId="0" fillId="7" borderId="12" xfId="0" applyNumberFormat="1" applyFont="1" applyFill="1" applyBorder="1"/>
    <x:xf numFmtId="200" fontId="0" fillId="7" borderId="15" xfId="0" applyNumberFormat="1" applyFont="1" applyFill="1" applyBorder="1"/>
    <x:xf numFmtId="200" fontId="0" fillId="7" borderId="18" xfId="0" applyNumberFormat="1" applyFont="1" applyFill="1" applyBorder="1"/>
    <x:xf numFmtId="200" fontId="0" fillId="7" borderId="20" xfId="0" applyNumberFormat="1" applyFont="1" applyFill="1" applyBorder="1"/>
    <x:xf numFmtId="200" fontId="0" fillId="7" borderId="23" xfId="0" applyNumberFormat="1" applyFont="1" applyFill="1" applyBorder="1"/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0" fontId="4" fillId="9" borderId="0" xfId="0" applyNumberFormat="1" applyFont="1" applyFill="1" applyBorder="1"/>
    <x:xf numFmtId="200" fontId="4" fillId="9" borderId="0" xfId="0" applyNumberFormat="1" applyFont="1" applyFill="1" applyBorder="1"/>
    <x:xf numFmtId="0" fontId="4" fillId="9" borderId="24" xfId="0" applyNumberFormat="1" applyFont="1" applyFill="1" applyBorder="1"/>
    <x:xf numFmtId="0" fontId="4" fillId="9" borderId="25" xfId="0" applyNumberFormat="1" applyFont="1" applyFill="1" applyBorder="1"/>
    <x:xf numFmtId="200" fontId="4" fillId="9" borderId="25" xfId="0" applyNumberFormat="1" applyFont="1" applyFill="1" applyBorder="1"/>
    <x:xf numFmtId="200" fontId="4" fillId="9" borderId="26" xfId="0" applyNumberFormat="1" applyFont="1" applyFill="1" applyBorder="1"/>
    <x:xf numFmtId="0" fontId="0" fillId="9" borderId="1" xfId="0" applyNumberFormat="1" applyFont="1" applyFill="1" applyBorder="1"/>
    <x:xf numFmtId="200" fontId="0" fillId="9" borderId="1" xfId="0" applyNumberFormat="1" applyFont="1" applyFill="1" applyBorder="1"/>
    <x:xf numFmtId="0" fontId="4" fillId="9" borderId="1" xfId="0" applyNumberFormat="1" applyFont="1" applyFill="1" applyBorder="1"/>
    <x:xf numFmtId="200" fontId="4" fillId="9" borderId="1" xfId="0" applyNumberFormat="1" applyFont="1" applyFill="1" applyBorder="1"/>
    <x:xf numFmtId="0" fontId="4" fillId="9" borderId="27" xfId="0" applyNumberFormat="1" applyFont="1" applyFill="1" applyBorder="1"/>
    <x:xf numFmtId="0" fontId="4" fillId="9" borderId="28" xfId="0" applyNumberFormat="1" applyFont="1" applyFill="1" applyBorder="1"/>
    <x:xf numFmtId="200" fontId="4" fillId="9" borderId="28" xfId="0" applyNumberFormat="1" applyFont="1" applyFill="1" applyBorder="1"/>
    <x:xf numFmtId="200" fontId="4" fillId="9" borderId="29" xfId="0" applyNumberFormat="1" applyFont="1" applyFill="1" applyBorder="1"/>
    <x:xf numFmtId="0" fontId="0" fillId="10" borderId="0" xfId="0" applyNumberFormat="1" applyFont="1" applyFill="1" applyBorder="1"/>
    <x:xf numFmtId="200" fontId="0" fillId="10" borderId="0" xfId="0" applyNumberFormat="1" applyFont="1" applyFill="1" applyBorder="1"/>
    <x:xf numFmtId="0" fontId="6" fillId="10" borderId="0" xfId="0" applyNumberFormat="1" applyFont="1" applyFill="1" applyBorder="1"/>
    <x:xf numFmtId="200" fontId="6" fillId="10" borderId="0" xfId="0" applyNumberFormat="1" applyFont="1" applyFill="1" applyBorder="1"/>
    <x:xf numFmtId="0" fontId="6" fillId="10" borderId="30" xfId="0" applyNumberFormat="1" applyFont="1" applyFill="1" applyBorder="1"/>
    <x:xf numFmtId="0" fontId="6" fillId="10" borderId="31" xfId="0" applyNumberFormat="1" applyFont="1" applyFill="1" applyBorder="1"/>
    <x:xf numFmtId="200" fontId="6" fillId="10" borderId="31" xfId="0" applyNumberFormat="1" applyFont="1" applyFill="1" applyBorder="1"/>
    <x:xf numFmtId="200" fontId="6" fillId="10" borderId="32" xfId="0" applyNumberFormat="1" applyFont="1" applyFill="1" applyBorder="1"/>
    <x:xf numFmtId="0" fontId="0" fillId="10" borderId="1" xfId="0" applyNumberFormat="1" applyFont="1" applyFill="1" applyBorder="1"/>
    <x:xf numFmtId="200" fontId="0" fillId="10" borderId="1" xfId="0" applyNumberFormat="1" applyFont="1" applyFill="1" applyBorder="1"/>
    <x:xf numFmtId="0" fontId="6" fillId="10" borderId="1" xfId="0" applyNumberFormat="1" applyFont="1" applyFill="1" applyBorder="1"/>
    <x:xf numFmtId="200" fontId="6" fillId="10" borderId="1" xfId="0" applyNumberFormat="1" applyFont="1" applyFill="1" applyBorder="1"/>
    <x:xf numFmtId="0" fontId="6" fillId="10" borderId="33" xfId="0" applyNumberFormat="1" applyFont="1" applyFill="1" applyBorder="1"/>
    <x:xf numFmtId="0" fontId="6" fillId="10" borderId="34" xfId="0" applyNumberFormat="1" applyFont="1" applyFill="1" applyBorder="1"/>
    <x:xf numFmtId="200" fontId="6" fillId="10" borderId="34" xfId="0" applyNumberFormat="1" applyFont="1" applyFill="1" applyBorder="1"/>
    <x:xf numFmtId="200" fontId="6" fillId="10" borderId="35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3b8fdf440470f" /><Relationship Type="http://schemas.openxmlformats.org/officeDocument/2006/relationships/theme" Target="/xl/theme/theme1.xml" Id="R9afa71f34cc944b8" /><Relationship Type="http://schemas.openxmlformats.org/officeDocument/2006/relationships/sharedStrings" Target="/xl/sharedStrings.xml" Id="Rff72a83e3b124fd7" /><Relationship Type="http://schemas.openxmlformats.org/officeDocument/2006/relationships/worksheet" Target="/xl/worksheets/sheet1.xml" Id="R11fb63273bd041cf" /><Relationship Type="http://schemas.openxmlformats.org/officeDocument/2006/relationships/worksheet" Target="/xl/worksheets/sheet2.xml" Id="R85a0b7818cfd4774" /><Relationship Type="http://schemas.openxmlformats.org/officeDocument/2006/relationships/worksheet" Target="/xl/worksheets/sheet3.xml" Id="Rd4cf86f80a0b48ad" /><Relationship Type="http://schemas.openxmlformats.org/officeDocument/2006/relationships/worksheet" Target="/xl/worksheets/sheet4.xml" Id="R0339226405f04ded" /><Relationship Type="http://schemas.openxmlformats.org/officeDocument/2006/relationships/worksheet" Target="/xl/worksheets/sheet5.xml" Id="Rf82f9b193da346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4" hidden="0" customWidth="1"/>
  </x:cols>
  <x:sheetData>
    <x:row r="1" ht="30" customHeight="1">
      <x:c r="A1" s="5" t="str">
        <x:v>영업사원 성과·수수료 계산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사원별 매출·반품·목표를 기준으로 순매출·수수료율·수수료·보너스를 계산하는 합성 샘플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구분</x:v>
      </x:c>
      <x:c r="B5" s="31" t="str">
        <x:v>내용</x:v>
      </x:c>
    </x:row>
    <x:row r="6">
      <x:c r="A6" s="45" t="str">
        <x:v>샘플 성격</x:v>
      </x:c>
      <x:c r="B6" s="51" t="str">
        <x:v>실제 회사·개인정보를 사용하지 않은 합성 업무 파일</x:v>
      </x:c>
    </x:row>
    <x:row r="7">
      <x:c r="A7" s="45" t="str">
        <x:v>검증 용도</x:v>
      </x:c>
      <x:c r="B7" s="51" t="str">
        <x:v>Calibration</x:v>
      </x:c>
    </x:row>
    <x:row r="8">
      <x:c r="A8" s="45" t="str">
        <x:v>핵심 검증</x:v>
      </x:c>
      <x:c r="B8" s="51" t="str">
        <x:v>순매출 함수 이탈, 수수료율 행 참조 이탈, 수수료 상수 덮어쓰기, 총수수료 빈 셀</x:v>
      </x:c>
    </x:row>
    <x:row r="9">
      <x:c r="A9" s="45" t="str">
        <x:v>사용 방법</x:v>
      </x:c>
      <x:c r="B9" s="51" t="str">
        <x:v>기본 무료 진단 후 M4 수식 패턴 정밀검사를 선택 실행</x:v>
      </x:c>
    </x:row>
    <x:row r="10">
      <x:c r="A10" s="45" t="str">
        <x:v>주의</x:v>
      </x:c>
      <x:c r="B10" s="51" t="str">
        <x:v>Finding은 업무 오류 확정이 아니라 사람이 확인할 이상 후보입니다.</x:v>
      </x:c>
    </x:row>
    <x:row r="12" ht="28" customHeight="1">
      <x:c r="A12" s="30" t="str">
        <x:v>시트</x:v>
      </x:c>
      <x:c r="B12" s="31" t="str">
        <x:v>업무 역할</x:v>
      </x:c>
    </x:row>
    <x:row r="13">
      <x:c r="A13" s="55" t="str">
        <x:v>영업사원</x:v>
      </x:c>
      <x:c r="B13" s="50" t="str">
        <x:v>사원·팀·목표</x:v>
      </x:c>
    </x:row>
    <x:row r="14">
      <x:c r="A14" s="55" t="str">
        <x:v>매출내역</x:v>
      </x:c>
      <x:c r="B14" s="50" t="str">
        <x:v>사원별 매출·반품 원천</x:v>
      </x:c>
    </x:row>
    <x:row r="15">
      <x:c r="A15" s="55" t="str">
        <x:v>수수료계산</x:v>
      </x:c>
      <x:c r="B15" s="50" t="str">
        <x:v>성과·수수료 계산</x:v>
      </x:c>
    </x:row>
    <x:row r="16">
      <x:c r="A16" s="55" t="str">
        <x:v>요약</x:v>
      </x:c>
      <x:c r="B16" s="50" t="str">
        <x:v>영업 KPI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0" hidden="0" customWidth="1"/>
    <x:col min="4" max="4" width="16" hidden="0" customWidth="1"/>
  </x:cols>
  <x:sheetData>
    <x:row r="1" ht="30" customHeight="1">
      <x:c r="A1" s="5" t="str">
        <x:v>영업사원 마스터</x:v>
      </x:c>
      <x:c r="B1" s="5"/>
      <x:c r="C1" s="5"/>
      <x:c r="D1" s="5"/>
    </x:row>
    <x:row r="2" ht="24" customHeight="1">
      <x:c r="A2" s="12" t="str">
        <x:v>합성 사원·팀·월 목표</x:v>
      </x:c>
      <x:c r="B2" s="12"/>
      <x:c r="C2" s="12"/>
      <x:c r="D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</x:row>
    <x:row r="5" ht="28" customHeight="1">
      <x:c r="A5" s="30" t="str">
        <x:v>사원코드</x:v>
      </x:c>
      <x:c r="B5" s="61" t="str">
        <x:v>사원명</x:v>
      </x:c>
      <x:c r="C5" s="61" t="str">
        <x:v>팀</x:v>
      </x:c>
      <x:c r="D5" s="31" t="str">
        <x:v>월목표</x:v>
      </x:c>
    </x:row>
    <x:row r="6">
      <x:c r="A6" s="67" t="str">
        <x:v>S001</x:v>
      </x:c>
      <x:c r="B6" s="68" t="str">
        <x:v>영업사원01</x:v>
      </x:c>
      <x:c r="C6" s="68" t="str">
        <x:v>A팀</x:v>
      </x:c>
      <x:c r="D6" s="84" t="n">
        <x:v>8150000</x:v>
      </x:c>
    </x:row>
    <x:row r="7">
      <x:c r="A7" s="70" t="str">
        <x:v>S002</x:v>
      </x:c>
      <x:c r="B7" s="66" t="str">
        <x:v>영업사원02</x:v>
      </x:c>
      <x:c r="C7" s="66" t="str">
        <x:v>B팀</x:v>
      </x:c>
      <x:c r="D7" s="85" t="n">
        <x:v>8300000</x:v>
      </x:c>
    </x:row>
    <x:row r="8">
      <x:c r="A8" s="70" t="str">
        <x:v>S003</x:v>
      </x:c>
      <x:c r="B8" s="66" t="str">
        <x:v>영업사원03</x:v>
      </x:c>
      <x:c r="C8" s="66" t="str">
        <x:v>C팀</x:v>
      </x:c>
      <x:c r="D8" s="85" t="n">
        <x:v>8450000</x:v>
      </x:c>
    </x:row>
    <x:row r="9">
      <x:c r="A9" s="70" t="str">
        <x:v>S004</x:v>
      </x:c>
      <x:c r="B9" s="66" t="str">
        <x:v>영업사원04</x:v>
      </x:c>
      <x:c r="C9" s="66" t="str">
        <x:v>D팀</x:v>
      </x:c>
      <x:c r="D9" s="85" t="n">
        <x:v>8600000</x:v>
      </x:c>
    </x:row>
    <x:row r="10">
      <x:c r="A10" s="70" t="str">
        <x:v>S005</x:v>
      </x:c>
      <x:c r="B10" s="66" t="str">
        <x:v>영업사원05</x:v>
      </x:c>
      <x:c r="C10" s="66" t="str">
        <x:v>A팀</x:v>
      </x:c>
      <x:c r="D10" s="85" t="n">
        <x:v>8750000</x:v>
      </x:c>
    </x:row>
    <x:row r="11">
      <x:c r="A11" s="70" t="str">
        <x:v>S006</x:v>
      </x:c>
      <x:c r="B11" s="66" t="str">
        <x:v>영업사원06</x:v>
      </x:c>
      <x:c r="C11" s="66" t="str">
        <x:v>B팀</x:v>
      </x:c>
      <x:c r="D11" s="85" t="n">
        <x:v>8900000</x:v>
      </x:c>
    </x:row>
    <x:row r="12">
      <x:c r="A12" s="70" t="str">
        <x:v>S007</x:v>
      </x:c>
      <x:c r="B12" s="66" t="str">
        <x:v>영업사원07</x:v>
      </x:c>
      <x:c r="C12" s="66" t="str">
        <x:v>C팀</x:v>
      </x:c>
      <x:c r="D12" s="85" t="n">
        <x:v>9050000</x:v>
      </x:c>
    </x:row>
    <x:row r="13">
      <x:c r="A13" s="70" t="str">
        <x:v>S008</x:v>
      </x:c>
      <x:c r="B13" s="66" t="str">
        <x:v>영업사원08</x:v>
      </x:c>
      <x:c r="C13" s="66" t="str">
        <x:v>D팀</x:v>
      </x:c>
      <x:c r="D13" s="85" t="n">
        <x:v>9200000</x:v>
      </x:c>
    </x:row>
    <x:row r="14">
      <x:c r="A14" s="70" t="str">
        <x:v>S009</x:v>
      </x:c>
      <x:c r="B14" s="66" t="str">
        <x:v>영업사원09</x:v>
      </x:c>
      <x:c r="C14" s="66" t="str">
        <x:v>A팀</x:v>
      </x:c>
      <x:c r="D14" s="85" t="n">
        <x:v>9350000</x:v>
      </x:c>
    </x:row>
    <x:row r="15">
      <x:c r="A15" s="70" t="str">
        <x:v>S010</x:v>
      </x:c>
      <x:c r="B15" s="66" t="str">
        <x:v>영업사원10</x:v>
      </x:c>
      <x:c r="C15" s="66" t="str">
        <x:v>B팀</x:v>
      </x:c>
      <x:c r="D15" s="85" t="n">
        <x:v>9500000</x:v>
      </x:c>
    </x:row>
    <x:row r="16">
      <x:c r="A16" s="70" t="str">
        <x:v>S011</x:v>
      </x:c>
      <x:c r="B16" s="66" t="str">
        <x:v>영업사원11</x:v>
      </x:c>
      <x:c r="C16" s="66" t="str">
        <x:v>C팀</x:v>
      </x:c>
      <x:c r="D16" s="85" t="n">
        <x:v>9650000</x:v>
      </x:c>
    </x:row>
    <x:row r="17">
      <x:c r="A17" s="70" t="str">
        <x:v>S012</x:v>
      </x:c>
      <x:c r="B17" s="66" t="str">
        <x:v>영업사원12</x:v>
      </x:c>
      <x:c r="C17" s="66" t="str">
        <x:v>D팀</x:v>
      </x:c>
      <x:c r="D17" s="85" t="n">
        <x:v>9800000</x:v>
      </x:c>
    </x:row>
    <x:row r="18">
      <x:c r="A18" s="70" t="str">
        <x:v>S013</x:v>
      </x:c>
      <x:c r="B18" s="66" t="str">
        <x:v>영업사원13</x:v>
      </x:c>
      <x:c r="C18" s="66" t="str">
        <x:v>A팀</x:v>
      </x:c>
      <x:c r="D18" s="85" t="n">
        <x:v>9950000</x:v>
      </x:c>
    </x:row>
    <x:row r="19">
      <x:c r="A19" s="70" t="str">
        <x:v>S014</x:v>
      </x:c>
      <x:c r="B19" s="66" t="str">
        <x:v>영업사원14</x:v>
      </x:c>
      <x:c r="C19" s="66" t="str">
        <x:v>B팀</x:v>
      </x:c>
      <x:c r="D19" s="85" t="n">
        <x:v>10100000</x:v>
      </x:c>
    </x:row>
    <x:row r="20">
      <x:c r="A20" s="70" t="str">
        <x:v>S015</x:v>
      </x:c>
      <x:c r="B20" s="66" t="str">
        <x:v>영업사원15</x:v>
      </x:c>
      <x:c r="C20" s="66" t="str">
        <x:v>C팀</x:v>
      </x:c>
      <x:c r="D20" s="85" t="n">
        <x:v>10250000</x:v>
      </x:c>
    </x:row>
    <x:row r="21">
      <x:c r="A21" s="70" t="str">
        <x:v>S016</x:v>
      </x:c>
      <x:c r="B21" s="66" t="str">
        <x:v>영업사원16</x:v>
      </x:c>
      <x:c r="C21" s="66" t="str">
        <x:v>D팀</x:v>
      </x:c>
      <x:c r="D21" s="85" t="n">
        <x:v>10400000</x:v>
      </x:c>
    </x:row>
    <x:row r="22">
      <x:c r="A22" s="70" t="str">
        <x:v>S017</x:v>
      </x:c>
      <x:c r="B22" s="66" t="str">
        <x:v>영업사원17</x:v>
      </x:c>
      <x:c r="C22" s="66" t="str">
        <x:v>A팀</x:v>
      </x:c>
      <x:c r="D22" s="85" t="n">
        <x:v>10550000</x:v>
      </x:c>
    </x:row>
    <x:row r="23">
      <x:c r="A23" s="70" t="str">
        <x:v>S018</x:v>
      </x:c>
      <x:c r="B23" s="66" t="str">
        <x:v>영업사원18</x:v>
      </x:c>
      <x:c r="C23" s="66" t="str">
        <x:v>B팀</x:v>
      </x:c>
      <x:c r="D23" s="85" t="n">
        <x:v>10700000</x:v>
      </x:c>
    </x:row>
    <x:row r="24">
      <x:c r="A24" s="70" t="str">
        <x:v>S019</x:v>
      </x:c>
      <x:c r="B24" s="66" t="str">
        <x:v>영업사원19</x:v>
      </x:c>
      <x:c r="C24" s="66" t="str">
        <x:v>C팀</x:v>
      </x:c>
      <x:c r="D24" s="85" t="n">
        <x:v>10850000</x:v>
      </x:c>
    </x:row>
    <x:row r="25">
      <x:c r="A25" s="70" t="str">
        <x:v>S020</x:v>
      </x:c>
      <x:c r="B25" s="66" t="str">
        <x:v>영업사원20</x:v>
      </x:c>
      <x:c r="C25" s="66" t="str">
        <x:v>D팀</x:v>
      </x:c>
      <x:c r="D25" s="85" t="n">
        <x:v>11000000</x:v>
      </x:c>
    </x:row>
    <x:row r="26">
      <x:c r="A26" s="70" t="str">
        <x:v>S021</x:v>
      </x:c>
      <x:c r="B26" s="66" t="str">
        <x:v>영업사원21</x:v>
      </x:c>
      <x:c r="C26" s="66" t="str">
        <x:v>A팀</x:v>
      </x:c>
      <x:c r="D26" s="85" t="n">
        <x:v>11150000</x:v>
      </x:c>
    </x:row>
    <x:row r="27">
      <x:c r="A27" s="70" t="str">
        <x:v>S022</x:v>
      </x:c>
      <x:c r="B27" s="66" t="str">
        <x:v>영업사원22</x:v>
      </x:c>
      <x:c r="C27" s="66" t="str">
        <x:v>B팀</x:v>
      </x:c>
      <x:c r="D27" s="85" t="n">
        <x:v>11300000</x:v>
      </x:c>
    </x:row>
    <x:row r="28">
      <x:c r="A28" s="70" t="str">
        <x:v>S023</x:v>
      </x:c>
      <x:c r="B28" s="66" t="str">
        <x:v>영업사원23</x:v>
      </x:c>
      <x:c r="C28" s="66" t="str">
        <x:v>C팀</x:v>
      </x:c>
      <x:c r="D28" s="85" t="n">
        <x:v>11450000</x:v>
      </x:c>
    </x:row>
    <x:row r="29">
      <x:c r="A29" s="70" t="str">
        <x:v>S024</x:v>
      </x:c>
      <x:c r="B29" s="66" t="str">
        <x:v>영업사원24</x:v>
      </x:c>
      <x:c r="C29" s="66" t="str">
        <x:v>D팀</x:v>
      </x:c>
      <x:c r="D29" s="85" t="n">
        <x:v>11600000</x:v>
      </x:c>
    </x:row>
    <x:row r="30">
      <x:c r="A30" s="70" t="str">
        <x:v>S025</x:v>
      </x:c>
      <x:c r="B30" s="66" t="str">
        <x:v>영업사원25</x:v>
      </x:c>
      <x:c r="C30" s="66" t="str">
        <x:v>A팀</x:v>
      </x:c>
      <x:c r="D30" s="85" t="n">
        <x:v>11750000</x:v>
      </x:c>
    </x:row>
    <x:row r="31">
      <x:c r="A31" s="70" t="str">
        <x:v>S026</x:v>
      </x:c>
      <x:c r="B31" s="66" t="str">
        <x:v>영업사원26</x:v>
      </x:c>
      <x:c r="C31" s="66" t="str">
        <x:v>B팀</x:v>
      </x:c>
      <x:c r="D31" s="85" t="n">
        <x:v>11900000</x:v>
      </x:c>
    </x:row>
    <x:row r="32">
      <x:c r="A32" s="70" t="str">
        <x:v>S027</x:v>
      </x:c>
      <x:c r="B32" s="66" t="str">
        <x:v>영업사원27</x:v>
      </x:c>
      <x:c r="C32" s="66" t="str">
        <x:v>C팀</x:v>
      </x:c>
      <x:c r="D32" s="85" t="n">
        <x:v>12050000</x:v>
      </x:c>
    </x:row>
    <x:row r="33">
      <x:c r="A33" s="70" t="str">
        <x:v>S028</x:v>
      </x:c>
      <x:c r="B33" s="66" t="str">
        <x:v>영업사원28</x:v>
      </x:c>
      <x:c r="C33" s="66" t="str">
        <x:v>D팀</x:v>
      </x:c>
      <x:c r="D33" s="85" t="n">
        <x:v>12200000</x:v>
      </x:c>
    </x:row>
    <x:row r="34">
      <x:c r="A34" s="70" t="str">
        <x:v>S029</x:v>
      </x:c>
      <x:c r="B34" s="66" t="str">
        <x:v>영업사원29</x:v>
      </x:c>
      <x:c r="C34" s="66" t="str">
        <x:v>A팀</x:v>
      </x:c>
      <x:c r="D34" s="85" t="n">
        <x:v>12350000</x:v>
      </x:c>
    </x:row>
    <x:row r="35">
      <x:c r="A35" s="70" t="str">
        <x:v>S030</x:v>
      </x:c>
      <x:c r="B35" s="66" t="str">
        <x:v>영업사원30</x:v>
      </x:c>
      <x:c r="C35" s="66" t="str">
        <x:v>B팀</x:v>
      </x:c>
      <x:c r="D35" s="85" t="n">
        <x:v>12500000</x:v>
      </x:c>
    </x:row>
    <x:row r="36">
      <x:c r="A36" s="70" t="str">
        <x:v>S031</x:v>
      </x:c>
      <x:c r="B36" s="66" t="str">
        <x:v>영업사원31</x:v>
      </x:c>
      <x:c r="C36" s="66" t="str">
        <x:v>C팀</x:v>
      </x:c>
      <x:c r="D36" s="85" t="n">
        <x:v>12650000</x:v>
      </x:c>
    </x:row>
    <x:row r="37">
      <x:c r="A37" s="70" t="str">
        <x:v>S032</x:v>
      </x:c>
      <x:c r="B37" s="66" t="str">
        <x:v>영업사원32</x:v>
      </x:c>
      <x:c r="C37" s="66" t="str">
        <x:v>D팀</x:v>
      </x:c>
      <x:c r="D37" s="85" t="n">
        <x:v>12800000</x:v>
      </x:c>
    </x:row>
    <x:row r="38">
      <x:c r="A38" s="70" t="str">
        <x:v>S033</x:v>
      </x:c>
      <x:c r="B38" s="66" t="str">
        <x:v>영업사원33</x:v>
      </x:c>
      <x:c r="C38" s="66" t="str">
        <x:v>A팀</x:v>
      </x:c>
      <x:c r="D38" s="85" t="n">
        <x:v>12950000</x:v>
      </x:c>
    </x:row>
    <x:row r="39">
      <x:c r="A39" s="70" t="str">
        <x:v>S034</x:v>
      </x:c>
      <x:c r="B39" s="66" t="str">
        <x:v>영업사원34</x:v>
      </x:c>
      <x:c r="C39" s="66" t="str">
        <x:v>B팀</x:v>
      </x:c>
      <x:c r="D39" s="85" t="n">
        <x:v>13100000</x:v>
      </x:c>
    </x:row>
    <x:row r="40">
      <x:c r="A40" s="70" t="str">
        <x:v>S035</x:v>
      </x:c>
      <x:c r="B40" s="66" t="str">
        <x:v>영업사원35</x:v>
      </x:c>
      <x:c r="C40" s="66" t="str">
        <x:v>C팀</x:v>
      </x:c>
      <x:c r="D40" s="85" t="n">
        <x:v>13250000</x:v>
      </x:c>
    </x:row>
    <x:row r="41">
      <x:c r="A41" s="70" t="str">
        <x:v>S036</x:v>
      </x:c>
      <x:c r="B41" s="66" t="str">
        <x:v>영업사원36</x:v>
      </x:c>
      <x:c r="C41" s="66" t="str">
        <x:v>D팀</x:v>
      </x:c>
      <x:c r="D41" s="85" t="n">
        <x:v>13400000</x:v>
      </x:c>
    </x:row>
    <x:row r="42">
      <x:c r="A42" s="70" t="str">
        <x:v>S037</x:v>
      </x:c>
      <x:c r="B42" s="66" t="str">
        <x:v>영업사원37</x:v>
      </x:c>
      <x:c r="C42" s="66" t="str">
        <x:v>A팀</x:v>
      </x:c>
      <x:c r="D42" s="85" t="n">
        <x:v>13550000</x:v>
      </x:c>
    </x:row>
    <x:row r="43">
      <x:c r="A43" s="70" t="str">
        <x:v>S038</x:v>
      </x:c>
      <x:c r="B43" s="66" t="str">
        <x:v>영업사원38</x:v>
      </x:c>
      <x:c r="C43" s="66" t="str">
        <x:v>B팀</x:v>
      </x:c>
      <x:c r="D43" s="85" t="n">
        <x:v>13700000</x:v>
      </x:c>
    </x:row>
    <x:row r="44">
      <x:c r="A44" s="70" t="str">
        <x:v>S039</x:v>
      </x:c>
      <x:c r="B44" s="66" t="str">
        <x:v>영업사원39</x:v>
      </x:c>
      <x:c r="C44" s="66" t="str">
        <x:v>C팀</x:v>
      </x:c>
      <x:c r="D44" s="85" t="n">
        <x:v>13850000</x:v>
      </x:c>
    </x:row>
    <x:row r="45">
      <x:c r="A45" s="72" t="str">
        <x:v>S040</x:v>
      </x:c>
      <x:c r="B45" s="73" t="str">
        <x:v>영업사원40</x:v>
      </x:c>
      <x:c r="C45" s="73" t="str">
        <x:v>D팀</x:v>
      </x:c>
      <x:c r="D45" s="86" t="n">
        <x:v>14000000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6" hidden="0" customWidth="1"/>
    <x:col min="5" max="5" width="18" hidden="0" customWidth="1"/>
  </x:cols>
  <x:sheetData>
    <x:row r="1" ht="30" customHeight="1">
      <x:c r="A1" s="5" t="str">
        <x:v>영업 매출내역</x:v>
      </x:c>
      <x:c r="B1" s="5"/>
      <x:c r="C1" s="5"/>
      <x:c r="D1" s="5"/>
      <x:c r="E1" s="5"/>
    </x:row>
    <x:row r="2" ht="24" customHeight="1">
      <x:c r="A2" s="12" t="str">
        <x:v>합성 매출·반품 데이터</x:v>
      </x:c>
      <x:c r="B2" s="12"/>
      <x:c r="C2" s="12"/>
      <x:c r="D2" s="12"/>
      <x:c r="E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</x:row>
    <x:row r="5" ht="28" customHeight="1">
      <x:c r="A5" s="30" t="str">
        <x:v>일자</x:v>
      </x:c>
      <x:c r="B5" s="61" t="str">
        <x:v>사원코드</x:v>
      </x:c>
      <x:c r="C5" s="61" t="str">
        <x:v>구분</x:v>
      </x:c>
      <x:c r="D5" s="61" t="str">
        <x:v>금액</x:v>
      </x:c>
      <x:c r="E5" s="31" t="str">
        <x:v>거래처</x:v>
      </x:c>
    </x:row>
    <x:row r="6">
      <x:c r="A6" s="90" t="n">
        <x:v>46235</x:v>
      </x:c>
      <x:c r="B6" s="68" t="str">
        <x:v>S001</x:v>
      </x:c>
      <x:c r="C6" s="68" t="str">
        <x:v>반품</x:v>
      </x:c>
      <x:c r="D6" s="96" t="n">
        <x:v>6500000</x:v>
      </x:c>
      <x:c r="E6" s="69" t="str">
        <x:v>거래처01</x:v>
      </x:c>
    </x:row>
    <x:row r="7">
      <x:c r="A7" s="91" t="n">
        <x:v>46236</x:v>
      </x:c>
      <x:c r="B7" s="66" t="str">
        <x:v>S002</x:v>
      </x:c>
      <x:c r="C7" s="66" t="str">
        <x:v>매출</x:v>
      </x:c>
      <x:c r="D7" s="97" t="n">
        <x:v>8200000</x:v>
      </x:c>
      <x:c r="E7" s="71" t="str">
        <x:v>거래처02</x:v>
      </x:c>
    </x:row>
    <x:row r="8">
      <x:c r="A8" s="91" t="n">
        <x:v>46237</x:v>
      </x:c>
      <x:c r="B8" s="66" t="str">
        <x:v>S003</x:v>
      </x:c>
      <x:c r="C8" s="66" t="str">
        <x:v>매출</x:v>
      </x:c>
      <x:c r="D8" s="97" t="n">
        <x:v>5300000</x:v>
      </x:c>
      <x:c r="E8" s="71" t="str">
        <x:v>거래처03</x:v>
      </x:c>
    </x:row>
    <x:row r="9">
      <x:c r="A9" s="91" t="n">
        <x:v>46238</x:v>
      </x:c>
      <x:c r="B9" s="66" t="str">
        <x:v>S004</x:v>
      </x:c>
      <x:c r="C9" s="66" t="str">
        <x:v>매출</x:v>
      </x:c>
      <x:c r="D9" s="97" t="n">
        <x:v>15000000</x:v>
      </x:c>
      <x:c r="E9" s="71" t="str">
        <x:v>거래처04</x:v>
      </x:c>
    </x:row>
    <x:row r="10">
      <x:c r="A10" s="91" t="n">
        <x:v>46239</x:v>
      </x:c>
      <x:c r="B10" s="66" t="str">
        <x:v>S005</x:v>
      </x:c>
      <x:c r="C10" s="66" t="str">
        <x:v>매출</x:v>
      </x:c>
      <x:c r="D10" s="97" t="n">
        <x:v>5100000</x:v>
      </x:c>
      <x:c r="E10" s="71" t="str">
        <x:v>거래처05</x:v>
      </x:c>
    </x:row>
    <x:row r="11">
      <x:c r="A11" s="91" t="n">
        <x:v>46240</x:v>
      </x:c>
      <x:c r="B11" s="66" t="str">
        <x:v>S006</x:v>
      </x:c>
      <x:c r="C11" s="66" t="str">
        <x:v>매출</x:v>
      </x:c>
      <x:c r="D11" s="97" t="n">
        <x:v>8900000</x:v>
      </x:c>
      <x:c r="E11" s="71" t="str">
        <x:v>거래처06</x:v>
      </x:c>
    </x:row>
    <x:row r="12">
      <x:c r="A12" s="91" t="n">
        <x:v>46241</x:v>
      </x:c>
      <x:c r="B12" s="66" t="str">
        <x:v>S007</x:v>
      </x:c>
      <x:c r="C12" s="66" t="str">
        <x:v>매출</x:v>
      </x:c>
      <x:c r="D12" s="97" t="n">
        <x:v>14400000</x:v>
      </x:c>
      <x:c r="E12" s="71" t="str">
        <x:v>거래처07</x:v>
      </x:c>
    </x:row>
    <x:row r="13">
      <x:c r="A13" s="91" t="n">
        <x:v>46242</x:v>
      </x:c>
      <x:c r="B13" s="66" t="str">
        <x:v>S008</x:v>
      </x:c>
      <x:c r="C13" s="66" t="str">
        <x:v>매출</x:v>
      </x:c>
      <x:c r="D13" s="97" t="n">
        <x:v>12200000</x:v>
      </x:c>
      <x:c r="E13" s="71" t="str">
        <x:v>거래처08</x:v>
      </x:c>
    </x:row>
    <x:row r="14">
      <x:c r="A14" s="91" t="n">
        <x:v>46243</x:v>
      </x:c>
      <x:c r="B14" s="66" t="str">
        <x:v>S009</x:v>
      </x:c>
      <x:c r="C14" s="66" t="str">
        <x:v>매출</x:v>
      </x:c>
      <x:c r="D14" s="97" t="n">
        <x:v>11900000</x:v>
      </x:c>
      <x:c r="E14" s="71" t="str">
        <x:v>거래처09</x:v>
      </x:c>
    </x:row>
    <x:row r="15">
      <x:c r="A15" s="91" t="n">
        <x:v>46244</x:v>
      </x:c>
      <x:c r="B15" s="66" t="str">
        <x:v>S010</x:v>
      </x:c>
      <x:c r="C15" s="66" t="str">
        <x:v>매출</x:v>
      </x:c>
      <x:c r="D15" s="97" t="n">
        <x:v>15200000</x:v>
      </x:c>
      <x:c r="E15" s="71" t="str">
        <x:v>거래처10</x:v>
      </x:c>
    </x:row>
    <x:row r="16">
      <x:c r="A16" s="91" t="n">
        <x:v>46245</x:v>
      </x:c>
      <x:c r="B16" s="66" t="str">
        <x:v>S011</x:v>
      </x:c>
      <x:c r="C16" s="66" t="str">
        <x:v>매출</x:v>
      </x:c>
      <x:c r="D16" s="97" t="n">
        <x:v>4600000</x:v>
      </x:c>
      <x:c r="E16" s="71" t="str">
        <x:v>거래처11</x:v>
      </x:c>
    </x:row>
    <x:row r="17">
      <x:c r="A17" s="91" t="n">
        <x:v>46246</x:v>
      </x:c>
      <x:c r="B17" s="66" t="str">
        <x:v>S012</x:v>
      </x:c>
      <x:c r="C17" s="66" t="str">
        <x:v>매출</x:v>
      </x:c>
      <x:c r="D17" s="97" t="n">
        <x:v>12400000</x:v>
      </x:c>
      <x:c r="E17" s="71" t="str">
        <x:v>거래처12</x:v>
      </x:c>
    </x:row>
    <x:row r="18">
      <x:c r="A18" s="91" t="n">
        <x:v>46247</x:v>
      </x:c>
      <x:c r="B18" s="66" t="str">
        <x:v>S013</x:v>
      </x:c>
      <x:c r="C18" s="66" t="str">
        <x:v>매출</x:v>
      </x:c>
      <x:c r="D18" s="97" t="n">
        <x:v>3000000</x:v>
      </x:c>
      <x:c r="E18" s="71" t="str">
        <x:v>거래처13</x:v>
      </x:c>
    </x:row>
    <x:row r="19">
      <x:c r="A19" s="91" t="n">
        <x:v>46248</x:v>
      </x:c>
      <x:c r="B19" s="66" t="str">
        <x:v>S014</x:v>
      </x:c>
      <x:c r="C19" s="66" t="str">
        <x:v>반품</x:v>
      </x:c>
      <x:c r="D19" s="97" t="n">
        <x:v>6000000</x:v>
      </x:c>
      <x:c r="E19" s="71" t="str">
        <x:v>거래처14</x:v>
      </x:c>
    </x:row>
    <x:row r="20">
      <x:c r="A20" s="91" t="n">
        <x:v>46249</x:v>
      </x:c>
      <x:c r="B20" s="66" t="str">
        <x:v>S015</x:v>
      </x:c>
      <x:c r="C20" s="66" t="str">
        <x:v>매출</x:v>
      </x:c>
      <x:c r="D20" s="97" t="n">
        <x:v>17300000</x:v>
      </x:c>
      <x:c r="E20" s="71" t="str">
        <x:v>거래처15</x:v>
      </x:c>
    </x:row>
    <x:row r="21">
      <x:c r="A21" s="91" t="n">
        <x:v>46250</x:v>
      </x:c>
      <x:c r="B21" s="66" t="str">
        <x:v>S016</x:v>
      </x:c>
      <x:c r="C21" s="66" t="str">
        <x:v>매출</x:v>
      </x:c>
      <x:c r="D21" s="97" t="n">
        <x:v>9600000</x:v>
      </x:c>
      <x:c r="E21" s="71" t="str">
        <x:v>거래처16</x:v>
      </x:c>
    </x:row>
    <x:row r="22">
      <x:c r="A22" s="91" t="n">
        <x:v>46251</x:v>
      </x:c>
      <x:c r="B22" s="66" t="str">
        <x:v>S017</x:v>
      </x:c>
      <x:c r="C22" s="66" t="str">
        <x:v>매출</x:v>
      </x:c>
      <x:c r="D22" s="97" t="n">
        <x:v>3800000</x:v>
      </x:c>
      <x:c r="E22" s="71" t="str">
        <x:v>거래처17</x:v>
      </x:c>
    </x:row>
    <x:row r="23">
      <x:c r="A23" s="91" t="n">
        <x:v>46252</x:v>
      </x:c>
      <x:c r="B23" s="66" t="str">
        <x:v>S018</x:v>
      </x:c>
      <x:c r="C23" s="66" t="str">
        <x:v>매출</x:v>
      </x:c>
      <x:c r="D23" s="97" t="n">
        <x:v>3200000</x:v>
      </x:c>
      <x:c r="E23" s="71" t="str">
        <x:v>거래처18</x:v>
      </x:c>
    </x:row>
    <x:row r="24">
      <x:c r="A24" s="91" t="n">
        <x:v>46253</x:v>
      </x:c>
      <x:c r="B24" s="66" t="str">
        <x:v>S019</x:v>
      </x:c>
      <x:c r="C24" s="66" t="str">
        <x:v>매출</x:v>
      </x:c>
      <x:c r="D24" s="97" t="n">
        <x:v>12500000</x:v>
      </x:c>
      <x:c r="E24" s="71" t="str">
        <x:v>거래처19</x:v>
      </x:c>
    </x:row>
    <x:row r="25">
      <x:c r="A25" s="91" t="n">
        <x:v>46254</x:v>
      </x:c>
      <x:c r="B25" s="66" t="str">
        <x:v>S020</x:v>
      </x:c>
      <x:c r="C25" s="66" t="str">
        <x:v>매출</x:v>
      </x:c>
      <x:c r="D25" s="97" t="n">
        <x:v>10700000</x:v>
      </x:c>
      <x:c r="E25" s="71" t="str">
        <x:v>거래처20</x:v>
      </x:c>
    </x:row>
    <x:row r="26">
      <x:c r="A26" s="91" t="n">
        <x:v>46255</x:v>
      </x:c>
      <x:c r="B26" s="66" t="str">
        <x:v>S021</x:v>
      </x:c>
      <x:c r="C26" s="66" t="str">
        <x:v>매출</x:v>
      </x:c>
      <x:c r="D26" s="97" t="n">
        <x:v>12400000</x:v>
      </x:c>
      <x:c r="E26" s="71" t="str">
        <x:v>거래처21</x:v>
      </x:c>
    </x:row>
    <x:row r="27">
      <x:c r="A27" s="91" t="n">
        <x:v>46256</x:v>
      </x:c>
      <x:c r="B27" s="66" t="str">
        <x:v>S022</x:v>
      </x:c>
      <x:c r="C27" s="66" t="str">
        <x:v>매출</x:v>
      </x:c>
      <x:c r="D27" s="97" t="n">
        <x:v>10200000</x:v>
      </x:c>
      <x:c r="E27" s="71" t="str">
        <x:v>거래처22</x:v>
      </x:c>
    </x:row>
    <x:row r="28">
      <x:c r="A28" s="91" t="n">
        <x:v>46257</x:v>
      </x:c>
      <x:c r="B28" s="66" t="str">
        <x:v>S023</x:v>
      </x:c>
      <x:c r="C28" s="66" t="str">
        <x:v>매출</x:v>
      </x:c>
      <x:c r="D28" s="97" t="n">
        <x:v>15200000</x:v>
      </x:c>
      <x:c r="E28" s="71" t="str">
        <x:v>거래처23</x:v>
      </x:c>
    </x:row>
    <x:row r="29">
      <x:c r="A29" s="91" t="n">
        <x:v>46258</x:v>
      </x:c>
      <x:c r="B29" s="66" t="str">
        <x:v>S024</x:v>
      </x:c>
      <x:c r="C29" s="66" t="str">
        <x:v>매출</x:v>
      </x:c>
      <x:c r="D29" s="97" t="n">
        <x:v>3000000</x:v>
      </x:c>
      <x:c r="E29" s="71" t="str">
        <x:v>거래처24</x:v>
      </x:c>
    </x:row>
    <x:row r="30">
      <x:c r="A30" s="91" t="n">
        <x:v>46259</x:v>
      </x:c>
      <x:c r="B30" s="66" t="str">
        <x:v>S025</x:v>
      </x:c>
      <x:c r="C30" s="66" t="str">
        <x:v>매출</x:v>
      </x:c>
      <x:c r="D30" s="97" t="n">
        <x:v>15200000</x:v>
      </x:c>
      <x:c r="E30" s="71" t="str">
        <x:v>거래처25</x:v>
      </x:c>
    </x:row>
    <x:row r="31">
      <x:c r="A31" s="91" t="n">
        <x:v>46260</x:v>
      </x:c>
      <x:c r="B31" s="66" t="str">
        <x:v>S026</x:v>
      </x:c>
      <x:c r="C31" s="66" t="str">
        <x:v>매출</x:v>
      </x:c>
      <x:c r="D31" s="97" t="n">
        <x:v>8100000</x:v>
      </x:c>
      <x:c r="E31" s="71" t="str">
        <x:v>거래처26</x:v>
      </x:c>
    </x:row>
    <x:row r="32">
      <x:c r="A32" s="91" t="n">
        <x:v>46261</x:v>
      </x:c>
      <x:c r="B32" s="66" t="str">
        <x:v>S027</x:v>
      </x:c>
      <x:c r="C32" s="66" t="str">
        <x:v>반품</x:v>
      </x:c>
      <x:c r="D32" s="97" t="n">
        <x:v>6300000</x:v>
      </x:c>
      <x:c r="E32" s="71" t="str">
        <x:v>거래처27</x:v>
      </x:c>
    </x:row>
    <x:row r="33">
      <x:c r="A33" s="91" t="n">
        <x:v>46262</x:v>
      </x:c>
      <x:c r="B33" s="66" t="str">
        <x:v>S028</x:v>
      </x:c>
      <x:c r="C33" s="66" t="str">
        <x:v>매출</x:v>
      </x:c>
      <x:c r="D33" s="97" t="n">
        <x:v>12800000</x:v>
      </x:c>
      <x:c r="E33" s="71" t="str">
        <x:v>거래처28</x:v>
      </x:c>
    </x:row>
    <x:row r="34">
      <x:c r="A34" s="91" t="n">
        <x:v>46235</x:v>
      </x:c>
      <x:c r="B34" s="66" t="str">
        <x:v>S029</x:v>
      </x:c>
      <x:c r="C34" s="66" t="str">
        <x:v>매출</x:v>
      </x:c>
      <x:c r="D34" s="97" t="n">
        <x:v>8000000</x:v>
      </x:c>
      <x:c r="E34" s="71" t="str">
        <x:v>거래처29</x:v>
      </x:c>
    </x:row>
    <x:row r="35">
      <x:c r="A35" s="91" t="n">
        <x:v>46236</x:v>
      </x:c>
      <x:c r="B35" s="66" t="str">
        <x:v>S030</x:v>
      </x:c>
      <x:c r="C35" s="66" t="str">
        <x:v>매출</x:v>
      </x:c>
      <x:c r="D35" s="97" t="n">
        <x:v>9200000</x:v>
      </x:c>
      <x:c r="E35" s="71" t="str">
        <x:v>거래처30</x:v>
      </x:c>
    </x:row>
    <x:row r="36">
      <x:c r="A36" s="91" t="n">
        <x:v>46237</x:v>
      </x:c>
      <x:c r="B36" s="66" t="str">
        <x:v>S031</x:v>
      </x:c>
      <x:c r="C36" s="66" t="str">
        <x:v>매출</x:v>
      </x:c>
      <x:c r="D36" s="97" t="n">
        <x:v>5100000</x:v>
      </x:c>
      <x:c r="E36" s="71" t="str">
        <x:v>거래처01</x:v>
      </x:c>
    </x:row>
    <x:row r="37">
      <x:c r="A37" s="91" t="n">
        <x:v>46238</x:v>
      </x:c>
      <x:c r="B37" s="66" t="str">
        <x:v>S032</x:v>
      </x:c>
      <x:c r="C37" s="66" t="str">
        <x:v>매출</x:v>
      </x:c>
      <x:c r="D37" s="97" t="n">
        <x:v>5300000</x:v>
      </x:c>
      <x:c r="E37" s="71" t="str">
        <x:v>거래처02</x:v>
      </x:c>
    </x:row>
    <x:row r="38">
      <x:c r="A38" s="91" t="n">
        <x:v>46239</x:v>
      </x:c>
      <x:c r="B38" s="66" t="str">
        <x:v>S033</x:v>
      </x:c>
      <x:c r="C38" s="66" t="str">
        <x:v>매출</x:v>
      </x:c>
      <x:c r="D38" s="97" t="n">
        <x:v>16900000</x:v>
      </x:c>
      <x:c r="E38" s="71" t="str">
        <x:v>거래처03</x:v>
      </x:c>
    </x:row>
    <x:row r="39">
      <x:c r="A39" s="91" t="n">
        <x:v>46240</x:v>
      </x:c>
      <x:c r="B39" s="66" t="str">
        <x:v>S034</x:v>
      </x:c>
      <x:c r="C39" s="66" t="str">
        <x:v>매출</x:v>
      </x:c>
      <x:c r="D39" s="97" t="n">
        <x:v>6800000</x:v>
      </x:c>
      <x:c r="E39" s="71" t="str">
        <x:v>거래처04</x:v>
      </x:c>
    </x:row>
    <x:row r="40">
      <x:c r="A40" s="91" t="n">
        <x:v>46241</x:v>
      </x:c>
      <x:c r="B40" s="66" t="str">
        <x:v>S035</x:v>
      </x:c>
      <x:c r="C40" s="66" t="str">
        <x:v>매출</x:v>
      </x:c>
      <x:c r="D40" s="97" t="n">
        <x:v>13500000</x:v>
      </x:c>
      <x:c r="E40" s="71" t="str">
        <x:v>거래처05</x:v>
      </x:c>
    </x:row>
    <x:row r="41">
      <x:c r="A41" s="91" t="n">
        <x:v>46242</x:v>
      </x:c>
      <x:c r="B41" s="66" t="str">
        <x:v>S036</x:v>
      </x:c>
      <x:c r="C41" s="66" t="str">
        <x:v>매출</x:v>
      </x:c>
      <x:c r="D41" s="97" t="n">
        <x:v>3800000</x:v>
      </x:c>
      <x:c r="E41" s="71" t="str">
        <x:v>거래처06</x:v>
      </x:c>
    </x:row>
    <x:row r="42">
      <x:c r="A42" s="91" t="n">
        <x:v>46243</x:v>
      </x:c>
      <x:c r="B42" s="66" t="str">
        <x:v>S037</x:v>
      </x:c>
      <x:c r="C42" s="66" t="str">
        <x:v>매출</x:v>
      </x:c>
      <x:c r="D42" s="97" t="n">
        <x:v>3500000</x:v>
      </x:c>
      <x:c r="E42" s="71" t="str">
        <x:v>거래처07</x:v>
      </x:c>
    </x:row>
    <x:row r="43">
      <x:c r="A43" s="91" t="n">
        <x:v>46244</x:v>
      </x:c>
      <x:c r="B43" s="66" t="str">
        <x:v>S038</x:v>
      </x:c>
      <x:c r="C43" s="66" t="str">
        <x:v>매출</x:v>
      </x:c>
      <x:c r="D43" s="97" t="n">
        <x:v>7800000</x:v>
      </x:c>
      <x:c r="E43" s="71" t="str">
        <x:v>거래처08</x:v>
      </x:c>
    </x:row>
    <x:row r="44">
      <x:c r="A44" s="91" t="n">
        <x:v>46245</x:v>
      </x:c>
      <x:c r="B44" s="66" t="str">
        <x:v>S039</x:v>
      </x:c>
      <x:c r="C44" s="66" t="str">
        <x:v>매출</x:v>
      </x:c>
      <x:c r="D44" s="97" t="n">
        <x:v>7100000</x:v>
      </x:c>
      <x:c r="E44" s="71" t="str">
        <x:v>거래처09</x:v>
      </x:c>
    </x:row>
    <x:row r="45">
      <x:c r="A45" s="91" t="n">
        <x:v>46246</x:v>
      </x:c>
      <x:c r="B45" s="66" t="str">
        <x:v>S040</x:v>
      </x:c>
      <x:c r="C45" s="66" t="str">
        <x:v>반품</x:v>
      </x:c>
      <x:c r="D45" s="97" t="n">
        <x:v>12200000</x:v>
      </x:c>
      <x:c r="E45" s="71" t="str">
        <x:v>거래처10</x:v>
      </x:c>
    </x:row>
    <x:row r="46">
      <x:c r="A46" s="91" t="n">
        <x:v>46247</x:v>
      </x:c>
      <x:c r="B46" s="66" t="str">
        <x:v>S001</x:v>
      </x:c>
      <x:c r="C46" s="66" t="str">
        <x:v>매출</x:v>
      </x:c>
      <x:c r="D46" s="97" t="n">
        <x:v>4500000</x:v>
      </x:c>
      <x:c r="E46" s="71" t="str">
        <x:v>거래처11</x:v>
      </x:c>
    </x:row>
    <x:row r="47">
      <x:c r="A47" s="91" t="n">
        <x:v>46248</x:v>
      </x:c>
      <x:c r="B47" s="66" t="str">
        <x:v>S002</x:v>
      </x:c>
      <x:c r="C47" s="66" t="str">
        <x:v>매출</x:v>
      </x:c>
      <x:c r="D47" s="97" t="n">
        <x:v>4600000</x:v>
      </x:c>
      <x:c r="E47" s="71" t="str">
        <x:v>거래처12</x:v>
      </x:c>
    </x:row>
    <x:row r="48">
      <x:c r="A48" s="91" t="n">
        <x:v>46249</x:v>
      </x:c>
      <x:c r="B48" s="66" t="str">
        <x:v>S003</x:v>
      </x:c>
      <x:c r="C48" s="66" t="str">
        <x:v>매출</x:v>
      </x:c>
      <x:c r="D48" s="97" t="n">
        <x:v>5100000</x:v>
      </x:c>
      <x:c r="E48" s="71" t="str">
        <x:v>거래처13</x:v>
      </x:c>
    </x:row>
    <x:row r="49">
      <x:c r="A49" s="91" t="n">
        <x:v>46250</x:v>
      </x:c>
      <x:c r="B49" s="66" t="str">
        <x:v>S004</x:v>
      </x:c>
      <x:c r="C49" s="66" t="str">
        <x:v>매출</x:v>
      </x:c>
      <x:c r="D49" s="97" t="n">
        <x:v>7000000</x:v>
      </x:c>
      <x:c r="E49" s="71" t="str">
        <x:v>거래처14</x:v>
      </x:c>
    </x:row>
    <x:row r="50">
      <x:c r="A50" s="91" t="n">
        <x:v>46251</x:v>
      </x:c>
      <x:c r="B50" s="66" t="str">
        <x:v>S005</x:v>
      </x:c>
      <x:c r="C50" s="66" t="str">
        <x:v>매출</x:v>
      </x:c>
      <x:c r="D50" s="97" t="n">
        <x:v>4300000</x:v>
      </x:c>
      <x:c r="E50" s="71" t="str">
        <x:v>거래처15</x:v>
      </x:c>
    </x:row>
    <x:row r="51">
      <x:c r="A51" s="91" t="n">
        <x:v>46252</x:v>
      </x:c>
      <x:c r="B51" s="66" t="str">
        <x:v>S006</x:v>
      </x:c>
      <x:c r="C51" s="66" t="str">
        <x:v>매출</x:v>
      </x:c>
      <x:c r="D51" s="97" t="n">
        <x:v>6900000</x:v>
      </x:c>
      <x:c r="E51" s="71" t="str">
        <x:v>거래처16</x:v>
      </x:c>
    </x:row>
    <x:row r="52">
      <x:c r="A52" s="91" t="n">
        <x:v>46253</x:v>
      </x:c>
      <x:c r="B52" s="66" t="str">
        <x:v>S007</x:v>
      </x:c>
      <x:c r="C52" s="66" t="str">
        <x:v>매출</x:v>
      </x:c>
      <x:c r="D52" s="97" t="n">
        <x:v>12000000</x:v>
      </x:c>
      <x:c r="E52" s="71" t="str">
        <x:v>거래처17</x:v>
      </x:c>
    </x:row>
    <x:row r="53">
      <x:c r="A53" s="91" t="n">
        <x:v>46254</x:v>
      </x:c>
      <x:c r="B53" s="66" t="str">
        <x:v>S008</x:v>
      </x:c>
      <x:c r="C53" s="66" t="str">
        <x:v>매출</x:v>
      </x:c>
      <x:c r="D53" s="97" t="n">
        <x:v>3000000</x:v>
      </x:c>
      <x:c r="E53" s="71" t="str">
        <x:v>거래처18</x:v>
      </x:c>
    </x:row>
    <x:row r="54">
      <x:c r="A54" s="91" t="n">
        <x:v>46255</x:v>
      </x:c>
      <x:c r="B54" s="66" t="str">
        <x:v>S009</x:v>
      </x:c>
      <x:c r="C54" s="66" t="str">
        <x:v>매출</x:v>
      </x:c>
      <x:c r="D54" s="97" t="n">
        <x:v>3100000</x:v>
      </x:c>
      <x:c r="E54" s="71" t="str">
        <x:v>거래처19</x:v>
      </x:c>
    </x:row>
    <x:row r="55">
      <x:c r="A55" s="91" t="n">
        <x:v>46256</x:v>
      </x:c>
      <x:c r="B55" s="66" t="str">
        <x:v>S010</x:v>
      </x:c>
      <x:c r="C55" s="66" t="str">
        <x:v>매출</x:v>
      </x:c>
      <x:c r="D55" s="97" t="n">
        <x:v>4300000</x:v>
      </x:c>
      <x:c r="E55" s="71" t="str">
        <x:v>거래처20</x:v>
      </x:c>
    </x:row>
    <x:row r="56">
      <x:c r="A56" s="91" t="n">
        <x:v>46257</x:v>
      </x:c>
      <x:c r="B56" s="66" t="str">
        <x:v>S011</x:v>
      </x:c>
      <x:c r="C56" s="66" t="str">
        <x:v>매출</x:v>
      </x:c>
      <x:c r="D56" s="97" t="n">
        <x:v>9800000</x:v>
      </x:c>
      <x:c r="E56" s="71" t="str">
        <x:v>거래처21</x:v>
      </x:c>
    </x:row>
    <x:row r="57">
      <x:c r="A57" s="91" t="n">
        <x:v>46258</x:v>
      </x:c>
      <x:c r="B57" s="66" t="str">
        <x:v>S012</x:v>
      </x:c>
      <x:c r="C57" s="66" t="str">
        <x:v>매출</x:v>
      </x:c>
      <x:c r="D57" s="97" t="n">
        <x:v>13900000</x:v>
      </x:c>
      <x:c r="E57" s="71" t="str">
        <x:v>거래처22</x:v>
      </x:c>
    </x:row>
    <x:row r="58">
      <x:c r="A58" s="91" t="n">
        <x:v>46259</x:v>
      </x:c>
      <x:c r="B58" s="66" t="str">
        <x:v>S013</x:v>
      </x:c>
      <x:c r="C58" s="66" t="str">
        <x:v>반품</x:v>
      </x:c>
      <x:c r="D58" s="97" t="n">
        <x:v>8200000</x:v>
      </x:c>
      <x:c r="E58" s="71" t="str">
        <x:v>거래처23</x:v>
      </x:c>
    </x:row>
    <x:row r="59">
      <x:c r="A59" s="91" t="n">
        <x:v>46260</x:v>
      </x:c>
      <x:c r="B59" s="66" t="str">
        <x:v>S014</x:v>
      </x:c>
      <x:c r="C59" s="66" t="str">
        <x:v>매출</x:v>
      </x:c>
      <x:c r="D59" s="97" t="n">
        <x:v>7900000</x:v>
      </x:c>
      <x:c r="E59" s="71" t="str">
        <x:v>거래처24</x:v>
      </x:c>
    </x:row>
    <x:row r="60">
      <x:c r="A60" s="91" t="n">
        <x:v>46261</x:v>
      </x:c>
      <x:c r="B60" s="66" t="str">
        <x:v>S015</x:v>
      </x:c>
      <x:c r="C60" s="66" t="str">
        <x:v>매출</x:v>
      </x:c>
      <x:c r="D60" s="97" t="n">
        <x:v>6000000</x:v>
      </x:c>
      <x:c r="E60" s="71" t="str">
        <x:v>거래처25</x:v>
      </x:c>
    </x:row>
    <x:row r="61">
      <x:c r="A61" s="91" t="n">
        <x:v>46262</x:v>
      </x:c>
      <x:c r="B61" s="66" t="str">
        <x:v>S016</x:v>
      </x:c>
      <x:c r="C61" s="66" t="str">
        <x:v>매출</x:v>
      </x:c>
      <x:c r="D61" s="97" t="n">
        <x:v>5300000</x:v>
      </x:c>
      <x:c r="E61" s="71" t="str">
        <x:v>거래처26</x:v>
      </x:c>
    </x:row>
    <x:row r="62">
      <x:c r="A62" s="91" t="n">
        <x:v>46235</x:v>
      </x:c>
      <x:c r="B62" s="66" t="str">
        <x:v>S017</x:v>
      </x:c>
      <x:c r="C62" s="66" t="str">
        <x:v>매출</x:v>
      </x:c>
      <x:c r="D62" s="97" t="n">
        <x:v>4800000</x:v>
      </x:c>
      <x:c r="E62" s="71" t="str">
        <x:v>거래처27</x:v>
      </x:c>
    </x:row>
    <x:row r="63">
      <x:c r="A63" s="91" t="n">
        <x:v>46236</x:v>
      </x:c>
      <x:c r="B63" s="66" t="str">
        <x:v>S018</x:v>
      </x:c>
      <x:c r="C63" s="66" t="str">
        <x:v>매출</x:v>
      </x:c>
      <x:c r="D63" s="97" t="n">
        <x:v>8900000</x:v>
      </x:c>
      <x:c r="E63" s="71" t="str">
        <x:v>거래처28</x:v>
      </x:c>
    </x:row>
    <x:row r="64">
      <x:c r="A64" s="91" t="n">
        <x:v>46237</x:v>
      </x:c>
      <x:c r="B64" s="66" t="str">
        <x:v>S019</x:v>
      </x:c>
      <x:c r="C64" s="66" t="str">
        <x:v>매출</x:v>
      </x:c>
      <x:c r="D64" s="97" t="n">
        <x:v>10200000</x:v>
      </x:c>
      <x:c r="E64" s="71" t="str">
        <x:v>거래처29</x:v>
      </x:c>
    </x:row>
    <x:row r="65">
      <x:c r="A65" s="91" t="n">
        <x:v>46238</x:v>
      </x:c>
      <x:c r="B65" s="66" t="str">
        <x:v>S020</x:v>
      </x:c>
      <x:c r="C65" s="66" t="str">
        <x:v>매출</x:v>
      </x:c>
      <x:c r="D65" s="97" t="n">
        <x:v>3500000</x:v>
      </x:c>
      <x:c r="E65" s="71" t="str">
        <x:v>거래처30</x:v>
      </x:c>
    </x:row>
    <x:row r="66">
      <x:c r="A66" s="91" t="n">
        <x:v>46239</x:v>
      </x:c>
      <x:c r="B66" s="66" t="str">
        <x:v>S021</x:v>
      </x:c>
      <x:c r="C66" s="66" t="str">
        <x:v>매출</x:v>
      </x:c>
      <x:c r="D66" s="97" t="n">
        <x:v>5800000</x:v>
      </x:c>
      <x:c r="E66" s="71" t="str">
        <x:v>거래처01</x:v>
      </x:c>
    </x:row>
    <x:row r="67">
      <x:c r="A67" s="91" t="n">
        <x:v>46240</x:v>
      </x:c>
      <x:c r="B67" s="66" t="str">
        <x:v>S022</x:v>
      </x:c>
      <x:c r="C67" s="66" t="str">
        <x:v>매출</x:v>
      </x:c>
      <x:c r="D67" s="97" t="n">
        <x:v>15600000</x:v>
      </x:c>
      <x:c r="E67" s="71" t="str">
        <x:v>거래처02</x:v>
      </x:c>
    </x:row>
    <x:row r="68">
      <x:c r="A68" s="91" t="n">
        <x:v>46241</x:v>
      </x:c>
      <x:c r="B68" s="66" t="str">
        <x:v>S023</x:v>
      </x:c>
      <x:c r="C68" s="66" t="str">
        <x:v>매출</x:v>
      </x:c>
      <x:c r="D68" s="97" t="n">
        <x:v>4400000</x:v>
      </x:c>
      <x:c r="E68" s="71" t="str">
        <x:v>거래처03</x:v>
      </x:c>
    </x:row>
    <x:row r="69">
      <x:c r="A69" s="91" t="n">
        <x:v>46242</x:v>
      </x:c>
      <x:c r="B69" s="66" t="str">
        <x:v>S024</x:v>
      </x:c>
      <x:c r="C69" s="66" t="str">
        <x:v>매출</x:v>
      </x:c>
      <x:c r="D69" s="97" t="n">
        <x:v>14800000</x:v>
      </x:c>
      <x:c r="E69" s="71" t="str">
        <x:v>거래처04</x:v>
      </x:c>
    </x:row>
    <x:row r="70">
      <x:c r="A70" s="91" t="n">
        <x:v>46243</x:v>
      </x:c>
      <x:c r="B70" s="66" t="str">
        <x:v>S025</x:v>
      </x:c>
      <x:c r="C70" s="66" t="str">
        <x:v>매출</x:v>
      </x:c>
      <x:c r="D70" s="97" t="n">
        <x:v>7100000</x:v>
      </x:c>
      <x:c r="E70" s="71" t="str">
        <x:v>거래처05</x:v>
      </x:c>
    </x:row>
    <x:row r="71">
      <x:c r="A71" s="91" t="n">
        <x:v>46244</x:v>
      </x:c>
      <x:c r="B71" s="66" t="str">
        <x:v>S026</x:v>
      </x:c>
      <x:c r="C71" s="66" t="str">
        <x:v>반품</x:v>
      </x:c>
      <x:c r="D71" s="97" t="n">
        <x:v>10000000</x:v>
      </x:c>
      <x:c r="E71" s="71" t="str">
        <x:v>거래처06</x:v>
      </x:c>
    </x:row>
    <x:row r="72">
      <x:c r="A72" s="91" t="n">
        <x:v>46245</x:v>
      </x:c>
      <x:c r="B72" s="66" t="str">
        <x:v>S027</x:v>
      </x:c>
      <x:c r="C72" s="66" t="str">
        <x:v>매출</x:v>
      </x:c>
      <x:c r="D72" s="97" t="n">
        <x:v>10400000</x:v>
      </x:c>
      <x:c r="E72" s="71" t="str">
        <x:v>거래처07</x:v>
      </x:c>
    </x:row>
    <x:row r="73">
      <x:c r="A73" s="91" t="n">
        <x:v>46246</x:v>
      </x:c>
      <x:c r="B73" s="66" t="str">
        <x:v>S028</x:v>
      </x:c>
      <x:c r="C73" s="66" t="str">
        <x:v>매출</x:v>
      </x:c>
      <x:c r="D73" s="97" t="n">
        <x:v>10800000</x:v>
      </x:c>
      <x:c r="E73" s="71" t="str">
        <x:v>거래처08</x:v>
      </x:c>
    </x:row>
    <x:row r="74">
      <x:c r="A74" s="91" t="n">
        <x:v>46247</x:v>
      </x:c>
      <x:c r="B74" s="66" t="str">
        <x:v>S029</x:v>
      </x:c>
      <x:c r="C74" s="66" t="str">
        <x:v>매출</x:v>
      </x:c>
      <x:c r="D74" s="97" t="n">
        <x:v>12400000</x:v>
      </x:c>
      <x:c r="E74" s="71" t="str">
        <x:v>거래처09</x:v>
      </x:c>
    </x:row>
    <x:row r="75">
      <x:c r="A75" s="91" t="n">
        <x:v>46248</x:v>
      </x:c>
      <x:c r="B75" s="66" t="str">
        <x:v>S030</x:v>
      </x:c>
      <x:c r="C75" s="66" t="str">
        <x:v>매출</x:v>
      </x:c>
      <x:c r="D75" s="97" t="n">
        <x:v>10100000</x:v>
      </x:c>
      <x:c r="E75" s="71" t="str">
        <x:v>거래처10</x:v>
      </x:c>
    </x:row>
    <x:row r="76">
      <x:c r="A76" s="91" t="n">
        <x:v>46249</x:v>
      </x:c>
      <x:c r="B76" s="66" t="str">
        <x:v>S031</x:v>
      </x:c>
      <x:c r="C76" s="66" t="str">
        <x:v>매출</x:v>
      </x:c>
      <x:c r="D76" s="97" t="n">
        <x:v>16200000</x:v>
      </x:c>
      <x:c r="E76" s="71" t="str">
        <x:v>거래처11</x:v>
      </x:c>
    </x:row>
    <x:row r="77">
      <x:c r="A77" s="91" t="n">
        <x:v>46250</x:v>
      </x:c>
      <x:c r="B77" s="66" t="str">
        <x:v>S032</x:v>
      </x:c>
      <x:c r="C77" s="66" t="str">
        <x:v>매출</x:v>
      </x:c>
      <x:c r="D77" s="97" t="n">
        <x:v>7300000</x:v>
      </x:c>
      <x:c r="E77" s="71" t="str">
        <x:v>거래처12</x:v>
      </x:c>
    </x:row>
    <x:row r="78">
      <x:c r="A78" s="91" t="n">
        <x:v>46251</x:v>
      </x:c>
      <x:c r="B78" s="66" t="str">
        <x:v>S033</x:v>
      </x:c>
      <x:c r="C78" s="66" t="str">
        <x:v>매출</x:v>
      </x:c>
      <x:c r="D78" s="97" t="n">
        <x:v>4400000</x:v>
      </x:c>
      <x:c r="E78" s="71" t="str">
        <x:v>거래처13</x:v>
      </x:c>
    </x:row>
    <x:row r="79">
      <x:c r="A79" s="91" t="n">
        <x:v>46252</x:v>
      </x:c>
      <x:c r="B79" s="66" t="str">
        <x:v>S034</x:v>
      </x:c>
      <x:c r="C79" s="66" t="str">
        <x:v>매출</x:v>
      </x:c>
      <x:c r="D79" s="97" t="n">
        <x:v>3000000</x:v>
      </x:c>
      <x:c r="E79" s="71" t="str">
        <x:v>거래처14</x:v>
      </x:c>
    </x:row>
    <x:row r="80">
      <x:c r="A80" s="91" t="n">
        <x:v>46253</x:v>
      </x:c>
      <x:c r="B80" s="66" t="str">
        <x:v>S035</x:v>
      </x:c>
      <x:c r="C80" s="66" t="str">
        <x:v>매출</x:v>
      </x:c>
      <x:c r="D80" s="97" t="n">
        <x:v>15500000</x:v>
      </x:c>
      <x:c r="E80" s="71" t="str">
        <x:v>거래처15</x:v>
      </x:c>
    </x:row>
    <x:row r="81">
      <x:c r="A81" s="91" t="n">
        <x:v>46254</x:v>
      </x:c>
      <x:c r="B81" s="66" t="str">
        <x:v>S036</x:v>
      </x:c>
      <x:c r="C81" s="66" t="str">
        <x:v>매출</x:v>
      </x:c>
      <x:c r="D81" s="97" t="n">
        <x:v>14100000</x:v>
      </x:c>
      <x:c r="E81" s="71" t="str">
        <x:v>거래처16</x:v>
      </x:c>
    </x:row>
    <x:row r="82">
      <x:c r="A82" s="91" t="n">
        <x:v>46255</x:v>
      </x:c>
      <x:c r="B82" s="66" t="str">
        <x:v>S037</x:v>
      </x:c>
      <x:c r="C82" s="66" t="str">
        <x:v>매출</x:v>
      </x:c>
      <x:c r="D82" s="97" t="n">
        <x:v>8900000</x:v>
      </x:c>
      <x:c r="E82" s="71" t="str">
        <x:v>거래처17</x:v>
      </x:c>
    </x:row>
    <x:row r="83">
      <x:c r="A83" s="91" t="n">
        <x:v>46256</x:v>
      </x:c>
      <x:c r="B83" s="66" t="str">
        <x:v>S038</x:v>
      </x:c>
      <x:c r="C83" s="66" t="str">
        <x:v>매출</x:v>
      </x:c>
      <x:c r="D83" s="97" t="n">
        <x:v>3200000</x:v>
      </x:c>
      <x:c r="E83" s="71" t="str">
        <x:v>거래처18</x:v>
      </x:c>
    </x:row>
    <x:row r="84">
      <x:c r="A84" s="91" t="n">
        <x:v>46257</x:v>
      </x:c>
      <x:c r="B84" s="66" t="str">
        <x:v>S039</x:v>
      </x:c>
      <x:c r="C84" s="66" t="str">
        <x:v>반품</x:v>
      </x:c>
      <x:c r="D84" s="97" t="n">
        <x:v>15300000</x:v>
      </x:c>
      <x:c r="E84" s="71" t="str">
        <x:v>거래처19</x:v>
      </x:c>
    </x:row>
    <x:row r="85">
      <x:c r="A85" s="91" t="n">
        <x:v>46258</x:v>
      </x:c>
      <x:c r="B85" s="66" t="str">
        <x:v>S040</x:v>
      </x:c>
      <x:c r="C85" s="66" t="str">
        <x:v>매출</x:v>
      </x:c>
      <x:c r="D85" s="97" t="n">
        <x:v>8000000</x:v>
      </x:c>
      <x:c r="E85" s="71" t="str">
        <x:v>거래처20</x:v>
      </x:c>
    </x:row>
    <x:row r="86">
      <x:c r="A86" s="91" t="n">
        <x:v>46259</x:v>
      </x:c>
      <x:c r="B86" s="66" t="str">
        <x:v>S001</x:v>
      </x:c>
      <x:c r="C86" s="66" t="str">
        <x:v>매출</x:v>
      </x:c>
      <x:c r="D86" s="97" t="n">
        <x:v>9900000</x:v>
      </x:c>
      <x:c r="E86" s="71" t="str">
        <x:v>거래처21</x:v>
      </x:c>
    </x:row>
    <x:row r="87">
      <x:c r="A87" s="91" t="n">
        <x:v>46260</x:v>
      </x:c>
      <x:c r="B87" s="66" t="str">
        <x:v>S002</x:v>
      </x:c>
      <x:c r="C87" s="66" t="str">
        <x:v>매출</x:v>
      </x:c>
      <x:c r="D87" s="97" t="n">
        <x:v>7700000</x:v>
      </x:c>
      <x:c r="E87" s="71" t="str">
        <x:v>거래처22</x:v>
      </x:c>
    </x:row>
    <x:row r="88">
      <x:c r="A88" s="91" t="n">
        <x:v>46261</x:v>
      </x:c>
      <x:c r="B88" s="66" t="str">
        <x:v>S003</x:v>
      </x:c>
      <x:c r="C88" s="66" t="str">
        <x:v>매출</x:v>
      </x:c>
      <x:c r="D88" s="97" t="n">
        <x:v>10400000</x:v>
      </x:c>
      <x:c r="E88" s="71" t="str">
        <x:v>거래처23</x:v>
      </x:c>
    </x:row>
    <x:row r="89">
      <x:c r="A89" s="91" t="n">
        <x:v>46262</x:v>
      </x:c>
      <x:c r="B89" s="66" t="str">
        <x:v>S004</x:v>
      </x:c>
      <x:c r="C89" s="66" t="str">
        <x:v>매출</x:v>
      </x:c>
      <x:c r="D89" s="97" t="n">
        <x:v>9200000</x:v>
      </x:c>
      <x:c r="E89" s="71" t="str">
        <x:v>거래처24</x:v>
      </x:c>
    </x:row>
    <x:row r="90">
      <x:c r="A90" s="91" t="n">
        <x:v>46235</x:v>
      </x:c>
      <x:c r="B90" s="66" t="str">
        <x:v>S005</x:v>
      </x:c>
      <x:c r="C90" s="66" t="str">
        <x:v>매출</x:v>
      </x:c>
      <x:c r="D90" s="97" t="n">
        <x:v>5700000</x:v>
      </x:c>
      <x:c r="E90" s="71" t="str">
        <x:v>거래처25</x:v>
      </x:c>
    </x:row>
    <x:row r="91">
      <x:c r="A91" s="91" t="n">
        <x:v>46236</x:v>
      </x:c>
      <x:c r="B91" s="66" t="str">
        <x:v>S006</x:v>
      </x:c>
      <x:c r="C91" s="66" t="str">
        <x:v>매출</x:v>
      </x:c>
      <x:c r="D91" s="97" t="n">
        <x:v>7500000</x:v>
      </x:c>
      <x:c r="E91" s="71" t="str">
        <x:v>거래처26</x:v>
      </x:c>
    </x:row>
    <x:row r="92">
      <x:c r="A92" s="91" t="n">
        <x:v>46237</x:v>
      </x:c>
      <x:c r="B92" s="66" t="str">
        <x:v>S007</x:v>
      </x:c>
      <x:c r="C92" s="66" t="str">
        <x:v>매출</x:v>
      </x:c>
      <x:c r="D92" s="97" t="n">
        <x:v>9800000</x:v>
      </x:c>
      <x:c r="E92" s="71" t="str">
        <x:v>거래처27</x:v>
      </x:c>
    </x:row>
    <x:row r="93">
      <x:c r="A93" s="91" t="n">
        <x:v>46238</x:v>
      </x:c>
      <x:c r="B93" s="66" t="str">
        <x:v>S008</x:v>
      </x:c>
      <x:c r="C93" s="66" t="str">
        <x:v>매출</x:v>
      </x:c>
      <x:c r="D93" s="97" t="n">
        <x:v>11100000</x:v>
      </x:c>
      <x:c r="E93" s="71" t="str">
        <x:v>거래처28</x:v>
      </x:c>
    </x:row>
    <x:row r="94">
      <x:c r="A94" s="91" t="n">
        <x:v>46239</x:v>
      </x:c>
      <x:c r="B94" s="66" t="str">
        <x:v>S009</x:v>
      </x:c>
      <x:c r="C94" s="66" t="str">
        <x:v>매출</x:v>
      </x:c>
      <x:c r="D94" s="97" t="n">
        <x:v>14400000</x:v>
      </x:c>
      <x:c r="E94" s="71" t="str">
        <x:v>거래처29</x:v>
      </x:c>
    </x:row>
    <x:row r="95">
      <x:c r="A95" s="91" t="n">
        <x:v>46240</x:v>
      </x:c>
      <x:c r="B95" s="66" t="str">
        <x:v>S010</x:v>
      </x:c>
      <x:c r="C95" s="66" t="str">
        <x:v>매출</x:v>
      </x:c>
      <x:c r="D95" s="97" t="n">
        <x:v>8600000</x:v>
      </x:c>
      <x:c r="E95" s="71" t="str">
        <x:v>거래처30</x:v>
      </x:c>
    </x:row>
    <x:row r="96">
      <x:c r="A96" s="91" t="n">
        <x:v>46241</x:v>
      </x:c>
      <x:c r="B96" s="66" t="str">
        <x:v>S011</x:v>
      </x:c>
      <x:c r="C96" s="66" t="str">
        <x:v>매출</x:v>
      </x:c>
      <x:c r="D96" s="97" t="n">
        <x:v>17900000</x:v>
      </x:c>
      <x:c r="E96" s="71" t="str">
        <x:v>거래처01</x:v>
      </x:c>
    </x:row>
    <x:row r="97">
      <x:c r="A97" s="91" t="n">
        <x:v>46242</x:v>
      </x:c>
      <x:c r="B97" s="66" t="str">
        <x:v>S012</x:v>
      </x:c>
      <x:c r="C97" s="66" t="str">
        <x:v>반품</x:v>
      </x:c>
      <x:c r="D97" s="97" t="n">
        <x:v>15200000</x:v>
      </x:c>
      <x:c r="E97" s="71" t="str">
        <x:v>거래처02</x:v>
      </x:c>
    </x:row>
    <x:row r="98">
      <x:c r="A98" s="91" t="n">
        <x:v>46243</x:v>
      </x:c>
      <x:c r="B98" s="66" t="str">
        <x:v>S013</x:v>
      </x:c>
      <x:c r="C98" s="66" t="str">
        <x:v>매출</x:v>
      </x:c>
      <x:c r="D98" s="97" t="n">
        <x:v>14100000</x:v>
      </x:c>
      <x:c r="E98" s="71" t="str">
        <x:v>거래처03</x:v>
      </x:c>
    </x:row>
    <x:row r="99">
      <x:c r="A99" s="91" t="n">
        <x:v>46244</x:v>
      </x:c>
      <x:c r="B99" s="66" t="str">
        <x:v>S014</x:v>
      </x:c>
      <x:c r="C99" s="66" t="str">
        <x:v>매출</x:v>
      </x:c>
      <x:c r="D99" s="97" t="n">
        <x:v>14900000</x:v>
      </x:c>
      <x:c r="E99" s="71" t="str">
        <x:v>거래처04</x:v>
      </x:c>
    </x:row>
    <x:row r="100">
      <x:c r="A100" s="91" t="n">
        <x:v>46245</x:v>
      </x:c>
      <x:c r="B100" s="66" t="str">
        <x:v>S015</x:v>
      </x:c>
      <x:c r="C100" s="66" t="str">
        <x:v>매출</x:v>
      </x:c>
      <x:c r="D100" s="97" t="n">
        <x:v>5100000</x:v>
      </x:c>
      <x:c r="E100" s="71" t="str">
        <x:v>거래처05</x:v>
      </x:c>
    </x:row>
    <x:row r="101">
      <x:c r="A101" s="91" t="n">
        <x:v>46246</x:v>
      </x:c>
      <x:c r="B101" s="66" t="str">
        <x:v>S016</x:v>
      </x:c>
      <x:c r="C101" s="66" t="str">
        <x:v>매출</x:v>
      </x:c>
      <x:c r="D101" s="97" t="n">
        <x:v>11000000</x:v>
      </x:c>
      <x:c r="E101" s="71" t="str">
        <x:v>거래처06</x:v>
      </x:c>
    </x:row>
    <x:row r="102">
      <x:c r="A102" s="91" t="n">
        <x:v>46247</x:v>
      </x:c>
      <x:c r="B102" s="66" t="str">
        <x:v>S017</x:v>
      </x:c>
      <x:c r="C102" s="66" t="str">
        <x:v>매출</x:v>
      </x:c>
      <x:c r="D102" s="97" t="n">
        <x:v>4600000</x:v>
      </x:c>
      <x:c r="E102" s="71" t="str">
        <x:v>거래처07</x:v>
      </x:c>
    </x:row>
    <x:row r="103">
      <x:c r="A103" s="91" t="n">
        <x:v>46248</x:v>
      </x:c>
      <x:c r="B103" s="66" t="str">
        <x:v>S018</x:v>
      </x:c>
      <x:c r="C103" s="66" t="str">
        <x:v>매출</x:v>
      </x:c>
      <x:c r="D103" s="97" t="n">
        <x:v>6400000</x:v>
      </x:c>
      <x:c r="E103" s="71" t="str">
        <x:v>거래처08</x:v>
      </x:c>
    </x:row>
    <x:row r="104">
      <x:c r="A104" s="91" t="n">
        <x:v>46249</x:v>
      </x:c>
      <x:c r="B104" s="66" t="str">
        <x:v>S019</x:v>
      </x:c>
      <x:c r="C104" s="66" t="str">
        <x:v>매출</x:v>
      </x:c>
      <x:c r="D104" s="97" t="n">
        <x:v>9900000</x:v>
      </x:c>
      <x:c r="E104" s="71" t="str">
        <x:v>거래처09</x:v>
      </x:c>
    </x:row>
    <x:row r="105">
      <x:c r="A105" s="91" t="n">
        <x:v>46250</x:v>
      </x:c>
      <x:c r="B105" s="66" t="str">
        <x:v>S020</x:v>
      </x:c>
      <x:c r="C105" s="66" t="str">
        <x:v>매출</x:v>
      </x:c>
      <x:c r="D105" s="97" t="n">
        <x:v>6700000</x:v>
      </x:c>
      <x:c r="E105" s="71" t="str">
        <x:v>거래처10</x:v>
      </x:c>
    </x:row>
    <x:row r="106">
      <x:c r="A106" s="91" t="n">
        <x:v>46251</x:v>
      </x:c>
      <x:c r="B106" s="66" t="str">
        <x:v>S021</x:v>
      </x:c>
      <x:c r="C106" s="66" t="str">
        <x:v>매출</x:v>
      </x:c>
      <x:c r="D106" s="97" t="n">
        <x:v>11500000</x:v>
      </x:c>
      <x:c r="E106" s="71" t="str">
        <x:v>거래처11</x:v>
      </x:c>
    </x:row>
    <x:row r="107">
      <x:c r="A107" s="91" t="n">
        <x:v>46252</x:v>
      </x:c>
      <x:c r="B107" s="66" t="str">
        <x:v>S022</x:v>
      </x:c>
      <x:c r="C107" s="66" t="str">
        <x:v>매출</x:v>
      </x:c>
      <x:c r="D107" s="97" t="n">
        <x:v>17000000</x:v>
      </x:c>
      <x:c r="E107" s="71" t="str">
        <x:v>거래처12</x:v>
      </x:c>
    </x:row>
    <x:row r="108">
      <x:c r="A108" s="91" t="n">
        <x:v>46253</x:v>
      </x:c>
      <x:c r="B108" s="66" t="str">
        <x:v>S023</x:v>
      </x:c>
      <x:c r="C108" s="66" t="str">
        <x:v>매출</x:v>
      </x:c>
      <x:c r="D108" s="97" t="n">
        <x:v>15100000</x:v>
      </x:c>
      <x:c r="E108" s="71" t="str">
        <x:v>거래처13</x:v>
      </x:c>
    </x:row>
    <x:row r="109">
      <x:c r="A109" s="91" t="n">
        <x:v>46254</x:v>
      </x:c>
      <x:c r="B109" s="66" t="str">
        <x:v>S024</x:v>
      </x:c>
      <x:c r="C109" s="66" t="str">
        <x:v>매출</x:v>
      </x:c>
      <x:c r="D109" s="97" t="n">
        <x:v>14800000</x:v>
      </x:c>
      <x:c r="E109" s="71" t="str">
        <x:v>거래처14</x:v>
      </x:c>
    </x:row>
    <x:row r="110">
      <x:c r="A110" s="91" t="n">
        <x:v>46255</x:v>
      </x:c>
      <x:c r="B110" s="66" t="str">
        <x:v>S025</x:v>
      </x:c>
      <x:c r="C110" s="66" t="str">
        <x:v>반품</x:v>
      </x:c>
      <x:c r="D110" s="97" t="n">
        <x:v>13000000</x:v>
      </x:c>
      <x:c r="E110" s="71" t="str">
        <x:v>거래처15</x:v>
      </x:c>
    </x:row>
    <x:row r="111">
      <x:c r="A111" s="91" t="n">
        <x:v>46256</x:v>
      </x:c>
      <x:c r="B111" s="66" t="str">
        <x:v>S026</x:v>
      </x:c>
      <x:c r="C111" s="66" t="str">
        <x:v>매출</x:v>
      </x:c>
      <x:c r="D111" s="97" t="n">
        <x:v>18000000</x:v>
      </x:c>
      <x:c r="E111" s="71" t="str">
        <x:v>거래처16</x:v>
      </x:c>
    </x:row>
    <x:row r="112">
      <x:c r="A112" s="91" t="n">
        <x:v>46257</x:v>
      </x:c>
      <x:c r="B112" s="66" t="str">
        <x:v>S027</x:v>
      </x:c>
      <x:c r="C112" s="66" t="str">
        <x:v>매출</x:v>
      </x:c>
      <x:c r="D112" s="97" t="n">
        <x:v>16200000</x:v>
      </x:c>
      <x:c r="E112" s="71" t="str">
        <x:v>거래처17</x:v>
      </x:c>
    </x:row>
    <x:row r="113">
      <x:c r="A113" s="91" t="n">
        <x:v>46258</x:v>
      </x:c>
      <x:c r="B113" s="66" t="str">
        <x:v>S028</x:v>
      </x:c>
      <x:c r="C113" s="66" t="str">
        <x:v>매출</x:v>
      </x:c>
      <x:c r="D113" s="97" t="n">
        <x:v>14900000</x:v>
      </x:c>
      <x:c r="E113" s="71" t="str">
        <x:v>거래처18</x:v>
      </x:c>
    </x:row>
    <x:row r="114">
      <x:c r="A114" s="91" t="n">
        <x:v>46259</x:v>
      </x:c>
      <x:c r="B114" s="66" t="str">
        <x:v>S029</x:v>
      </x:c>
      <x:c r="C114" s="66" t="str">
        <x:v>매출</x:v>
      </x:c>
      <x:c r="D114" s="97" t="n">
        <x:v>5200000</x:v>
      </x:c>
      <x:c r="E114" s="71" t="str">
        <x:v>거래처19</x:v>
      </x:c>
    </x:row>
    <x:row r="115">
      <x:c r="A115" s="91" t="n">
        <x:v>46260</x:v>
      </x:c>
      <x:c r="B115" s="66" t="str">
        <x:v>S030</x:v>
      </x:c>
      <x:c r="C115" s="66" t="str">
        <x:v>매출</x:v>
      </x:c>
      <x:c r="D115" s="97" t="n">
        <x:v>8700000</x:v>
      </x:c>
      <x:c r="E115" s="71" t="str">
        <x:v>거래처20</x:v>
      </x:c>
    </x:row>
    <x:row r="116">
      <x:c r="A116" s="91" t="n">
        <x:v>46261</x:v>
      </x:c>
      <x:c r="B116" s="66" t="str">
        <x:v>S031</x:v>
      </x:c>
      <x:c r="C116" s="66" t="str">
        <x:v>매출</x:v>
      </x:c>
      <x:c r="D116" s="97" t="n">
        <x:v>10600000</x:v>
      </x:c>
      <x:c r="E116" s="71" t="str">
        <x:v>거래처21</x:v>
      </x:c>
    </x:row>
    <x:row r="117">
      <x:c r="A117" s="91" t="n">
        <x:v>46262</x:v>
      </x:c>
      <x:c r="B117" s="66" t="str">
        <x:v>S032</x:v>
      </x:c>
      <x:c r="C117" s="66" t="str">
        <x:v>매출</x:v>
      </x:c>
      <x:c r="D117" s="97" t="n">
        <x:v>12800000</x:v>
      </x:c>
      <x:c r="E117" s="71" t="str">
        <x:v>거래처22</x:v>
      </x:c>
    </x:row>
    <x:row r="118">
      <x:c r="A118" s="91" t="n">
        <x:v>46235</x:v>
      </x:c>
      <x:c r="B118" s="66" t="str">
        <x:v>S033</x:v>
      </x:c>
      <x:c r="C118" s="66" t="str">
        <x:v>매출</x:v>
      </x:c>
      <x:c r="D118" s="97" t="n">
        <x:v>9300000</x:v>
      </x:c>
      <x:c r="E118" s="71" t="str">
        <x:v>거래처23</x:v>
      </x:c>
    </x:row>
    <x:row r="119">
      <x:c r="A119" s="91" t="n">
        <x:v>46236</x:v>
      </x:c>
      <x:c r="B119" s="66" t="str">
        <x:v>S034</x:v>
      </x:c>
      <x:c r="C119" s="66" t="str">
        <x:v>매출</x:v>
      </x:c>
      <x:c r="D119" s="97" t="n">
        <x:v>11400000</x:v>
      </x:c>
      <x:c r="E119" s="71" t="str">
        <x:v>거래처24</x:v>
      </x:c>
    </x:row>
    <x:row r="120">
      <x:c r="A120" s="91" t="n">
        <x:v>46237</x:v>
      </x:c>
      <x:c r="B120" s="66" t="str">
        <x:v>S035</x:v>
      </x:c>
      <x:c r="C120" s="66" t="str">
        <x:v>매출</x:v>
      </x:c>
      <x:c r="D120" s="97" t="n">
        <x:v>12600000</x:v>
      </x:c>
      <x:c r="E120" s="71" t="str">
        <x:v>거래처25</x:v>
      </x:c>
    </x:row>
    <x:row r="121">
      <x:c r="A121" s="91" t="n">
        <x:v>46238</x:v>
      </x:c>
      <x:c r="B121" s="66" t="str">
        <x:v>S036</x:v>
      </x:c>
      <x:c r="C121" s="66" t="str">
        <x:v>매출</x:v>
      </x:c>
      <x:c r="D121" s="97" t="n">
        <x:v>8100000</x:v>
      </x:c>
      <x:c r="E121" s="71" t="str">
        <x:v>거래처26</x:v>
      </x:c>
    </x:row>
    <x:row r="122">
      <x:c r="A122" s="91" t="n">
        <x:v>46239</x:v>
      </x:c>
      <x:c r="B122" s="66" t="str">
        <x:v>S037</x:v>
      </x:c>
      <x:c r="C122" s="66" t="str">
        <x:v>매출</x:v>
      </x:c>
      <x:c r="D122" s="97" t="n">
        <x:v>10100000</x:v>
      </x:c>
      <x:c r="E122" s="71" t="str">
        <x:v>거래처27</x:v>
      </x:c>
    </x:row>
    <x:row r="123">
      <x:c r="A123" s="91" t="n">
        <x:v>46240</x:v>
      </x:c>
      <x:c r="B123" s="66" t="str">
        <x:v>S038</x:v>
      </x:c>
      <x:c r="C123" s="66" t="str">
        <x:v>반품</x:v>
      </x:c>
      <x:c r="D123" s="97" t="n">
        <x:v>12700000</x:v>
      </x:c>
      <x:c r="E123" s="71" t="str">
        <x:v>거래처28</x:v>
      </x:c>
    </x:row>
    <x:row r="124">
      <x:c r="A124" s="91" t="n">
        <x:v>46241</x:v>
      </x:c>
      <x:c r="B124" s="66" t="str">
        <x:v>S039</x:v>
      </x:c>
      <x:c r="C124" s="66" t="str">
        <x:v>매출</x:v>
      </x:c>
      <x:c r="D124" s="97" t="n">
        <x:v>10500000</x:v>
      </x:c>
      <x:c r="E124" s="71" t="str">
        <x:v>거래처29</x:v>
      </x:c>
    </x:row>
    <x:row r="125">
      <x:c r="A125" s="91" t="n">
        <x:v>46242</x:v>
      </x:c>
      <x:c r="B125" s="66" t="str">
        <x:v>S040</x:v>
      </x:c>
      <x:c r="C125" s="66" t="str">
        <x:v>매출</x:v>
      </x:c>
      <x:c r="D125" s="97" t="n">
        <x:v>3900000</x:v>
      </x:c>
      <x:c r="E125" s="71" t="str">
        <x:v>거래처30</x:v>
      </x:c>
    </x:row>
    <x:row r="126">
      <x:c r="A126" s="91" t="n">
        <x:v>46243</x:v>
      </x:c>
      <x:c r="B126" s="66" t="str">
        <x:v>S001</x:v>
      </x:c>
      <x:c r="C126" s="66" t="str">
        <x:v>매출</x:v>
      </x:c>
      <x:c r="D126" s="97" t="n">
        <x:v>12300000</x:v>
      </x:c>
      <x:c r="E126" s="71" t="str">
        <x:v>거래처01</x:v>
      </x:c>
    </x:row>
    <x:row r="127">
      <x:c r="A127" s="91" t="n">
        <x:v>46244</x:v>
      </x:c>
      <x:c r="B127" s="66" t="str">
        <x:v>S002</x:v>
      </x:c>
      <x:c r="C127" s="66" t="str">
        <x:v>매출</x:v>
      </x:c>
      <x:c r="D127" s="97" t="n">
        <x:v>6400000</x:v>
      </x:c>
      <x:c r="E127" s="71" t="str">
        <x:v>거래처02</x:v>
      </x:c>
    </x:row>
    <x:row r="128">
      <x:c r="A128" s="91" t="n">
        <x:v>46245</x:v>
      </x:c>
      <x:c r="B128" s="66" t="str">
        <x:v>S003</x:v>
      </x:c>
      <x:c r="C128" s="66" t="str">
        <x:v>매출</x:v>
      </x:c>
      <x:c r="D128" s="97" t="n">
        <x:v>8500000</x:v>
      </x:c>
      <x:c r="E128" s="71" t="str">
        <x:v>거래처03</x:v>
      </x:c>
    </x:row>
    <x:row r="129">
      <x:c r="A129" s="91" t="n">
        <x:v>46246</x:v>
      </x:c>
      <x:c r="B129" s="66" t="str">
        <x:v>S004</x:v>
      </x:c>
      <x:c r="C129" s="66" t="str">
        <x:v>매출</x:v>
      </x:c>
      <x:c r="D129" s="97" t="n">
        <x:v>18000000</x:v>
      </x:c>
      <x:c r="E129" s="71" t="str">
        <x:v>거래처04</x:v>
      </x:c>
    </x:row>
    <x:row r="130">
      <x:c r="A130" s="91" t="n">
        <x:v>46247</x:v>
      </x:c>
      <x:c r="B130" s="66" t="str">
        <x:v>S005</x:v>
      </x:c>
      <x:c r="C130" s="66" t="str">
        <x:v>매출</x:v>
      </x:c>
      <x:c r="D130" s="97" t="n">
        <x:v>6600000</x:v>
      </x:c>
      <x:c r="E130" s="71" t="str">
        <x:v>거래처05</x:v>
      </x:c>
    </x:row>
    <x:row r="131">
      <x:c r="A131" s="91" t="n">
        <x:v>46248</x:v>
      </x:c>
      <x:c r="B131" s="66" t="str">
        <x:v>S006</x:v>
      </x:c>
      <x:c r="C131" s="66" t="str">
        <x:v>매출</x:v>
      </x:c>
      <x:c r="D131" s="97" t="n">
        <x:v>6400000</x:v>
      </x:c>
      <x:c r="E131" s="71" t="str">
        <x:v>거래처06</x:v>
      </x:c>
    </x:row>
    <x:row r="132">
      <x:c r="A132" s="91" t="n">
        <x:v>46249</x:v>
      </x:c>
      <x:c r="B132" s="66" t="str">
        <x:v>S007</x:v>
      </x:c>
      <x:c r="C132" s="66" t="str">
        <x:v>매출</x:v>
      </x:c>
      <x:c r="D132" s="97" t="n">
        <x:v>4300000</x:v>
      </x:c>
      <x:c r="E132" s="71" t="str">
        <x:v>거래처07</x:v>
      </x:c>
    </x:row>
    <x:row r="133">
      <x:c r="A133" s="91" t="n">
        <x:v>46250</x:v>
      </x:c>
      <x:c r="B133" s="66" t="str">
        <x:v>S008</x:v>
      </x:c>
      <x:c r="C133" s="66" t="str">
        <x:v>매출</x:v>
      </x:c>
      <x:c r="D133" s="97" t="n">
        <x:v>9900000</x:v>
      </x:c>
      <x:c r="E133" s="71" t="str">
        <x:v>거래처08</x:v>
      </x:c>
    </x:row>
    <x:row r="134">
      <x:c r="A134" s="91" t="n">
        <x:v>46251</x:v>
      </x:c>
      <x:c r="B134" s="66" t="str">
        <x:v>S009</x:v>
      </x:c>
      <x:c r="C134" s="66" t="str">
        <x:v>매출</x:v>
      </x:c>
      <x:c r="D134" s="97" t="n">
        <x:v>4800000</x:v>
      </x:c>
      <x:c r="E134" s="71" t="str">
        <x:v>거래처09</x:v>
      </x:c>
    </x:row>
    <x:row r="135">
      <x:c r="A135" s="91" t="n">
        <x:v>46252</x:v>
      </x:c>
      <x:c r="B135" s="66" t="str">
        <x:v>S010</x:v>
      </x:c>
      <x:c r="C135" s="66" t="str">
        <x:v>매출</x:v>
      </x:c>
      <x:c r="D135" s="97" t="n">
        <x:v>4400000</x:v>
      </x:c>
      <x:c r="E135" s="71" t="str">
        <x:v>거래처10</x:v>
      </x:c>
    </x:row>
    <x:row r="136">
      <x:c r="A136" s="91" t="n">
        <x:v>46253</x:v>
      </x:c>
      <x:c r="B136" s="66" t="str">
        <x:v>S011</x:v>
      </x:c>
      <x:c r="C136" s="66" t="str">
        <x:v>반품</x:v>
      </x:c>
      <x:c r="D136" s="97" t="n">
        <x:v>8400000</x:v>
      </x:c>
      <x:c r="E136" s="71" t="str">
        <x:v>거래처11</x:v>
      </x:c>
    </x:row>
    <x:row r="137">
      <x:c r="A137" s="91" t="n">
        <x:v>46254</x:v>
      </x:c>
      <x:c r="B137" s="66" t="str">
        <x:v>S012</x:v>
      </x:c>
      <x:c r="C137" s="66" t="str">
        <x:v>매출</x:v>
      </x:c>
      <x:c r="D137" s="97" t="n">
        <x:v>12900000</x:v>
      </x:c>
      <x:c r="E137" s="71" t="str">
        <x:v>거래처12</x:v>
      </x:c>
    </x:row>
    <x:row r="138">
      <x:c r="A138" s="91" t="n">
        <x:v>46255</x:v>
      </x:c>
      <x:c r="B138" s="66" t="str">
        <x:v>S013</x:v>
      </x:c>
      <x:c r="C138" s="66" t="str">
        <x:v>매출</x:v>
      </x:c>
      <x:c r="D138" s="97" t="n">
        <x:v>5000000</x:v>
      </x:c>
      <x:c r="E138" s="71" t="str">
        <x:v>거래처13</x:v>
      </x:c>
    </x:row>
    <x:row r="139">
      <x:c r="A139" s="91" t="n">
        <x:v>46256</x:v>
      </x:c>
      <x:c r="B139" s="66" t="str">
        <x:v>S014</x:v>
      </x:c>
      <x:c r="C139" s="66" t="str">
        <x:v>매출</x:v>
      </x:c>
      <x:c r="D139" s="97" t="n">
        <x:v>17000000</x:v>
      </x:c>
      <x:c r="E139" s="71" t="str">
        <x:v>거래처14</x:v>
      </x:c>
    </x:row>
    <x:row r="140">
      <x:c r="A140" s="91" t="n">
        <x:v>46257</x:v>
      </x:c>
      <x:c r="B140" s="66" t="str">
        <x:v>S015</x:v>
      </x:c>
      <x:c r="C140" s="66" t="str">
        <x:v>매출</x:v>
      </x:c>
      <x:c r="D140" s="97" t="n">
        <x:v>3000000</x:v>
      </x:c>
      <x:c r="E140" s="71" t="str">
        <x:v>거래처15</x:v>
      </x:c>
    </x:row>
    <x:row r="141">
      <x:c r="A141" s="91" t="n">
        <x:v>46258</x:v>
      </x:c>
      <x:c r="B141" s="66" t="str">
        <x:v>S016</x:v>
      </x:c>
      <x:c r="C141" s="66" t="str">
        <x:v>매출</x:v>
      </x:c>
      <x:c r="D141" s="97" t="n">
        <x:v>7900000</x:v>
      </x:c>
      <x:c r="E141" s="71" t="str">
        <x:v>거래처16</x:v>
      </x:c>
    </x:row>
    <x:row r="142">
      <x:c r="A142" s="91" t="n">
        <x:v>46259</x:v>
      </x:c>
      <x:c r="B142" s="66" t="str">
        <x:v>S017</x:v>
      </x:c>
      <x:c r="C142" s="66" t="str">
        <x:v>매출</x:v>
      </x:c>
      <x:c r="D142" s="97" t="n">
        <x:v>17800000</x:v>
      </x:c>
      <x:c r="E142" s="71" t="str">
        <x:v>거래처17</x:v>
      </x:c>
    </x:row>
    <x:row r="143">
      <x:c r="A143" s="91" t="n">
        <x:v>46260</x:v>
      </x:c>
      <x:c r="B143" s="66" t="str">
        <x:v>S018</x:v>
      </x:c>
      <x:c r="C143" s="66" t="str">
        <x:v>매출</x:v>
      </x:c>
      <x:c r="D143" s="97" t="n">
        <x:v>13300000</x:v>
      </x:c>
      <x:c r="E143" s="71" t="str">
        <x:v>거래처18</x:v>
      </x:c>
    </x:row>
    <x:row r="144">
      <x:c r="A144" s="91" t="n">
        <x:v>46261</x:v>
      </x:c>
      <x:c r="B144" s="66" t="str">
        <x:v>S019</x:v>
      </x:c>
      <x:c r="C144" s="66" t="str">
        <x:v>매출</x:v>
      </x:c>
      <x:c r="D144" s="97" t="n">
        <x:v>17900000</x:v>
      </x:c>
      <x:c r="E144" s="71" t="str">
        <x:v>거래처19</x:v>
      </x:c>
    </x:row>
    <x:row r="145">
      <x:c r="A145" s="91" t="n">
        <x:v>46262</x:v>
      </x:c>
      <x:c r="B145" s="66" t="str">
        <x:v>S020</x:v>
      </x:c>
      <x:c r="C145" s="66" t="str">
        <x:v>매출</x:v>
      </x:c>
      <x:c r="D145" s="97" t="n">
        <x:v>7700000</x:v>
      </x:c>
      <x:c r="E145" s="71" t="str">
        <x:v>거래처20</x:v>
      </x:c>
    </x:row>
    <x:row r="146">
      <x:c r="A146" s="91" t="n">
        <x:v>46235</x:v>
      </x:c>
      <x:c r="B146" s="66" t="str">
        <x:v>S021</x:v>
      </x:c>
      <x:c r="C146" s="66" t="str">
        <x:v>매출</x:v>
      </x:c>
      <x:c r="D146" s="97" t="n">
        <x:v>9200000</x:v>
      </x:c>
      <x:c r="E146" s="71" t="str">
        <x:v>거래처21</x:v>
      </x:c>
    </x:row>
    <x:row r="147">
      <x:c r="A147" s="91" t="n">
        <x:v>46236</x:v>
      </x:c>
      <x:c r="B147" s="66" t="str">
        <x:v>S022</x:v>
      </x:c>
      <x:c r="C147" s="66" t="str">
        <x:v>매출</x:v>
      </x:c>
      <x:c r="D147" s="97" t="n">
        <x:v>18000000</x:v>
      </x:c>
      <x:c r="E147" s="71" t="str">
        <x:v>거래처22</x:v>
      </x:c>
    </x:row>
    <x:row r="148">
      <x:c r="A148" s="91" t="n">
        <x:v>46237</x:v>
      </x:c>
      <x:c r="B148" s="66" t="str">
        <x:v>S023</x:v>
      </x:c>
      <x:c r="C148" s="66" t="str">
        <x:v>매출</x:v>
      </x:c>
      <x:c r="D148" s="97" t="n">
        <x:v>15300000</x:v>
      </x:c>
      <x:c r="E148" s="71" t="str">
        <x:v>거래처23</x:v>
      </x:c>
    </x:row>
    <x:row r="149">
      <x:c r="A149" s="91" t="n">
        <x:v>46238</x:v>
      </x:c>
      <x:c r="B149" s="66" t="str">
        <x:v>S024</x:v>
      </x:c>
      <x:c r="C149" s="66" t="str">
        <x:v>반품</x:v>
      </x:c>
      <x:c r="D149" s="97" t="n">
        <x:v>16600000</x:v>
      </x:c>
      <x:c r="E149" s="71" t="str">
        <x:v>거래처24</x:v>
      </x:c>
    </x:row>
    <x:row r="150">
      <x:c r="A150" s="91" t="n">
        <x:v>46239</x:v>
      </x:c>
      <x:c r="B150" s="66" t="str">
        <x:v>S025</x:v>
      </x:c>
      <x:c r="C150" s="66" t="str">
        <x:v>매출</x:v>
      </x:c>
      <x:c r="D150" s="97" t="n">
        <x:v>15400000</x:v>
      </x:c>
      <x:c r="E150" s="71" t="str">
        <x:v>거래처25</x:v>
      </x:c>
    </x:row>
    <x:row r="151">
      <x:c r="A151" s="91" t="n">
        <x:v>46240</x:v>
      </x:c>
      <x:c r="B151" s="66" t="str">
        <x:v>S026</x:v>
      </x:c>
      <x:c r="C151" s="66" t="str">
        <x:v>매출</x:v>
      </x:c>
      <x:c r="D151" s="97" t="n">
        <x:v>9900000</x:v>
      </x:c>
      <x:c r="E151" s="71" t="str">
        <x:v>거래처26</x:v>
      </x:c>
    </x:row>
    <x:row r="152">
      <x:c r="A152" s="91" t="n">
        <x:v>46241</x:v>
      </x:c>
      <x:c r="B152" s="66" t="str">
        <x:v>S027</x:v>
      </x:c>
      <x:c r="C152" s="66" t="str">
        <x:v>매출</x:v>
      </x:c>
      <x:c r="D152" s="97" t="n">
        <x:v>16500000</x:v>
      </x:c>
      <x:c r="E152" s="71" t="str">
        <x:v>거래처27</x:v>
      </x:c>
    </x:row>
    <x:row r="153">
      <x:c r="A153" s="91" t="n">
        <x:v>46242</x:v>
      </x:c>
      <x:c r="B153" s="66" t="str">
        <x:v>S028</x:v>
      </x:c>
      <x:c r="C153" s="66" t="str">
        <x:v>매출</x:v>
      </x:c>
      <x:c r="D153" s="97" t="n">
        <x:v>18000000</x:v>
      </x:c>
      <x:c r="E153" s="71" t="str">
        <x:v>거래처28</x:v>
      </x:c>
    </x:row>
    <x:row r="154">
      <x:c r="A154" s="91" t="n">
        <x:v>46243</x:v>
      </x:c>
      <x:c r="B154" s="66" t="str">
        <x:v>S029</x:v>
      </x:c>
      <x:c r="C154" s="66" t="str">
        <x:v>매출</x:v>
      </x:c>
      <x:c r="D154" s="97" t="n">
        <x:v>10100000</x:v>
      </x:c>
      <x:c r="E154" s="71" t="str">
        <x:v>거래처29</x:v>
      </x:c>
    </x:row>
    <x:row r="155">
      <x:c r="A155" s="91" t="n">
        <x:v>46244</x:v>
      </x:c>
      <x:c r="B155" s="66" t="str">
        <x:v>S030</x:v>
      </x:c>
      <x:c r="C155" s="66" t="str">
        <x:v>매출</x:v>
      </x:c>
      <x:c r="D155" s="97" t="n">
        <x:v>15100000</x:v>
      </x:c>
      <x:c r="E155" s="71" t="str">
        <x:v>거래처30</x:v>
      </x:c>
    </x:row>
    <x:row r="156">
      <x:c r="A156" s="91" t="n">
        <x:v>46245</x:v>
      </x:c>
      <x:c r="B156" s="66" t="str">
        <x:v>S031</x:v>
      </x:c>
      <x:c r="C156" s="66" t="str">
        <x:v>매출</x:v>
      </x:c>
      <x:c r="D156" s="97" t="n">
        <x:v>7800000</x:v>
      </x:c>
      <x:c r="E156" s="71" t="str">
        <x:v>거래처01</x:v>
      </x:c>
    </x:row>
    <x:row r="157">
      <x:c r="A157" s="91" t="n">
        <x:v>46246</x:v>
      </x:c>
      <x:c r="B157" s="66" t="str">
        <x:v>S032</x:v>
      </x:c>
      <x:c r="C157" s="66" t="str">
        <x:v>매출</x:v>
      </x:c>
      <x:c r="D157" s="97" t="n">
        <x:v>14500000</x:v>
      </x:c>
      <x:c r="E157" s="71" t="str">
        <x:v>거래처02</x:v>
      </x:c>
    </x:row>
    <x:row r="158">
      <x:c r="A158" s="91" t="n">
        <x:v>46247</x:v>
      </x:c>
      <x:c r="B158" s="66" t="str">
        <x:v>S033</x:v>
      </x:c>
      <x:c r="C158" s="66" t="str">
        <x:v>매출</x:v>
      </x:c>
      <x:c r="D158" s="97" t="n">
        <x:v>14200000</x:v>
      </x:c>
      <x:c r="E158" s="71" t="str">
        <x:v>거래처03</x:v>
      </x:c>
    </x:row>
    <x:row r="159">
      <x:c r="A159" s="91" t="n">
        <x:v>46248</x:v>
      </x:c>
      <x:c r="B159" s="66" t="str">
        <x:v>S034</x:v>
      </x:c>
      <x:c r="C159" s="66" t="str">
        <x:v>매출</x:v>
      </x:c>
      <x:c r="D159" s="97" t="n">
        <x:v>11800000</x:v>
      </x:c>
      <x:c r="E159" s="71" t="str">
        <x:v>거래처04</x:v>
      </x:c>
    </x:row>
    <x:row r="160">
      <x:c r="A160" s="91" t="n">
        <x:v>46249</x:v>
      </x:c>
      <x:c r="B160" s="66" t="str">
        <x:v>S035</x:v>
      </x:c>
      <x:c r="C160" s="66" t="str">
        <x:v>매출</x:v>
      </x:c>
      <x:c r="D160" s="97" t="n">
        <x:v>11300000</x:v>
      </x:c>
      <x:c r="E160" s="71" t="str">
        <x:v>거래처05</x:v>
      </x:c>
    </x:row>
    <x:row r="161">
      <x:c r="A161" s="91" t="n">
        <x:v>46250</x:v>
      </x:c>
      <x:c r="B161" s="66" t="str">
        <x:v>S036</x:v>
      </x:c>
      <x:c r="C161" s="66" t="str">
        <x:v>매출</x:v>
      </x:c>
      <x:c r="D161" s="97" t="n">
        <x:v>6300000</x:v>
      </x:c>
      <x:c r="E161" s="71" t="str">
        <x:v>거래처06</x:v>
      </x:c>
    </x:row>
    <x:row r="162">
      <x:c r="A162" s="91" t="n">
        <x:v>46251</x:v>
      </x:c>
      <x:c r="B162" s="66" t="str">
        <x:v>S037</x:v>
      </x:c>
      <x:c r="C162" s="66" t="str">
        <x:v>반품</x:v>
      </x:c>
      <x:c r="D162" s="97" t="n">
        <x:v>11900000</x:v>
      </x:c>
      <x:c r="E162" s="71" t="str">
        <x:v>거래처07</x:v>
      </x:c>
    </x:row>
    <x:row r="163">
      <x:c r="A163" s="91" t="n">
        <x:v>46252</x:v>
      </x:c>
      <x:c r="B163" s="66" t="str">
        <x:v>S038</x:v>
      </x:c>
      <x:c r="C163" s="66" t="str">
        <x:v>매출</x:v>
      </x:c>
      <x:c r="D163" s="97" t="n">
        <x:v>17700000</x:v>
      </x:c>
      <x:c r="E163" s="71" t="str">
        <x:v>거래처08</x:v>
      </x:c>
    </x:row>
    <x:row r="164">
      <x:c r="A164" s="91" t="n">
        <x:v>46253</x:v>
      </x:c>
      <x:c r="B164" s="66" t="str">
        <x:v>S039</x:v>
      </x:c>
      <x:c r="C164" s="66" t="str">
        <x:v>매출</x:v>
      </x:c>
      <x:c r="D164" s="97" t="n">
        <x:v>3000000</x:v>
      </x:c>
      <x:c r="E164" s="71" t="str">
        <x:v>거래처09</x:v>
      </x:c>
    </x:row>
    <x:row r="165">
      <x:c r="A165" s="91" t="n">
        <x:v>46254</x:v>
      </x:c>
      <x:c r="B165" s="66" t="str">
        <x:v>S040</x:v>
      </x:c>
      <x:c r="C165" s="66" t="str">
        <x:v>매출</x:v>
      </x:c>
      <x:c r="D165" s="97" t="n">
        <x:v>17700000</x:v>
      </x:c>
      <x:c r="E165" s="71" t="str">
        <x:v>거래처10</x:v>
      </x:c>
    </x:row>
    <x:row r="166">
      <x:c r="A166" s="91" t="n">
        <x:v>46255</x:v>
      </x:c>
      <x:c r="B166" s="66" t="str">
        <x:v>S001</x:v>
      </x:c>
      <x:c r="C166" s="66" t="str">
        <x:v>매출</x:v>
      </x:c>
      <x:c r="D166" s="97" t="n">
        <x:v>15700000</x:v>
      </x:c>
      <x:c r="E166" s="71" t="str">
        <x:v>거래처11</x:v>
      </x:c>
    </x:row>
    <x:row r="167">
      <x:c r="A167" s="91" t="n">
        <x:v>46256</x:v>
      </x:c>
      <x:c r="B167" s="66" t="str">
        <x:v>S002</x:v>
      </x:c>
      <x:c r="C167" s="66" t="str">
        <x:v>매출</x:v>
      </x:c>
      <x:c r="D167" s="97" t="n">
        <x:v>12100000</x:v>
      </x:c>
      <x:c r="E167" s="71" t="str">
        <x:v>거래처12</x:v>
      </x:c>
    </x:row>
    <x:row r="168">
      <x:c r="A168" s="91" t="n">
        <x:v>46257</x:v>
      </x:c>
      <x:c r="B168" s="66" t="str">
        <x:v>S003</x:v>
      </x:c>
      <x:c r="C168" s="66" t="str">
        <x:v>매출</x:v>
      </x:c>
      <x:c r="D168" s="97" t="n">
        <x:v>7100000</x:v>
      </x:c>
      <x:c r="E168" s="71" t="str">
        <x:v>거래처13</x:v>
      </x:c>
    </x:row>
    <x:row r="169">
      <x:c r="A169" s="91" t="n">
        <x:v>46258</x:v>
      </x:c>
      <x:c r="B169" s="66" t="str">
        <x:v>S004</x:v>
      </x:c>
      <x:c r="C169" s="66" t="str">
        <x:v>매출</x:v>
      </x:c>
      <x:c r="D169" s="97" t="n">
        <x:v>11700000</x:v>
      </x:c>
      <x:c r="E169" s="71" t="str">
        <x:v>거래처14</x:v>
      </x:c>
    </x:row>
    <x:row r="170">
      <x:c r="A170" s="91" t="n">
        <x:v>46259</x:v>
      </x:c>
      <x:c r="B170" s="66" t="str">
        <x:v>S005</x:v>
      </x:c>
      <x:c r="C170" s="66" t="str">
        <x:v>매출</x:v>
      </x:c>
      <x:c r="D170" s="97" t="n">
        <x:v>4100000</x:v>
      </x:c>
      <x:c r="E170" s="71" t="str">
        <x:v>거래처15</x:v>
      </x:c>
    </x:row>
    <x:row r="171">
      <x:c r="A171" s="91" t="n">
        <x:v>46260</x:v>
      </x:c>
      <x:c r="B171" s="66" t="str">
        <x:v>S006</x:v>
      </x:c>
      <x:c r="C171" s="66" t="str">
        <x:v>매출</x:v>
      </x:c>
      <x:c r="D171" s="97" t="n">
        <x:v>3700000</x:v>
      </x:c>
      <x:c r="E171" s="71" t="str">
        <x:v>거래처16</x:v>
      </x:c>
    </x:row>
    <x:row r="172">
      <x:c r="A172" s="91" t="n">
        <x:v>46261</x:v>
      </x:c>
      <x:c r="B172" s="66" t="str">
        <x:v>S007</x:v>
      </x:c>
      <x:c r="C172" s="66" t="str">
        <x:v>매출</x:v>
      </x:c>
      <x:c r="D172" s="97" t="n">
        <x:v>10700000</x:v>
      </x:c>
      <x:c r="E172" s="71" t="str">
        <x:v>거래처17</x:v>
      </x:c>
    </x:row>
    <x:row r="173">
      <x:c r="A173" s="91" t="n">
        <x:v>46262</x:v>
      </x:c>
      <x:c r="B173" s="66" t="str">
        <x:v>S008</x:v>
      </x:c>
      <x:c r="C173" s="66" t="str">
        <x:v>매출</x:v>
      </x:c>
      <x:c r="D173" s="97" t="n">
        <x:v>14900000</x:v>
      </x:c>
      <x:c r="E173" s="71" t="str">
        <x:v>거래처18</x:v>
      </x:c>
    </x:row>
    <x:row r="174">
      <x:c r="A174" s="91" t="n">
        <x:v>46235</x:v>
      </x:c>
      <x:c r="B174" s="66" t="str">
        <x:v>S009</x:v>
      </x:c>
      <x:c r="C174" s="66" t="str">
        <x:v>매출</x:v>
      </x:c>
      <x:c r="D174" s="97" t="n">
        <x:v>17600000</x:v>
      </x:c>
      <x:c r="E174" s="71" t="str">
        <x:v>거래처19</x:v>
      </x:c>
    </x:row>
    <x:row r="175">
      <x:c r="A175" s="91" t="n">
        <x:v>46236</x:v>
      </x:c>
      <x:c r="B175" s="66" t="str">
        <x:v>S010</x:v>
      </x:c>
      <x:c r="C175" s="66" t="str">
        <x:v>반품</x:v>
      </x:c>
      <x:c r="D175" s="97" t="n">
        <x:v>4300000</x:v>
      </x:c>
      <x:c r="E175" s="71" t="str">
        <x:v>거래처20</x:v>
      </x:c>
    </x:row>
    <x:row r="176">
      <x:c r="A176" s="91" t="n">
        <x:v>46237</x:v>
      </x:c>
      <x:c r="B176" s="66" t="str">
        <x:v>S011</x:v>
      </x:c>
      <x:c r="C176" s="66" t="str">
        <x:v>매출</x:v>
      </x:c>
      <x:c r="D176" s="97" t="n">
        <x:v>13900000</x:v>
      </x:c>
      <x:c r="E176" s="71" t="str">
        <x:v>거래처21</x:v>
      </x:c>
    </x:row>
    <x:row r="177">
      <x:c r="A177" s="91" t="n">
        <x:v>46238</x:v>
      </x:c>
      <x:c r="B177" s="66" t="str">
        <x:v>S012</x:v>
      </x:c>
      <x:c r="C177" s="66" t="str">
        <x:v>매출</x:v>
      </x:c>
      <x:c r="D177" s="97" t="n">
        <x:v>9900000</x:v>
      </x:c>
      <x:c r="E177" s="71" t="str">
        <x:v>거래처22</x:v>
      </x:c>
    </x:row>
    <x:row r="178">
      <x:c r="A178" s="91" t="n">
        <x:v>46239</x:v>
      </x:c>
      <x:c r="B178" s="66" t="str">
        <x:v>S013</x:v>
      </x:c>
      <x:c r="C178" s="66" t="str">
        <x:v>매출</x:v>
      </x:c>
      <x:c r="D178" s="97" t="n">
        <x:v>14700000</x:v>
      </x:c>
      <x:c r="E178" s="71" t="str">
        <x:v>거래처23</x:v>
      </x:c>
    </x:row>
    <x:row r="179">
      <x:c r="A179" s="91" t="n">
        <x:v>46240</x:v>
      </x:c>
      <x:c r="B179" s="66" t="str">
        <x:v>S014</x:v>
      </x:c>
      <x:c r="C179" s="66" t="str">
        <x:v>매출</x:v>
      </x:c>
      <x:c r="D179" s="97" t="n">
        <x:v>14800000</x:v>
      </x:c>
      <x:c r="E179" s="71" t="str">
        <x:v>거래처24</x:v>
      </x:c>
    </x:row>
    <x:row r="180">
      <x:c r="A180" s="91" t="n">
        <x:v>46241</x:v>
      </x:c>
      <x:c r="B180" s="66" t="str">
        <x:v>S015</x:v>
      </x:c>
      <x:c r="C180" s="66" t="str">
        <x:v>매출</x:v>
      </x:c>
      <x:c r="D180" s="97" t="n">
        <x:v>12900000</x:v>
      </x:c>
      <x:c r="E180" s="71" t="str">
        <x:v>거래처25</x:v>
      </x:c>
    </x:row>
    <x:row r="181">
      <x:c r="A181" s="91" t="n">
        <x:v>46242</x:v>
      </x:c>
      <x:c r="B181" s="66" t="str">
        <x:v>S016</x:v>
      </x:c>
      <x:c r="C181" s="66" t="str">
        <x:v>매출</x:v>
      </x:c>
      <x:c r="D181" s="97" t="n">
        <x:v>15600000</x:v>
      </x:c>
      <x:c r="E181" s="71" t="str">
        <x:v>거래처26</x:v>
      </x:c>
    </x:row>
    <x:row r="182">
      <x:c r="A182" s="91" t="n">
        <x:v>46243</x:v>
      </x:c>
      <x:c r="B182" s="66" t="str">
        <x:v>S017</x:v>
      </x:c>
      <x:c r="C182" s="66" t="str">
        <x:v>매출</x:v>
      </x:c>
      <x:c r="D182" s="97" t="n">
        <x:v>17100000</x:v>
      </x:c>
      <x:c r="E182" s="71" t="str">
        <x:v>거래처27</x:v>
      </x:c>
    </x:row>
    <x:row r="183">
      <x:c r="A183" s="91" t="n">
        <x:v>46244</x:v>
      </x:c>
      <x:c r="B183" s="66" t="str">
        <x:v>S018</x:v>
      </x:c>
      <x:c r="C183" s="66" t="str">
        <x:v>매출</x:v>
      </x:c>
      <x:c r="D183" s="97" t="n">
        <x:v>3100000</x:v>
      </x:c>
      <x:c r="E183" s="71" t="str">
        <x:v>거래처28</x:v>
      </x:c>
    </x:row>
    <x:row r="184">
      <x:c r="A184" s="91" t="n">
        <x:v>46245</x:v>
      </x:c>
      <x:c r="B184" s="66" t="str">
        <x:v>S019</x:v>
      </x:c>
      <x:c r="C184" s="66" t="str">
        <x:v>매출</x:v>
      </x:c>
      <x:c r="D184" s="97" t="n">
        <x:v>9500000</x:v>
      </x:c>
      <x:c r="E184" s="71" t="str">
        <x:v>거래처29</x:v>
      </x:c>
    </x:row>
    <x:row r="185">
      <x:c r="A185" s="91" t="n">
        <x:v>46246</x:v>
      </x:c>
      <x:c r="B185" s="66" t="str">
        <x:v>S020</x:v>
      </x:c>
      <x:c r="C185" s="66" t="str">
        <x:v>매출</x:v>
      </x:c>
      <x:c r="D185" s="97" t="n">
        <x:v>14000000</x:v>
      </x:c>
      <x:c r="E185" s="71" t="str">
        <x:v>거래처30</x:v>
      </x:c>
    </x:row>
    <x:row r="186">
      <x:c r="A186" s="91" t="n">
        <x:v>46247</x:v>
      </x:c>
      <x:c r="B186" s="66" t="str">
        <x:v>S021</x:v>
      </x:c>
      <x:c r="C186" s="66" t="str">
        <x:v>매출</x:v>
      </x:c>
      <x:c r="D186" s="97" t="n">
        <x:v>16800000</x:v>
      </x:c>
      <x:c r="E186" s="71" t="str">
        <x:v>거래처01</x:v>
      </x:c>
    </x:row>
    <x:row r="187">
      <x:c r="A187" s="91" t="n">
        <x:v>46248</x:v>
      </x:c>
      <x:c r="B187" s="66" t="str">
        <x:v>S022</x:v>
      </x:c>
      <x:c r="C187" s="66" t="str">
        <x:v>매출</x:v>
      </x:c>
      <x:c r="D187" s="97" t="n">
        <x:v>8900000</x:v>
      </x:c>
      <x:c r="E187" s="71" t="str">
        <x:v>거래처02</x:v>
      </x:c>
    </x:row>
    <x:row r="188">
      <x:c r="A188" s="91" t="n">
        <x:v>46249</x:v>
      </x:c>
      <x:c r="B188" s="66" t="str">
        <x:v>S023</x:v>
      </x:c>
      <x:c r="C188" s="66" t="str">
        <x:v>반품</x:v>
      </x:c>
      <x:c r="D188" s="97" t="n">
        <x:v>12800000</x:v>
      </x:c>
      <x:c r="E188" s="71" t="str">
        <x:v>거래처03</x:v>
      </x:c>
    </x:row>
    <x:row r="189">
      <x:c r="A189" s="91" t="n">
        <x:v>46250</x:v>
      </x:c>
      <x:c r="B189" s="66" t="str">
        <x:v>S024</x:v>
      </x:c>
      <x:c r="C189" s="66" t="str">
        <x:v>매출</x:v>
      </x:c>
      <x:c r="D189" s="97" t="n">
        <x:v>12300000</x:v>
      </x:c>
      <x:c r="E189" s="71" t="str">
        <x:v>거래처04</x:v>
      </x:c>
    </x:row>
    <x:row r="190">
      <x:c r="A190" s="91" t="n">
        <x:v>46251</x:v>
      </x:c>
      <x:c r="B190" s="66" t="str">
        <x:v>S025</x:v>
      </x:c>
      <x:c r="C190" s="66" t="str">
        <x:v>매출</x:v>
      </x:c>
      <x:c r="D190" s="97" t="n">
        <x:v>4500000</x:v>
      </x:c>
      <x:c r="E190" s="71" t="str">
        <x:v>거래처05</x:v>
      </x:c>
    </x:row>
    <x:row r="191">
      <x:c r="A191" s="91" t="n">
        <x:v>46252</x:v>
      </x:c>
      <x:c r="B191" s="66" t="str">
        <x:v>S026</x:v>
      </x:c>
      <x:c r="C191" s="66" t="str">
        <x:v>매출</x:v>
      </x:c>
      <x:c r="D191" s="97" t="n">
        <x:v>9400000</x:v>
      </x:c>
      <x:c r="E191" s="71" t="str">
        <x:v>거래처06</x:v>
      </x:c>
    </x:row>
    <x:row r="192">
      <x:c r="A192" s="91" t="n">
        <x:v>46253</x:v>
      </x:c>
      <x:c r="B192" s="66" t="str">
        <x:v>S027</x:v>
      </x:c>
      <x:c r="C192" s="66" t="str">
        <x:v>매출</x:v>
      </x:c>
      <x:c r="D192" s="97" t="n">
        <x:v>11600000</x:v>
      </x:c>
      <x:c r="E192" s="71" t="str">
        <x:v>거래처07</x:v>
      </x:c>
    </x:row>
    <x:row r="193">
      <x:c r="A193" s="91" t="n">
        <x:v>46254</x:v>
      </x:c>
      <x:c r="B193" s="66" t="str">
        <x:v>S028</x:v>
      </x:c>
      <x:c r="C193" s="66" t="str">
        <x:v>매출</x:v>
      </x:c>
      <x:c r="D193" s="97" t="n">
        <x:v>6900000</x:v>
      </x:c>
      <x:c r="E193" s="71" t="str">
        <x:v>거래처08</x:v>
      </x:c>
    </x:row>
    <x:row r="194">
      <x:c r="A194" s="91" t="n">
        <x:v>46255</x:v>
      </x:c>
      <x:c r="B194" s="66" t="str">
        <x:v>S029</x:v>
      </x:c>
      <x:c r="C194" s="66" t="str">
        <x:v>매출</x:v>
      </x:c>
      <x:c r="D194" s="97" t="n">
        <x:v>11000000</x:v>
      </x:c>
      <x:c r="E194" s="71" t="str">
        <x:v>거래처09</x:v>
      </x:c>
    </x:row>
    <x:row r="195">
      <x:c r="A195" s="91" t="n">
        <x:v>46256</x:v>
      </x:c>
      <x:c r="B195" s="66" t="str">
        <x:v>S030</x:v>
      </x:c>
      <x:c r="C195" s="66" t="str">
        <x:v>매출</x:v>
      </x:c>
      <x:c r="D195" s="97" t="n">
        <x:v>9700000</x:v>
      </x:c>
      <x:c r="E195" s="71" t="str">
        <x:v>거래처10</x:v>
      </x:c>
    </x:row>
    <x:row r="196">
      <x:c r="A196" s="91" t="n">
        <x:v>46257</x:v>
      </x:c>
      <x:c r="B196" s="66" t="str">
        <x:v>S031</x:v>
      </x:c>
      <x:c r="C196" s="66" t="str">
        <x:v>매출</x:v>
      </x:c>
      <x:c r="D196" s="97" t="n">
        <x:v>3800000</x:v>
      </x:c>
      <x:c r="E196" s="71" t="str">
        <x:v>거래처11</x:v>
      </x:c>
    </x:row>
    <x:row r="197">
      <x:c r="A197" s="91" t="n">
        <x:v>46258</x:v>
      </x:c>
      <x:c r="B197" s="66" t="str">
        <x:v>S032</x:v>
      </x:c>
      <x:c r="C197" s="66" t="str">
        <x:v>매출</x:v>
      </x:c>
      <x:c r="D197" s="97" t="n">
        <x:v>7000000</x:v>
      </x:c>
      <x:c r="E197" s="71" t="str">
        <x:v>거래처12</x:v>
      </x:c>
    </x:row>
    <x:row r="198">
      <x:c r="A198" s="91" t="n">
        <x:v>46259</x:v>
      </x:c>
      <x:c r="B198" s="66" t="str">
        <x:v>S033</x:v>
      </x:c>
      <x:c r="C198" s="66" t="str">
        <x:v>매출</x:v>
      </x:c>
      <x:c r="D198" s="97" t="n">
        <x:v>16000000</x:v>
      </x:c>
      <x:c r="E198" s="71" t="str">
        <x:v>거래처13</x:v>
      </x:c>
    </x:row>
    <x:row r="199">
      <x:c r="A199" s="91" t="n">
        <x:v>46260</x:v>
      </x:c>
      <x:c r="B199" s="66" t="str">
        <x:v>S034</x:v>
      </x:c>
      <x:c r="C199" s="66" t="str">
        <x:v>매출</x:v>
      </x:c>
      <x:c r="D199" s="97" t="n">
        <x:v>12900000</x:v>
      </x:c>
      <x:c r="E199" s="71" t="str">
        <x:v>거래처14</x:v>
      </x:c>
    </x:row>
    <x:row r="200">
      <x:c r="A200" s="91" t="n">
        <x:v>46261</x:v>
      </x:c>
      <x:c r="B200" s="66" t="str">
        <x:v>S035</x:v>
      </x:c>
      <x:c r="C200" s="66" t="str">
        <x:v>매출</x:v>
      </x:c>
      <x:c r="D200" s="97" t="n">
        <x:v>3800000</x:v>
      </x:c>
      <x:c r="E200" s="71" t="str">
        <x:v>거래처15</x:v>
      </x:c>
    </x:row>
    <x:row r="201">
      <x:c r="A201" s="91" t="n">
        <x:v>46262</x:v>
      </x:c>
      <x:c r="B201" s="66" t="str">
        <x:v>S036</x:v>
      </x:c>
      <x:c r="C201" s="66" t="str">
        <x:v>반품</x:v>
      </x:c>
      <x:c r="D201" s="97" t="n">
        <x:v>13300000</x:v>
      </x:c>
      <x:c r="E201" s="71" t="str">
        <x:v>거래처16</x:v>
      </x:c>
    </x:row>
    <x:row r="202">
      <x:c r="A202" s="91" t="n">
        <x:v>46235</x:v>
      </x:c>
      <x:c r="B202" s="66" t="str">
        <x:v>S037</x:v>
      </x:c>
      <x:c r="C202" s="66" t="str">
        <x:v>매출</x:v>
      </x:c>
      <x:c r="D202" s="97" t="n">
        <x:v>8800000</x:v>
      </x:c>
      <x:c r="E202" s="71" t="str">
        <x:v>거래처17</x:v>
      </x:c>
    </x:row>
    <x:row r="203">
      <x:c r="A203" s="91" t="n">
        <x:v>46236</x:v>
      </x:c>
      <x:c r="B203" s="66" t="str">
        <x:v>S038</x:v>
      </x:c>
      <x:c r="C203" s="66" t="str">
        <x:v>매출</x:v>
      </x:c>
      <x:c r="D203" s="97" t="n">
        <x:v>16700000</x:v>
      </x:c>
      <x:c r="E203" s="71" t="str">
        <x:v>거래처18</x:v>
      </x:c>
    </x:row>
    <x:row r="204">
      <x:c r="A204" s="91" t="n">
        <x:v>46237</x:v>
      </x:c>
      <x:c r="B204" s="66" t="str">
        <x:v>S039</x:v>
      </x:c>
      <x:c r="C204" s="66" t="str">
        <x:v>매출</x:v>
      </x:c>
      <x:c r="D204" s="97" t="n">
        <x:v>15900000</x:v>
      </x:c>
      <x:c r="E204" s="71" t="str">
        <x:v>거래처19</x:v>
      </x:c>
    </x:row>
    <x:row r="205">
      <x:c r="A205" s="91" t="n">
        <x:v>46238</x:v>
      </x:c>
      <x:c r="B205" s="66" t="str">
        <x:v>S040</x:v>
      </x:c>
      <x:c r="C205" s="66" t="str">
        <x:v>매출</x:v>
      </x:c>
      <x:c r="D205" s="97" t="n">
        <x:v>11500000</x:v>
      </x:c>
      <x:c r="E205" s="71" t="str">
        <x:v>거래처20</x:v>
      </x:c>
    </x:row>
    <x:row r="206">
      <x:c r="A206" s="91" t="n">
        <x:v>46239</x:v>
      </x:c>
      <x:c r="B206" s="66" t="str">
        <x:v>S001</x:v>
      </x:c>
      <x:c r="C206" s="66" t="str">
        <x:v>매출</x:v>
      </x:c>
      <x:c r="D206" s="97" t="n">
        <x:v>11900000</x:v>
      </x:c>
      <x:c r="E206" s="71" t="str">
        <x:v>거래처21</x:v>
      </x:c>
    </x:row>
    <x:row r="207">
      <x:c r="A207" s="91" t="n">
        <x:v>46240</x:v>
      </x:c>
      <x:c r="B207" s="66" t="str">
        <x:v>S002</x:v>
      </x:c>
      <x:c r="C207" s="66" t="str">
        <x:v>매출</x:v>
      </x:c>
      <x:c r="D207" s="97" t="n">
        <x:v>5100000</x:v>
      </x:c>
      <x:c r="E207" s="71" t="str">
        <x:v>거래처22</x:v>
      </x:c>
    </x:row>
    <x:row r="208">
      <x:c r="A208" s="91" t="n">
        <x:v>46241</x:v>
      </x:c>
      <x:c r="B208" s="66" t="str">
        <x:v>S003</x:v>
      </x:c>
      <x:c r="C208" s="66" t="str">
        <x:v>매출</x:v>
      </x:c>
      <x:c r="D208" s="97" t="n">
        <x:v>18000000</x:v>
      </x:c>
      <x:c r="E208" s="71" t="str">
        <x:v>거래처23</x:v>
      </x:c>
    </x:row>
    <x:row r="209">
      <x:c r="A209" s="91" t="n">
        <x:v>46242</x:v>
      </x:c>
      <x:c r="B209" s="66" t="str">
        <x:v>S004</x:v>
      </x:c>
      <x:c r="C209" s="66" t="str">
        <x:v>매출</x:v>
      </x:c>
      <x:c r="D209" s="97" t="n">
        <x:v>3000000</x:v>
      </x:c>
      <x:c r="E209" s="71" t="str">
        <x:v>거래처24</x:v>
      </x:c>
    </x:row>
    <x:row r="210">
      <x:c r="A210" s="91" t="n">
        <x:v>46243</x:v>
      </x:c>
      <x:c r="B210" s="66" t="str">
        <x:v>S005</x:v>
      </x:c>
      <x:c r="C210" s="66" t="str">
        <x:v>매출</x:v>
      </x:c>
      <x:c r="D210" s="97" t="n">
        <x:v>5600000</x:v>
      </x:c>
      <x:c r="E210" s="71" t="str">
        <x:v>거래처25</x:v>
      </x:c>
    </x:row>
    <x:row r="211">
      <x:c r="A211" s="91" t="n">
        <x:v>46244</x:v>
      </x:c>
      <x:c r="B211" s="66" t="str">
        <x:v>S006</x:v>
      </x:c>
      <x:c r="C211" s="66" t="str">
        <x:v>매출</x:v>
      </x:c>
      <x:c r="D211" s="97" t="n">
        <x:v>15500000</x:v>
      </x:c>
      <x:c r="E211" s="71" t="str">
        <x:v>거래처26</x:v>
      </x:c>
    </x:row>
    <x:row r="212">
      <x:c r="A212" s="91" t="n">
        <x:v>46245</x:v>
      </x:c>
      <x:c r="B212" s="66" t="str">
        <x:v>S007</x:v>
      </x:c>
      <x:c r="C212" s="66" t="str">
        <x:v>매출</x:v>
      </x:c>
      <x:c r="D212" s="97" t="n">
        <x:v>10100000</x:v>
      </x:c>
      <x:c r="E212" s="71" t="str">
        <x:v>거래처27</x:v>
      </x:c>
    </x:row>
    <x:row r="213">
      <x:c r="A213" s="91" t="n">
        <x:v>46246</x:v>
      </x:c>
      <x:c r="B213" s="66" t="str">
        <x:v>S008</x:v>
      </x:c>
      <x:c r="C213" s="66" t="str">
        <x:v>매출</x:v>
      </x:c>
      <x:c r="D213" s="97" t="n">
        <x:v>10800000</x:v>
      </x:c>
      <x:c r="E213" s="71" t="str">
        <x:v>거래처28</x:v>
      </x:c>
    </x:row>
    <x:row r="214">
      <x:c r="A214" s="91" t="n">
        <x:v>46247</x:v>
      </x:c>
      <x:c r="B214" s="66" t="str">
        <x:v>S009</x:v>
      </x:c>
      <x:c r="C214" s="66" t="str">
        <x:v>반품</x:v>
      </x:c>
      <x:c r="D214" s="97" t="n">
        <x:v>15300000</x:v>
      </x:c>
      <x:c r="E214" s="71" t="str">
        <x:v>거래처29</x:v>
      </x:c>
    </x:row>
    <x:row r="215">
      <x:c r="A215" s="91" t="n">
        <x:v>46248</x:v>
      </x:c>
      <x:c r="B215" s="66" t="str">
        <x:v>S010</x:v>
      </x:c>
      <x:c r="C215" s="66" t="str">
        <x:v>매출</x:v>
      </x:c>
      <x:c r="D215" s="97" t="n">
        <x:v>6700000</x:v>
      </x:c>
      <x:c r="E215" s="71" t="str">
        <x:v>거래처30</x:v>
      </x:c>
    </x:row>
    <x:row r="216">
      <x:c r="A216" s="91" t="n">
        <x:v>46249</x:v>
      </x:c>
      <x:c r="B216" s="66" t="str">
        <x:v>S011</x:v>
      </x:c>
      <x:c r="C216" s="66" t="str">
        <x:v>매출</x:v>
      </x:c>
      <x:c r="D216" s="97" t="n">
        <x:v>4000000</x:v>
      </x:c>
      <x:c r="E216" s="71" t="str">
        <x:v>거래처01</x:v>
      </x:c>
    </x:row>
    <x:row r="217">
      <x:c r="A217" s="91" t="n">
        <x:v>46250</x:v>
      </x:c>
      <x:c r="B217" s="66" t="str">
        <x:v>S012</x:v>
      </x:c>
      <x:c r="C217" s="66" t="str">
        <x:v>매출</x:v>
      </x:c>
      <x:c r="D217" s="97" t="n">
        <x:v>17200000</x:v>
      </x:c>
      <x:c r="E217" s="71" t="str">
        <x:v>거래처02</x:v>
      </x:c>
    </x:row>
    <x:row r="218">
      <x:c r="A218" s="91" t="n">
        <x:v>46251</x:v>
      </x:c>
      <x:c r="B218" s="66" t="str">
        <x:v>S013</x:v>
      </x:c>
      <x:c r="C218" s="66" t="str">
        <x:v>매출</x:v>
      </x:c>
      <x:c r="D218" s="97" t="n">
        <x:v>3700000</x:v>
      </x:c>
      <x:c r="E218" s="71" t="str">
        <x:v>거래처03</x:v>
      </x:c>
    </x:row>
    <x:row r="219">
      <x:c r="A219" s="91" t="n">
        <x:v>46252</x:v>
      </x:c>
      <x:c r="B219" s="66" t="str">
        <x:v>S014</x:v>
      </x:c>
      <x:c r="C219" s="66" t="str">
        <x:v>매출</x:v>
      </x:c>
      <x:c r="D219" s="97" t="n">
        <x:v>6600000</x:v>
      </x:c>
      <x:c r="E219" s="71" t="str">
        <x:v>거래처04</x:v>
      </x:c>
    </x:row>
    <x:row r="220">
      <x:c r="A220" s="91" t="n">
        <x:v>46253</x:v>
      </x:c>
      <x:c r="B220" s="66" t="str">
        <x:v>S015</x:v>
      </x:c>
      <x:c r="C220" s="66" t="str">
        <x:v>매출</x:v>
      </x:c>
      <x:c r="D220" s="97" t="n">
        <x:v>4200000</x:v>
      </x:c>
      <x:c r="E220" s="71" t="str">
        <x:v>거래처05</x:v>
      </x:c>
    </x:row>
    <x:row r="221">
      <x:c r="A221" s="91" t="n">
        <x:v>46254</x:v>
      </x:c>
      <x:c r="B221" s="66" t="str">
        <x:v>S016</x:v>
      </x:c>
      <x:c r="C221" s="66" t="str">
        <x:v>매출</x:v>
      </x:c>
      <x:c r="D221" s="97" t="n">
        <x:v>4100000</x:v>
      </x:c>
      <x:c r="E221" s="71" t="str">
        <x:v>거래처06</x:v>
      </x:c>
    </x:row>
    <x:row r="222">
      <x:c r="A222" s="91" t="n">
        <x:v>46255</x:v>
      </x:c>
      <x:c r="B222" s="66" t="str">
        <x:v>S017</x:v>
      </x:c>
      <x:c r="C222" s="66" t="str">
        <x:v>매출</x:v>
      </x:c>
      <x:c r="D222" s="97" t="n">
        <x:v>14600000</x:v>
      </x:c>
      <x:c r="E222" s="71" t="str">
        <x:v>거래처07</x:v>
      </x:c>
    </x:row>
    <x:row r="223">
      <x:c r="A223" s="91" t="n">
        <x:v>46256</x:v>
      </x:c>
      <x:c r="B223" s="66" t="str">
        <x:v>S018</x:v>
      </x:c>
      <x:c r="C223" s="66" t="str">
        <x:v>매출</x:v>
      </x:c>
      <x:c r="D223" s="97" t="n">
        <x:v>15100000</x:v>
      </x:c>
      <x:c r="E223" s="71" t="str">
        <x:v>거래처08</x:v>
      </x:c>
    </x:row>
    <x:row r="224">
      <x:c r="A224" s="91" t="n">
        <x:v>46257</x:v>
      </x:c>
      <x:c r="B224" s="66" t="str">
        <x:v>S019</x:v>
      </x:c>
      <x:c r="C224" s="66" t="str">
        <x:v>매출</x:v>
      </x:c>
      <x:c r="D224" s="97" t="n">
        <x:v>16000000</x:v>
      </x:c>
      <x:c r="E224" s="71" t="str">
        <x:v>거래처09</x:v>
      </x:c>
    </x:row>
    <x:row r="225">
      <x:c r="A225" s="91" t="n">
        <x:v>46258</x:v>
      </x:c>
      <x:c r="B225" s="66" t="str">
        <x:v>S020</x:v>
      </x:c>
      <x:c r="C225" s="66" t="str">
        <x:v>매출</x:v>
      </x:c>
      <x:c r="D225" s="97" t="n">
        <x:v>10200000</x:v>
      </x:c>
      <x:c r="E225" s="71" t="str">
        <x:v>거래처10</x:v>
      </x:c>
    </x:row>
    <x:row r="226">
      <x:c r="A226" s="91" t="n">
        <x:v>46259</x:v>
      </x:c>
      <x:c r="B226" s="66" t="str">
        <x:v>S021</x:v>
      </x:c>
      <x:c r="C226" s="66" t="str">
        <x:v>매출</x:v>
      </x:c>
      <x:c r="D226" s="97" t="n">
        <x:v>8100000</x:v>
      </x:c>
      <x:c r="E226" s="71" t="str">
        <x:v>거래처11</x:v>
      </x:c>
    </x:row>
    <x:row r="227">
      <x:c r="A227" s="91" t="n">
        <x:v>46260</x:v>
      </x:c>
      <x:c r="B227" s="66" t="str">
        <x:v>S022</x:v>
      </x:c>
      <x:c r="C227" s="66" t="str">
        <x:v>반품</x:v>
      </x:c>
      <x:c r="D227" s="97" t="n">
        <x:v>5400000</x:v>
      </x:c>
      <x:c r="E227" s="71" t="str">
        <x:v>거래처12</x:v>
      </x:c>
    </x:row>
    <x:row r="228">
      <x:c r="A228" s="91" t="n">
        <x:v>46261</x:v>
      </x:c>
      <x:c r="B228" s="66" t="str">
        <x:v>S023</x:v>
      </x:c>
      <x:c r="C228" s="66" t="str">
        <x:v>매출</x:v>
      </x:c>
      <x:c r="D228" s="97" t="n">
        <x:v>8800000</x:v>
      </x:c>
      <x:c r="E228" s="71" t="str">
        <x:v>거래처13</x:v>
      </x:c>
    </x:row>
    <x:row r="229">
      <x:c r="A229" s="91" t="n">
        <x:v>46262</x:v>
      </x:c>
      <x:c r="B229" s="66" t="str">
        <x:v>S024</x:v>
      </x:c>
      <x:c r="C229" s="66" t="str">
        <x:v>매출</x:v>
      </x:c>
      <x:c r="D229" s="97" t="n">
        <x:v>14700000</x:v>
      </x:c>
      <x:c r="E229" s="71" t="str">
        <x:v>거래처14</x:v>
      </x:c>
    </x:row>
    <x:row r="230">
      <x:c r="A230" s="91" t="n">
        <x:v>46235</x:v>
      </x:c>
      <x:c r="B230" s="66" t="str">
        <x:v>S025</x:v>
      </x:c>
      <x:c r="C230" s="66" t="str">
        <x:v>매출</x:v>
      </x:c>
      <x:c r="D230" s="97" t="n">
        <x:v>17800000</x:v>
      </x:c>
      <x:c r="E230" s="71" t="str">
        <x:v>거래처15</x:v>
      </x:c>
    </x:row>
    <x:row r="231">
      <x:c r="A231" s="91" t="n">
        <x:v>46236</x:v>
      </x:c>
      <x:c r="B231" s="66" t="str">
        <x:v>S026</x:v>
      </x:c>
      <x:c r="C231" s="66" t="str">
        <x:v>매출</x:v>
      </x:c>
      <x:c r="D231" s="97" t="n">
        <x:v>17100000</x:v>
      </x:c>
      <x:c r="E231" s="71" t="str">
        <x:v>거래처16</x:v>
      </x:c>
    </x:row>
    <x:row r="232">
      <x:c r="A232" s="91" t="n">
        <x:v>46237</x:v>
      </x:c>
      <x:c r="B232" s="66" t="str">
        <x:v>S027</x:v>
      </x:c>
      <x:c r="C232" s="66" t="str">
        <x:v>매출</x:v>
      </x:c>
      <x:c r="D232" s="97" t="n">
        <x:v>12100000</x:v>
      </x:c>
      <x:c r="E232" s="71" t="str">
        <x:v>거래처17</x:v>
      </x:c>
    </x:row>
    <x:row r="233">
      <x:c r="A233" s="91" t="n">
        <x:v>46238</x:v>
      </x:c>
      <x:c r="B233" s="66" t="str">
        <x:v>S028</x:v>
      </x:c>
      <x:c r="C233" s="66" t="str">
        <x:v>매출</x:v>
      </x:c>
      <x:c r="D233" s="97" t="n">
        <x:v>11900000</x:v>
      </x:c>
      <x:c r="E233" s="71" t="str">
        <x:v>거래처18</x:v>
      </x:c>
    </x:row>
    <x:row r="234">
      <x:c r="A234" s="91" t="n">
        <x:v>46239</x:v>
      </x:c>
      <x:c r="B234" s="66" t="str">
        <x:v>S029</x:v>
      </x:c>
      <x:c r="C234" s="66" t="str">
        <x:v>매출</x:v>
      </x:c>
      <x:c r="D234" s="97" t="n">
        <x:v>8900000</x:v>
      </x:c>
      <x:c r="E234" s="71" t="str">
        <x:v>거래처19</x:v>
      </x:c>
    </x:row>
    <x:row r="235">
      <x:c r="A235" s="91" t="n">
        <x:v>46240</x:v>
      </x:c>
      <x:c r="B235" s="66" t="str">
        <x:v>S030</x:v>
      </x:c>
      <x:c r="C235" s="66" t="str">
        <x:v>매출</x:v>
      </x:c>
      <x:c r="D235" s="97" t="n">
        <x:v>8800000</x:v>
      </x:c>
      <x:c r="E235" s="71" t="str">
        <x:v>거래처20</x:v>
      </x:c>
    </x:row>
    <x:row r="236">
      <x:c r="A236" s="91" t="n">
        <x:v>46241</x:v>
      </x:c>
      <x:c r="B236" s="66" t="str">
        <x:v>S031</x:v>
      </x:c>
      <x:c r="C236" s="66" t="str">
        <x:v>매출</x:v>
      </x:c>
      <x:c r="D236" s="97" t="n">
        <x:v>12200000</x:v>
      </x:c>
      <x:c r="E236" s="71" t="str">
        <x:v>거래처21</x:v>
      </x:c>
    </x:row>
    <x:row r="237">
      <x:c r="A237" s="91" t="n">
        <x:v>46242</x:v>
      </x:c>
      <x:c r="B237" s="66" t="str">
        <x:v>S032</x:v>
      </x:c>
      <x:c r="C237" s="66" t="str">
        <x:v>매출</x:v>
      </x:c>
      <x:c r="D237" s="97" t="n">
        <x:v>17700000</x:v>
      </x:c>
      <x:c r="E237" s="71" t="str">
        <x:v>거래처22</x:v>
      </x:c>
    </x:row>
    <x:row r="238">
      <x:c r="A238" s="91" t="n">
        <x:v>46243</x:v>
      </x:c>
      <x:c r="B238" s="66" t="str">
        <x:v>S033</x:v>
      </x:c>
      <x:c r="C238" s="66" t="str">
        <x:v>매출</x:v>
      </x:c>
      <x:c r="D238" s="97" t="n">
        <x:v>5700000</x:v>
      </x:c>
      <x:c r="E238" s="71" t="str">
        <x:v>거래처23</x:v>
      </x:c>
    </x:row>
    <x:row r="239">
      <x:c r="A239" s="91" t="n">
        <x:v>46244</x:v>
      </x:c>
      <x:c r="B239" s="66" t="str">
        <x:v>S034</x:v>
      </x:c>
      <x:c r="C239" s="66" t="str">
        <x:v>매출</x:v>
      </x:c>
      <x:c r="D239" s="97" t="n">
        <x:v>7100000</x:v>
      </x:c>
      <x:c r="E239" s="71" t="str">
        <x:v>거래처24</x:v>
      </x:c>
    </x:row>
    <x:row r="240">
      <x:c r="A240" s="91" t="n">
        <x:v>46245</x:v>
      </x:c>
      <x:c r="B240" s="66" t="str">
        <x:v>S035</x:v>
      </x:c>
      <x:c r="C240" s="66" t="str">
        <x:v>반품</x:v>
      </x:c>
      <x:c r="D240" s="97" t="n">
        <x:v>10200000</x:v>
      </x:c>
      <x:c r="E240" s="71" t="str">
        <x:v>거래처25</x:v>
      </x:c>
    </x:row>
    <x:row r="241">
      <x:c r="A241" s="91" t="n">
        <x:v>46246</x:v>
      </x:c>
      <x:c r="B241" s="66" t="str">
        <x:v>S036</x:v>
      </x:c>
      <x:c r="C241" s="66" t="str">
        <x:v>매출</x:v>
      </x:c>
      <x:c r="D241" s="97" t="n">
        <x:v>3200000</x:v>
      </x:c>
      <x:c r="E241" s="71" t="str">
        <x:v>거래처26</x:v>
      </x:c>
    </x:row>
    <x:row r="242">
      <x:c r="A242" s="91" t="n">
        <x:v>46247</x:v>
      </x:c>
      <x:c r="B242" s="66" t="str">
        <x:v>S037</x:v>
      </x:c>
      <x:c r="C242" s="66" t="str">
        <x:v>매출</x:v>
      </x:c>
      <x:c r="D242" s="97" t="n">
        <x:v>12000000</x:v>
      </x:c>
      <x:c r="E242" s="71" t="str">
        <x:v>거래처27</x:v>
      </x:c>
    </x:row>
    <x:row r="243">
      <x:c r="A243" s="91" t="n">
        <x:v>46248</x:v>
      </x:c>
      <x:c r="B243" s="66" t="str">
        <x:v>S038</x:v>
      </x:c>
      <x:c r="C243" s="66" t="str">
        <x:v>매출</x:v>
      </x:c>
      <x:c r="D243" s="97" t="n">
        <x:v>6600000</x:v>
      </x:c>
      <x:c r="E243" s="71" t="str">
        <x:v>거래처28</x:v>
      </x:c>
    </x:row>
    <x:row r="244">
      <x:c r="A244" s="91" t="n">
        <x:v>46249</x:v>
      </x:c>
      <x:c r="B244" s="66" t="str">
        <x:v>S039</x:v>
      </x:c>
      <x:c r="C244" s="66" t="str">
        <x:v>매출</x:v>
      </x:c>
      <x:c r="D244" s="97" t="n">
        <x:v>9100000</x:v>
      </x:c>
      <x:c r="E244" s="71" t="str">
        <x:v>거래처29</x:v>
      </x:c>
    </x:row>
    <x:row r="245">
      <x:c r="A245" s="92" t="n">
        <x:v>46250</x:v>
      </x:c>
      <x:c r="B245" s="73" t="str">
        <x:v>S040</x:v>
      </x:c>
      <x:c r="C245" s="73" t="str">
        <x:v>매출</x:v>
      </x:c>
      <x:c r="D245" s="98" t="n">
        <x:v>15700000</x:v>
      </x:c>
      <x:c r="E245" s="74" t="str">
        <x:v>거래처30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5" hidden="0" customWidth="1"/>
    <x:col min="4" max="4" width="15" hidden="0" customWidth="1"/>
    <x:col min="5" max="5" width="15" hidden="0" customWidth="1"/>
    <x:col min="6" max="6" width="16" hidden="0" customWidth="1"/>
    <x:col min="7" max="7" width="12" hidden="0" customWidth="1"/>
    <x:col min="8" max="8" width="15" hidden="0" customWidth="1"/>
    <x:col min="9" max="9" width="14" hidden="0" customWidth="1"/>
    <x:col min="10" max="10" width="16" hidden="0" customWidth="1"/>
  </x:cols>
  <x:sheetData>
    <x:row r="1" ht="30" customHeight="1">
      <x:c r="A1" s="5" t="str">
        <x:v>영업 수수료 계산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2" t="str">
        <x:v>매출·반품·목표를 기준으로 수수료를 계산합니다.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  <x:c r="I3" s="18"/>
      <x:c r="J3" s="18"/>
    </x:row>
    <x:row r="5" ht="28" customHeight="1">
      <x:c r="A5" s="30" t="str">
        <x:v>사원코드</x:v>
      </x:c>
      <x:c r="B5" s="61" t="str">
        <x:v>팀</x:v>
      </x:c>
      <x:c r="C5" s="61" t="str">
        <x:v>목표</x:v>
      </x:c>
      <x:c r="D5" s="61" t="str">
        <x:v>매출</x:v>
      </x:c>
      <x:c r="E5" s="61" t="str">
        <x:v>반품</x:v>
      </x:c>
      <x:c r="F5" s="61" t="str">
        <x:v>순매출</x:v>
      </x:c>
      <x:c r="G5" s="61" t="str">
        <x:v>수수료율</x:v>
      </x:c>
      <x:c r="H5" s="61" t="str">
        <x:v>수수료</x:v>
      </x:c>
      <x:c r="I5" s="61" t="str">
        <x:v>보너스</x:v>
      </x:c>
      <x:c r="J5" s="31" t="str">
        <x:v>총수수료</x:v>
      </x:c>
    </x:row>
    <x:row r="6">
      <x:c r="A6" s="67" t="str">
        <x:v>S001</x:v>
      </x:c>
      <x:c r="B6" s="68" t="str">
        <x:v>A팀</x:v>
      </x:c>
      <x:c r="C6" s="84" t="n">
        <x:v>8150000</x:v>
      </x:c>
      <x:c r="D6" s="118" t="n">
        <x:f>SUMIFS('매출내역'!$D$6:$D$245,'매출내역'!$B$6:$B$245,A6,'매출내역'!$C$6:$C$245,"매출")</x:f>
        <x:v>54300000</x:v>
      </x:c>
      <x:c r="E6" s="119" t="n">
        <x:f>SUMIFS('매출내역'!$D$6:$D$245,'매출내역'!$B$6:$B$245,A6,'매출내역'!$C$6:$C$245,"반품")</x:f>
        <x:v>6500000</x:v>
      </x:c>
      <x:c r="F6" s="119" t="n">
        <x:f>D6-E6</x:f>
        <x:v>47800000</x:v>
      </x:c>
      <x:c r="G6" s="132" t="n">
        <x:f>IF(F6&gt;=C6*1.2,0.05,IF(F6&gt;=C6,0.035,0.02))</x:f>
        <x:v>0.05</x:v>
      </x:c>
      <x:c r="H6" s="119" t="n">
        <x:f>F6*G6</x:f>
        <x:v>2390000</x:v>
      </x:c>
      <x:c r="I6" s="119" t="n">
        <x:f>IF(F6&gt;=C6*1.2,500000,0)</x:f>
        <x:v>500000</x:v>
      </x:c>
      <x:c r="J6" s="138" t="n">
        <x:f>H6+I6</x:f>
        <x:v>2890000</x:v>
      </x:c>
    </x:row>
    <x:row r="7">
      <x:c r="A7" s="70" t="str">
        <x:v>S002</x:v>
      </x:c>
      <x:c r="B7" s="66" t="str">
        <x:v>B팀</x:v>
      </x:c>
      <x:c r="C7" s="85" t="n">
        <x:v>8300000</x:v>
      </x:c>
      <x:c r="D7" s="120" t="n">
        <x:f>SUMIFS('매출내역'!$D$6:$D$245,'매출내역'!$B$6:$B$245,A7,'매출내역'!$C$6:$C$245,"매출")</x:f>
        <x:v>44100000</x:v>
      </x:c>
      <x:c r="E7" s="121" t="n">
        <x:f>SUMIFS('매출내역'!$D$6:$D$245,'매출내역'!$B$6:$B$245,A7,'매출내역'!$C$6:$C$245,"반품")</x:f>
        <x:v>0</x:v>
      </x:c>
      <x:c r="F7" s="121" t="n">
        <x:f>D7-E7</x:f>
        <x:v>44100000</x:v>
      </x:c>
      <x:c r="G7" s="133" t="n">
        <x:f>IF(F7&gt;=C7*1.2,0.05,IF(F7&gt;=C7,0.035,0.02))</x:f>
        <x:v>0.05</x:v>
      </x:c>
      <x:c r="H7" s="121" t="n">
        <x:f>F7*G7</x:f>
        <x:v>2205000</x:v>
      </x:c>
      <x:c r="I7" s="121" t="n">
        <x:f>IF(F7&gt;=C7*1.2,500000,0)</x:f>
        <x:v>500000</x:v>
      </x:c>
      <x:c r="J7" s="139" t="n">
        <x:f>H7+I7</x:f>
        <x:v>2705000</x:v>
      </x:c>
    </x:row>
    <x:row r="8">
      <x:c r="A8" s="70" t="str">
        <x:v>S003</x:v>
      </x:c>
      <x:c r="B8" s="66" t="str">
        <x:v>C팀</x:v>
      </x:c>
      <x:c r="C8" s="85" t="n">
        <x:v>8450000</x:v>
      </x:c>
      <x:c r="D8" s="120" t="n">
        <x:f>SUMIFS('매출내역'!$D$6:$D$245,'매출내역'!$B$6:$B$245,A8,'매출내역'!$C$6:$C$245,"매출")</x:f>
        <x:v>54400000</x:v>
      </x:c>
      <x:c r="E8" s="121" t="n">
        <x:f>SUMIFS('매출내역'!$D$6:$D$245,'매출내역'!$B$6:$B$245,A8,'매출내역'!$C$6:$C$245,"반품")</x:f>
        <x:v>0</x:v>
      </x:c>
      <x:c r="F8" s="121" t="n">
        <x:f>D8-E8</x:f>
        <x:v>54400000</x:v>
      </x:c>
      <x:c r="G8" s="133" t="n">
        <x:f>IF(F8&gt;=C8*1.2,0.05,IF(F8&gt;=C8,0.035,0.02))</x:f>
        <x:v>0.05</x:v>
      </x:c>
      <x:c r="H8" s="121" t="n">
        <x:f>F8*G8</x:f>
        <x:v>2720000</x:v>
      </x:c>
      <x:c r="I8" s="121" t="n">
        <x:f>IF(F8&gt;=C8*1.2,500000,0)</x:f>
        <x:v>500000</x:v>
      </x:c>
      <x:c r="J8" s="139" t="n">
        <x:f>H8+I8</x:f>
        <x:v>3220000</x:v>
      </x:c>
    </x:row>
    <x:row r="9">
      <x:c r="A9" s="70" t="str">
        <x:v>S004</x:v>
      </x:c>
      <x:c r="B9" s="66" t="str">
        <x:v>D팀</x:v>
      </x:c>
      <x:c r="C9" s="85" t="n">
        <x:v>8600000</x:v>
      </x:c>
      <x:c r="D9" s="120" t="n">
        <x:f>SUMIFS('매출내역'!$D$6:$D$245,'매출내역'!$B$6:$B$245,A9,'매출내역'!$C$6:$C$245,"매출")</x:f>
        <x:v>63900000</x:v>
      </x:c>
      <x:c r="E9" s="121" t="n">
        <x:f>SUMIFS('매출내역'!$D$6:$D$245,'매출내역'!$B$6:$B$245,A9,'매출내역'!$C$6:$C$245,"반품")</x:f>
        <x:v>0</x:v>
      </x:c>
      <x:c r="F9" s="121" t="n">
        <x:f>D9-E9</x:f>
        <x:v>63900000</x:v>
      </x:c>
      <x:c r="G9" s="133" t="n">
        <x:f>IF(F9&gt;=C9*1.2,0.05,IF(F9&gt;=C9,0.035,0.02))</x:f>
        <x:v>0.05</x:v>
      </x:c>
      <x:c r="H9" s="121" t="n">
        <x:f>F9*G9</x:f>
        <x:v>3195000</x:v>
      </x:c>
      <x:c r="I9" s="121" t="n">
        <x:f>IF(F9&gt;=C9*1.2,500000,0)</x:f>
        <x:v>500000</x:v>
      </x:c>
      <x:c r="J9" s="139" t="n">
        <x:f>H9+I9</x:f>
        <x:v>3695000</x:v>
      </x:c>
    </x:row>
    <x:row r="10">
      <x:c r="A10" s="70" t="str">
        <x:v>S005</x:v>
      </x:c>
      <x:c r="B10" s="66" t="str">
        <x:v>A팀</x:v>
      </x:c>
      <x:c r="C10" s="85" t="n">
        <x:v>8750000</x:v>
      </x:c>
      <x:c r="D10" s="120" t="n">
        <x:f>SUMIFS('매출내역'!$D$6:$D$245,'매출내역'!$B$6:$B$245,A10,'매출내역'!$C$6:$C$245,"매출")</x:f>
        <x:v>31400000</x:v>
      </x:c>
      <x:c r="E10" s="121" t="n">
        <x:f>SUMIFS('매출내역'!$D$6:$D$245,'매출내역'!$B$6:$B$245,A10,'매출내역'!$C$6:$C$245,"반품")</x:f>
        <x:v>0</x:v>
      </x:c>
      <x:c r="F10" s="121" t="n">
        <x:f>D10-E10</x:f>
        <x:v>31400000</x:v>
      </x:c>
      <x:c r="G10" s="133" t="n">
        <x:f>IF(F10&gt;=C10*1.2,0.05,IF(F10&gt;=C10,0.035,0.02))</x:f>
        <x:v>0.05</x:v>
      </x:c>
      <x:c r="H10" s="121" t="n">
        <x:f>F10*G10</x:f>
        <x:v>1570000</x:v>
      </x:c>
      <x:c r="I10" s="121" t="n">
        <x:f>IF(F10&gt;=C10*1.2,500000,0)</x:f>
        <x:v>500000</x:v>
      </x:c>
      <x:c r="J10" s="139" t="n">
        <x:f>H10+I10</x:f>
        <x:v>2070000</x:v>
      </x:c>
    </x:row>
    <x:row r="11">
      <x:c r="A11" s="70" t="str">
        <x:v>S006</x:v>
      </x:c>
      <x:c r="B11" s="66" t="str">
        <x:v>B팀</x:v>
      </x:c>
      <x:c r="C11" s="85" t="n">
        <x:v>8900000</x:v>
      </x:c>
      <x:c r="D11" s="120" t="n">
        <x:f>SUMIFS('매출내역'!$D$6:$D$245,'매출내역'!$B$6:$B$245,A11,'매출내역'!$C$6:$C$245,"매출")</x:f>
        <x:v>48900000</x:v>
      </x:c>
      <x:c r="E11" s="121" t="n">
        <x:f>SUMIFS('매출내역'!$D$6:$D$245,'매출내역'!$B$6:$B$245,A11,'매출내역'!$C$6:$C$245,"반품")</x:f>
        <x:v>0</x:v>
      </x:c>
      <x:c r="F11" s="121" t="n">
        <x:f>D11-E11</x:f>
        <x:v>48900000</x:v>
      </x:c>
      <x:c r="G11" s="133" t="n">
        <x:f>IF(F11&gt;=C11*1.2,0.05,IF(F11&gt;=C11,0.035,0.02))</x:f>
        <x:v>0.05</x:v>
      </x:c>
      <x:c r="H11" s="121" t="n">
        <x:f>F11*G11</x:f>
        <x:v>2445000</x:v>
      </x:c>
      <x:c r="I11" s="121" t="n">
        <x:f>IF(F11&gt;=C11*1.2,500000,0)</x:f>
        <x:v>500000</x:v>
      </x:c>
      <x:c r="J11" s="139" t="n">
        <x:f>H11+I11</x:f>
        <x:v>2945000</x:v>
      </x:c>
    </x:row>
    <x:row r="12">
      <x:c r="A12" s="70" t="str">
        <x:v>S007</x:v>
      </x:c>
      <x:c r="B12" s="66" t="str">
        <x:v>C팀</x:v>
      </x:c>
      <x:c r="C12" s="85" t="n">
        <x:v>9050000</x:v>
      </x:c>
      <x:c r="D12" s="120" t="n">
        <x:f>SUMIFS('매출내역'!$D$6:$D$245,'매출내역'!$B$6:$B$245,A12,'매출내역'!$C$6:$C$245,"매출")</x:f>
        <x:v>61300000</x:v>
      </x:c>
      <x:c r="E12" s="121" t="n">
        <x:f>SUMIFS('매출내역'!$D$6:$D$245,'매출내역'!$B$6:$B$245,A12,'매출내역'!$C$6:$C$245,"반품")</x:f>
        <x:v>0</x:v>
      </x:c>
      <x:c r="F12" s="121" t="n">
        <x:f>D12-E12</x:f>
        <x:v>61300000</x:v>
      </x:c>
      <x:c r="G12" s="133" t="n">
        <x:f>IF(F12&gt;=C12*1.2,0.05,IF(F12&gt;=C12,0.035,0.02))</x:f>
        <x:v>0.05</x:v>
      </x:c>
      <x:c r="H12" s="121" t="n">
        <x:f>F12*G12</x:f>
        <x:v>3065000</x:v>
      </x:c>
      <x:c r="I12" s="121" t="n">
        <x:f>IF(F12&gt;=C12*1.2,500000,0)</x:f>
        <x:v>500000</x:v>
      </x:c>
      <x:c r="J12" s="139" t="n">
        <x:f>H12+I12</x:f>
        <x:v>3565000</x:v>
      </x:c>
    </x:row>
    <x:row r="13">
      <x:c r="A13" s="70" t="str">
        <x:v>S008</x:v>
      </x:c>
      <x:c r="B13" s="66" t="str">
        <x:v>D팀</x:v>
      </x:c>
      <x:c r="C13" s="85" t="n">
        <x:v>9200000</x:v>
      </x:c>
      <x:c r="D13" s="120" t="n">
        <x:f>SUMIFS('매출내역'!$D$6:$D$245,'매출내역'!$B$6:$B$245,A13,'매출내역'!$C$6:$C$245,"매출")</x:f>
        <x:v>61900000</x:v>
      </x:c>
      <x:c r="E13" s="121" t="n">
        <x:f>SUMIFS('매출내역'!$D$6:$D$245,'매출내역'!$B$6:$B$245,A13,'매출내역'!$C$6:$C$245,"반품")</x:f>
        <x:v>0</x:v>
      </x:c>
      <x:c r="F13" s="121" t="n">
        <x:f>D13-E13</x:f>
        <x:v>61900000</x:v>
      </x:c>
      <x:c r="G13" s="133" t="n">
        <x:f>IF(F13&gt;=C13*1.2,0.05,IF(F13&gt;=C13,0.035,0.02))</x:f>
        <x:v>0.05</x:v>
      </x:c>
      <x:c r="H13" s="121" t="n">
        <x:f>F13*G13</x:f>
        <x:v>3095000</x:v>
      </x:c>
      <x:c r="I13" s="121" t="n">
        <x:f>IF(F13&gt;=C13*1.2,500000,0)</x:f>
        <x:v>500000</x:v>
      </x:c>
      <x:c r="J13" s="139" t="n">
        <x:f>H13+I13</x:f>
        <x:v>3595000</x:v>
      </x:c>
    </x:row>
    <x:row r="14">
      <x:c r="A14" s="70" t="str">
        <x:v>S009</x:v>
      </x:c>
      <x:c r="B14" s="66" t="str">
        <x:v>A팀</x:v>
      </x:c>
      <x:c r="C14" s="85" t="n">
        <x:v>9350000</x:v>
      </x:c>
      <x:c r="D14" s="120" t="n">
        <x:f>SUMIFS('매출내역'!$D$6:$D$245,'매출내역'!$B$6:$B$245,A14,'매출내역'!$C$6:$C$245,"매출")</x:f>
        <x:v>51800000</x:v>
      </x:c>
      <x:c r="E14" s="121" t="n">
        <x:f>SUMIFS('매출내역'!$D$6:$D$245,'매출내역'!$B$6:$B$245,A14,'매출내역'!$C$6:$C$245,"반품")</x:f>
        <x:v>15300000</x:v>
      </x:c>
      <x:c r="F14" s="121" t="n">
        <x:f>SUM(D14:E14)</x:f>
        <x:v>67100000</x:v>
      </x:c>
      <x:c r="G14" s="133" t="n">
        <x:f>IF(F14&gt;=C14*1.2,0.05,IF(F14&gt;=C14,0.035,0.02))</x:f>
        <x:v>0.05</x:v>
      </x:c>
      <x:c r="H14" s="121" t="n">
        <x:f>F14*G14</x:f>
        <x:v>3355000</x:v>
      </x:c>
      <x:c r="I14" s="121" t="n">
        <x:f>IF(F14&gt;=C14*1.2,500000,0)</x:f>
        <x:v>500000</x:v>
      </x:c>
      <x:c r="J14" s="139" t="n">
        <x:f>H14+I14</x:f>
        <x:v>3855000</x:v>
      </x:c>
    </x:row>
    <x:row r="15">
      <x:c r="A15" s="70" t="str">
        <x:v>S010</x:v>
      </x:c>
      <x:c r="B15" s="66" t="str">
        <x:v>B팀</x:v>
      </x:c>
      <x:c r="C15" s="85" t="n">
        <x:v>9500000</x:v>
      </x:c>
      <x:c r="D15" s="120" t="n">
        <x:f>SUMIFS('매출내역'!$D$6:$D$245,'매출내역'!$B$6:$B$245,A15,'매출내역'!$C$6:$C$245,"매출")</x:f>
        <x:v>39200000</x:v>
      </x:c>
      <x:c r="E15" s="121" t="n">
        <x:f>SUMIFS('매출내역'!$D$6:$D$245,'매출내역'!$B$6:$B$245,A15,'매출내역'!$C$6:$C$245,"반품")</x:f>
        <x:v>4300000</x:v>
      </x:c>
      <x:c r="F15" s="121" t="n">
        <x:f>D15-E15</x:f>
        <x:v>34900000</x:v>
      </x:c>
      <x:c r="G15" s="133" t="n">
        <x:f>IF(F15&gt;=C15*1.2,0.05,IF(F15&gt;=C15,0.035,0.02))</x:f>
        <x:v>0.05</x:v>
      </x:c>
      <x:c r="H15" s="121" t="n">
        <x:f>F15*G15</x:f>
        <x:v>1745000</x:v>
      </x:c>
      <x:c r="I15" s="121" t="n">
        <x:f>IF(F15&gt;=C15*1.2,500000,0)</x:f>
        <x:v>500000</x:v>
      </x:c>
      <x:c r="J15" s="139" t="n">
        <x:f>H15+I15</x:f>
        <x:v>2245000</x:v>
      </x:c>
    </x:row>
    <x:row r="16">
      <x:c r="A16" s="70" t="str">
        <x:v>S011</x:v>
      </x:c>
      <x:c r="B16" s="66" t="str">
        <x:v>C팀</x:v>
      </x:c>
      <x:c r="C16" s="85" t="n">
        <x:v>9650000</x:v>
      </x:c>
      <x:c r="D16" s="120" t="n">
        <x:f>SUMIFS('매출내역'!$D$6:$D$245,'매출내역'!$B$6:$B$245,A16,'매출내역'!$C$6:$C$245,"매출")</x:f>
        <x:v>50200000</x:v>
      </x:c>
      <x:c r="E16" s="121" t="n">
        <x:f>SUMIFS('매출내역'!$D$6:$D$245,'매출내역'!$B$6:$B$245,A16,'매출내역'!$C$6:$C$245,"반품")</x:f>
        <x:v>8400000</x:v>
      </x:c>
      <x:c r="F16" s="121" t="n">
        <x:f>D16-E16</x:f>
        <x:v>41800000</x:v>
      </x:c>
      <x:c r="G16" s="133" t="n">
        <x:f>IF(F16&gt;=C16*1.2,0.05,IF(F16&gt;=C16,0.035,0.02))</x:f>
        <x:v>0.05</x:v>
      </x:c>
      <x:c r="H16" s="121" t="n">
        <x:f>F16*G16</x:f>
        <x:v>2090000</x:v>
      </x:c>
      <x:c r="I16" s="121" t="n">
        <x:f>IF(F16&gt;=C16*1.2,500000,0)</x:f>
        <x:v>500000</x:v>
      </x:c>
      <x:c r="J16" s="139" t="n">
        <x:f>H16+I16</x:f>
        <x:v>2590000</x:v>
      </x:c>
    </x:row>
    <x:row r="17">
      <x:c r="A17" s="70" t="str">
        <x:v>S012</x:v>
      </x:c>
      <x:c r="B17" s="66" t="str">
        <x:v>D팀</x:v>
      </x:c>
      <x:c r="C17" s="85" t="n">
        <x:v>9800000</x:v>
      </x:c>
      <x:c r="D17" s="120" t="n">
        <x:f>SUMIFS('매출내역'!$D$6:$D$245,'매출내역'!$B$6:$B$245,A17,'매출내역'!$C$6:$C$245,"매출")</x:f>
        <x:v>66300000</x:v>
      </x:c>
      <x:c r="E17" s="121" t="n">
        <x:f>SUMIFS('매출내역'!$D$6:$D$245,'매출내역'!$B$6:$B$245,A17,'매출내역'!$C$6:$C$245,"반품")</x:f>
        <x:v>15200000</x:v>
      </x:c>
      <x:c r="F17" s="121" t="n">
        <x:f>D17-E17</x:f>
        <x:v>51100000</x:v>
      </x:c>
      <x:c r="G17" s="133" t="n">
        <x:f>IF(F17&gt;=C17*1.2,0.05,IF(F17&gt;=C17,0.035,0.02))</x:f>
        <x:v>0.05</x:v>
      </x:c>
      <x:c r="H17" s="121" t="n">
        <x:f>F17*G17</x:f>
        <x:v>2555000</x:v>
      </x:c>
      <x:c r="I17" s="121" t="n">
        <x:f>IF(F17&gt;=C17*1.2,500000,0)</x:f>
        <x:v>500000</x:v>
      </x:c>
      <x:c r="J17" s="139" t="n">
        <x:f>H17+I17</x:f>
        <x:v>3055000</x:v>
      </x:c>
    </x:row>
    <x:row r="18">
      <x:c r="A18" s="70" t="str">
        <x:v>S013</x:v>
      </x:c>
      <x:c r="B18" s="66" t="str">
        <x:v>A팀</x:v>
      </x:c>
      <x:c r="C18" s="85" t="n">
        <x:v>9950000</x:v>
      </x:c>
      <x:c r="D18" s="120" t="n">
        <x:f>SUMIFS('매출내역'!$D$6:$D$245,'매출내역'!$B$6:$B$245,A18,'매출내역'!$C$6:$C$245,"매출")</x:f>
        <x:v>40500000</x:v>
      </x:c>
      <x:c r="E18" s="121" t="n">
        <x:f>SUMIFS('매출내역'!$D$6:$D$245,'매출내역'!$B$6:$B$245,A18,'매출내역'!$C$6:$C$245,"반품")</x:f>
        <x:v>8200000</x:v>
      </x:c>
      <x:c r="F18" s="121" t="n">
        <x:f>D18-E18</x:f>
        <x:v>32300000</x:v>
      </x:c>
      <x:c r="G18" s="133" t="n">
        <x:f>IF(F18&gt;=C18*1.2,0.05,IF(F18&gt;=C18,0.035,0.02))</x:f>
        <x:v>0.05</x:v>
      </x:c>
      <x:c r="H18" s="121" t="n">
        <x:f>F18*G18</x:f>
        <x:v>1615000</x:v>
      </x:c>
      <x:c r="I18" s="121" t="n">
        <x:f>IF(F18&gt;=C18*1.2,500000,0)</x:f>
        <x:v>500000</x:v>
      </x:c>
      <x:c r="J18" s="139" t="n">
        <x:f>H18+I18</x:f>
        <x:v>2115000</x:v>
      </x:c>
    </x:row>
    <x:row r="19">
      <x:c r="A19" s="70" t="str">
        <x:v>S014</x:v>
      </x:c>
      <x:c r="B19" s="66" t="str">
        <x:v>B팀</x:v>
      </x:c>
      <x:c r="C19" s="85" t="n">
        <x:v>10100000</x:v>
      </x:c>
      <x:c r="D19" s="120" t="n">
        <x:f>SUMIFS('매출내역'!$D$6:$D$245,'매출내역'!$B$6:$B$245,A19,'매출내역'!$C$6:$C$245,"매출")</x:f>
        <x:v>61200000</x:v>
      </x:c>
      <x:c r="E19" s="121" t="n">
        <x:f>SUMIFS('매출내역'!$D$6:$D$245,'매출내역'!$B$6:$B$245,A19,'매출내역'!$C$6:$C$245,"반품")</x:f>
        <x:v>6000000</x:v>
      </x:c>
      <x:c r="F19" s="121" t="n">
        <x:f>D19-E19</x:f>
        <x:v>55200000</x:v>
      </x:c>
      <x:c r="G19" s="133" t="n">
        <x:f>IF(F19&gt;=C19*1.2,0.05,IF(F19&gt;=C19,0.035,0.02))</x:f>
        <x:v>0.05</x:v>
      </x:c>
      <x:c r="H19" s="121" t="n">
        <x:f>F19*G19</x:f>
        <x:v>2760000</x:v>
      </x:c>
      <x:c r="I19" s="121" t="n">
        <x:f>IF(F19&gt;=C19*1.2,500000,0)</x:f>
        <x:v>500000</x:v>
      </x:c>
      <x:c r="J19" s="139" t="n">
        <x:f>H19+I19</x:f>
        <x:v>3260000</x:v>
      </x:c>
    </x:row>
    <x:row r="20">
      <x:c r="A20" s="70" t="str">
        <x:v>S015</x:v>
      </x:c>
      <x:c r="B20" s="66" t="str">
        <x:v>C팀</x:v>
      </x:c>
      <x:c r="C20" s="85" t="n">
        <x:v>10250000</x:v>
      </x:c>
      <x:c r="D20" s="120" t="n">
        <x:f>SUMIFS('매출내역'!$D$6:$D$245,'매출내역'!$B$6:$B$245,A20,'매출내역'!$C$6:$C$245,"매출")</x:f>
        <x:v>48500000</x:v>
      </x:c>
      <x:c r="E20" s="121" t="n">
        <x:f>SUMIFS('매출내역'!$D$6:$D$245,'매출내역'!$B$6:$B$245,A20,'매출내역'!$C$6:$C$245,"반품")</x:f>
        <x:v>0</x:v>
      </x:c>
      <x:c r="F20" s="121" t="n">
        <x:f>D20-E20</x:f>
        <x:v>48500000</x:v>
      </x:c>
      <x:c r="G20" s="133" t="n">
        <x:f>IF(F20&gt;=C20*1.2,0.05,IF(F20&gt;=C20,0.035,0.02))</x:f>
        <x:v>0.05</x:v>
      </x:c>
      <x:c r="H20" s="121" t="n">
        <x:f>F20*G20</x:f>
        <x:v>2425000</x:v>
      </x:c>
      <x:c r="I20" s="121" t="n">
        <x:f>IF(F20&gt;=C20*1.2,500000,0)</x:f>
        <x:v>500000</x:v>
      </x:c>
      <x:c r="J20" s="139" t="n">
        <x:f>H20+I20</x:f>
        <x:v>2925000</x:v>
      </x:c>
    </x:row>
    <x:row r="21">
      <x:c r="A21" s="70" t="str">
        <x:v>S016</x:v>
      </x:c>
      <x:c r="B21" s="66" t="str">
        <x:v>D팀</x:v>
      </x:c>
      <x:c r="C21" s="85" t="n">
        <x:v>10400000</x:v>
      </x:c>
      <x:c r="D21" s="120" t="n">
        <x:f>SUMIFS('매출내역'!$D$6:$D$245,'매출내역'!$B$6:$B$245,A21,'매출내역'!$C$6:$C$245,"매출")</x:f>
        <x:v>53500000</x:v>
      </x:c>
      <x:c r="E21" s="121" t="n">
        <x:f>SUMIFS('매출내역'!$D$6:$D$245,'매출내역'!$B$6:$B$245,A21,'매출내역'!$C$6:$C$245,"반품")</x:f>
        <x:v>0</x:v>
      </x:c>
      <x:c r="F21" s="121" t="n">
        <x:f>D21-E21</x:f>
        <x:v>53500000</x:v>
      </x:c>
      <x:c r="G21" s="133" t="n">
        <x:f>IF(F21&gt;=C21*1.2,0.05,IF(F21&gt;=C21,0.035,0.02))</x:f>
        <x:v>0.05</x:v>
      </x:c>
      <x:c r="H21" s="121" t="n">
        <x:f>F21*G21</x:f>
        <x:v>2675000</x:v>
      </x:c>
      <x:c r="I21" s="121" t="n">
        <x:f>IF(F21&gt;=C21*1.2,500000,0)</x:f>
        <x:v>500000</x:v>
      </x:c>
      <x:c r="J21" s="139" t="n">
        <x:f>H21+I21</x:f>
        <x:v>3175000</x:v>
      </x:c>
    </x:row>
    <x:row r="22">
      <x:c r="A22" s="70" t="str">
        <x:v>S017</x:v>
      </x:c>
      <x:c r="B22" s="66" t="str">
        <x:v>A팀</x:v>
      </x:c>
      <x:c r="C22" s="85" t="n">
        <x:v>10550000</x:v>
      </x:c>
      <x:c r="D22" s="120" t="n">
        <x:f>SUMIFS('매출내역'!$D$6:$D$245,'매출내역'!$B$6:$B$245,A22,'매출내역'!$C$6:$C$245,"매출")</x:f>
        <x:v>62700000</x:v>
      </x:c>
      <x:c r="E22" s="121" t="n">
        <x:f>SUMIFS('매출내역'!$D$6:$D$245,'매출내역'!$B$6:$B$245,A22,'매출내역'!$C$6:$C$245,"반품")</x:f>
        <x:v>0</x:v>
      </x:c>
      <x:c r="F22" s="121" t="n">
        <x:f>D22-E22</x:f>
        <x:v>62700000</x:v>
      </x:c>
      <x:c r="G22" s="133" t="n">
        <x:f>IF(F21&gt;=C22*1.2,0.05,IF(F21&gt;=C22,0.035,0.02))</x:f>
        <x:v>0.05</x:v>
      </x:c>
      <x:c r="H22" s="121" t="n">
        <x:f>F22*G22</x:f>
        <x:v>3135000</x:v>
      </x:c>
      <x:c r="I22" s="121" t="n">
        <x:f>IF(F22&gt;=C22*1.2,500000,0)</x:f>
        <x:v>500000</x:v>
      </x:c>
      <x:c r="J22" s="139" t="n">
        <x:f>H22+I22</x:f>
        <x:v>3635000</x:v>
      </x:c>
    </x:row>
    <x:row r="23">
      <x:c r="A23" s="70" t="str">
        <x:v>S018</x:v>
      </x:c>
      <x:c r="B23" s="66" t="str">
        <x:v>B팀</x:v>
      </x:c>
      <x:c r="C23" s="85" t="n">
        <x:v>10700000</x:v>
      </x:c>
      <x:c r="D23" s="120" t="n">
        <x:f>SUMIFS('매출내역'!$D$6:$D$245,'매출내역'!$B$6:$B$245,A23,'매출내역'!$C$6:$C$245,"매출")</x:f>
        <x:v>50000000</x:v>
      </x:c>
      <x:c r="E23" s="121" t="n">
        <x:f>SUMIFS('매출내역'!$D$6:$D$245,'매출내역'!$B$6:$B$245,A23,'매출내역'!$C$6:$C$245,"반품")</x:f>
        <x:v>0</x:v>
      </x:c>
      <x:c r="F23" s="121" t="n">
        <x:f>D23-E23</x:f>
        <x:v>50000000</x:v>
      </x:c>
      <x:c r="G23" s="133" t="n">
        <x:f>IF(F23&gt;=C23*1.2,0.05,IF(F23&gt;=C23,0.035,0.02))</x:f>
        <x:v>0.05</x:v>
      </x:c>
      <x:c r="H23" s="121" t="n">
        <x:f>F23*G23</x:f>
        <x:v>2500000</x:v>
      </x:c>
      <x:c r="I23" s="121" t="n">
        <x:f>IF(F23&gt;=C23*1.2,500000,0)</x:f>
        <x:v>500000</x:v>
      </x:c>
      <x:c r="J23" s="139" t="n">
        <x:f>H23+I23</x:f>
        <x:v>3000000</x:v>
      </x:c>
    </x:row>
    <x:row r="24">
      <x:c r="A24" s="70" t="str">
        <x:v>S019</x:v>
      </x:c>
      <x:c r="B24" s="66" t="str">
        <x:v>C팀</x:v>
      </x:c>
      <x:c r="C24" s="85" t="n">
        <x:v>10850000</x:v>
      </x:c>
      <x:c r="D24" s="120" t="n">
        <x:f>SUMIFS('매출내역'!$D$6:$D$245,'매출내역'!$B$6:$B$245,A24,'매출내역'!$C$6:$C$245,"매출")</x:f>
        <x:v>76000000</x:v>
      </x:c>
      <x:c r="E24" s="121" t="n">
        <x:f>SUMIFS('매출내역'!$D$6:$D$245,'매출내역'!$B$6:$B$245,A24,'매출내역'!$C$6:$C$245,"반품")</x:f>
        <x:v>0</x:v>
      </x:c>
      <x:c r="F24" s="121" t="n">
        <x:f>D24-E24</x:f>
        <x:v>76000000</x:v>
      </x:c>
      <x:c r="G24" s="133" t="n">
        <x:f>IF(F24&gt;=C24*1.2,0.05,IF(F24&gt;=C24,0.035,0.02))</x:f>
        <x:v>0.05</x:v>
      </x:c>
      <x:c r="H24" s="121" t="n">
        <x:f>F24*G24</x:f>
        <x:v>3800000</x:v>
      </x:c>
      <x:c r="I24" s="121" t="n">
        <x:f>IF(F24&gt;=C24*1.2,500000,0)</x:f>
        <x:v>500000</x:v>
      </x:c>
      <x:c r="J24" s="139" t="n">
        <x:f>H24+I24</x:f>
        <x:v>4300000</x:v>
      </x:c>
    </x:row>
    <x:row r="25">
      <x:c r="A25" s="70" t="str">
        <x:v>S020</x:v>
      </x:c>
      <x:c r="B25" s="66" t="str">
        <x:v>D팀</x:v>
      </x:c>
      <x:c r="C25" s="85" t="n">
        <x:v>11000000</x:v>
      </x:c>
      <x:c r="D25" s="120" t="n">
        <x:f>SUMIFS('매출내역'!$D$6:$D$245,'매출내역'!$B$6:$B$245,A25,'매출내역'!$C$6:$C$245,"매출")</x:f>
        <x:v>52800000</x:v>
      </x:c>
      <x:c r="E25" s="121" t="n">
        <x:f>SUMIFS('매출내역'!$D$6:$D$245,'매출내역'!$B$6:$B$245,A25,'매출내역'!$C$6:$C$245,"반품")</x:f>
        <x:v>0</x:v>
      </x:c>
      <x:c r="F25" s="121" t="n">
        <x:f>D25-E25</x:f>
        <x:v>52800000</x:v>
      </x:c>
      <x:c r="G25" s="133" t="n">
        <x:f>IF(F25&gt;=C25*1.2,0.05,IF(F25&gt;=C25,0.035,0.02))</x:f>
        <x:v>0.05</x:v>
      </x:c>
      <x:c r="H25" s="121" t="n">
        <x:f>F25*G25</x:f>
        <x:v>2640000</x:v>
      </x:c>
      <x:c r="I25" s="121" t="n">
        <x:f>IF(F25&gt;=C25*1.2,500000,0)</x:f>
        <x:v>500000</x:v>
      </x:c>
      <x:c r="J25" s="139" t="n">
        <x:f>H25+I25</x:f>
        <x:v>3140000</x:v>
      </x:c>
    </x:row>
    <x:row r="26">
      <x:c r="A26" s="70" t="str">
        <x:v>S021</x:v>
      </x:c>
      <x:c r="B26" s="66" t="str">
        <x:v>A팀</x:v>
      </x:c>
      <x:c r="C26" s="85" t="n">
        <x:v>11150000</x:v>
      </x:c>
      <x:c r="D26" s="120" t="n">
        <x:f>SUMIFS('매출내역'!$D$6:$D$245,'매출내역'!$B$6:$B$245,A26,'매출내역'!$C$6:$C$245,"매출")</x:f>
        <x:v>63800000</x:v>
      </x:c>
      <x:c r="E26" s="121" t="n">
        <x:f>SUMIFS('매출내역'!$D$6:$D$245,'매출내역'!$B$6:$B$245,A26,'매출내역'!$C$6:$C$245,"반품")</x:f>
        <x:v>0</x:v>
      </x:c>
      <x:c r="F26" s="121" t="n">
        <x:f>D26-E26</x:f>
        <x:v>63800000</x:v>
      </x:c>
      <x:c r="G26" s="133" t="n">
        <x:f>IF(F26&gt;=C26*1.2,0.05,IF(F26&gt;=C26,0.035,0.02))</x:f>
        <x:v>0.05</x:v>
      </x:c>
      <x:c r="H26" s="121" t="n">
        <x:f>F26*G26</x:f>
        <x:v>3190000</x:v>
      </x:c>
      <x:c r="I26" s="121" t="n">
        <x:f>IF(F26&gt;=C26*1.2,500000,0)</x:f>
        <x:v>500000</x:v>
      </x:c>
      <x:c r="J26" s="139" t="n">
        <x:f>H26+I26</x:f>
        <x:v>3690000</x:v>
      </x:c>
    </x:row>
    <x:row r="27">
      <x:c r="A27" s="70" t="str">
        <x:v>S022</x:v>
      </x:c>
      <x:c r="B27" s="66" t="str">
        <x:v>B팀</x:v>
      </x:c>
      <x:c r="C27" s="85" t="n">
        <x:v>11300000</x:v>
      </x:c>
      <x:c r="D27" s="120" t="n">
        <x:f>SUMIFS('매출내역'!$D$6:$D$245,'매출내역'!$B$6:$B$245,A27,'매출내역'!$C$6:$C$245,"매출")</x:f>
        <x:v>69700000</x:v>
      </x:c>
      <x:c r="E27" s="121" t="n">
        <x:f>SUMIFS('매출내역'!$D$6:$D$245,'매출내역'!$B$6:$B$245,A27,'매출내역'!$C$6:$C$245,"반품")</x:f>
        <x:v>5400000</x:v>
      </x:c>
      <x:c r="F27" s="121" t="n">
        <x:f>D27-E27</x:f>
        <x:v>64300000</x:v>
      </x:c>
      <x:c r="G27" s="133" t="n">
        <x:f>IF(F27&gt;=C27*1.2,0.05,IF(F27&gt;=C27,0.035,0.02))</x:f>
        <x:v>0.05</x:v>
      </x:c>
      <x:c r="H27" s="121" t="n">
        <x:f>F27*G27</x:f>
        <x:v>3215000</x:v>
      </x:c>
      <x:c r="I27" s="121" t="n">
        <x:f>IF(F27&gt;=C27*1.2,500000,0)</x:f>
        <x:v>500000</x:v>
      </x:c>
      <x:c r="J27" s="139" t="n">
        <x:f>H27+I27</x:f>
        <x:v>3715000</x:v>
      </x:c>
    </x:row>
    <x:row r="28">
      <x:c r="A28" s="70" t="str">
        <x:v>S023</x:v>
      </x:c>
      <x:c r="B28" s="66" t="str">
        <x:v>C팀</x:v>
      </x:c>
      <x:c r="C28" s="85" t="n">
        <x:v>11450000</x:v>
      </x:c>
      <x:c r="D28" s="120" t="n">
        <x:f>SUMIFS('매출내역'!$D$6:$D$245,'매출내역'!$B$6:$B$245,A28,'매출내역'!$C$6:$C$245,"매출")</x:f>
        <x:v>58800000</x:v>
      </x:c>
      <x:c r="E28" s="121" t="n">
        <x:f>SUMIFS('매출내역'!$D$6:$D$245,'매출내역'!$B$6:$B$245,A28,'매출내역'!$C$6:$C$245,"반품")</x:f>
        <x:v>12800000</x:v>
      </x:c>
      <x:c r="F28" s="121" t="n">
        <x:f>D28-E28</x:f>
        <x:v>46000000</x:v>
      </x:c>
      <x:c r="G28" s="133" t="n">
        <x:f>IF(F28&gt;=C28*1.2,0.05,IF(F28&gt;=C28,0.035,0.02))</x:f>
        <x:v>0.05</x:v>
      </x:c>
      <x:c r="H28" s="121" t="n">
        <x:f>F28*G28</x:f>
        <x:v>2300000</x:v>
      </x:c>
      <x:c r="I28" s="121" t="n">
        <x:f>IF(F28&gt;=C28*1.2,500000,0)</x:f>
        <x:v>500000</x:v>
      </x:c>
      <x:c r="J28" s="139" t="n">
        <x:f>H28+I28</x:f>
        <x:v>2800000</x:v>
      </x:c>
    </x:row>
    <x:row r="29">
      <x:c r="A29" s="70" t="str">
        <x:v>S024</x:v>
      </x:c>
      <x:c r="B29" s="66" t="str">
        <x:v>D팀</x:v>
      </x:c>
      <x:c r="C29" s="85" t="n">
        <x:v>11600000</x:v>
      </x:c>
      <x:c r="D29" s="120" t="n">
        <x:f>SUMIFS('매출내역'!$D$6:$D$245,'매출내역'!$B$6:$B$245,A29,'매출내역'!$C$6:$C$245,"매출")</x:f>
        <x:v>59600000</x:v>
      </x:c>
      <x:c r="E29" s="121" t="n">
        <x:f>SUMIFS('매출내역'!$D$6:$D$245,'매출내역'!$B$6:$B$245,A29,'매출내역'!$C$6:$C$245,"반품")</x:f>
        <x:v>16600000</x:v>
      </x:c>
      <x:c r="F29" s="121" t="n">
        <x:f>D29-E29</x:f>
        <x:v>43000000</x:v>
      </x:c>
      <x:c r="G29" s="133" t="n">
        <x:f>IF(F29&gt;=C29*1.2,0.05,IF(F29&gt;=C29,0.035,0.02))</x:f>
        <x:v>0.05</x:v>
      </x:c>
      <x:c r="H29" s="121" t="n">
        <x:f>F29*G29</x:f>
        <x:v>2150000</x:v>
      </x:c>
      <x:c r="I29" s="121" t="n">
        <x:f>IF(F29&gt;=C29*1.2,500000,0)</x:f>
        <x:v>500000</x:v>
      </x:c>
      <x:c r="J29" s="139" t="n">
        <x:f>H29+I29</x:f>
        <x:v>2650000</x:v>
      </x:c>
    </x:row>
    <x:row r="30">
      <x:c r="A30" s="70" t="str">
        <x:v>S025</x:v>
      </x:c>
      <x:c r="B30" s="66" t="str">
        <x:v>A팀</x:v>
      </x:c>
      <x:c r="C30" s="85" t="n">
        <x:v>11750000</x:v>
      </x:c>
      <x:c r="D30" s="120" t="n">
        <x:f>SUMIFS('매출내역'!$D$6:$D$245,'매출내역'!$B$6:$B$245,A30,'매출내역'!$C$6:$C$245,"매출")</x:f>
        <x:v>60000000</x:v>
      </x:c>
      <x:c r="E30" s="121" t="n">
        <x:f>SUMIFS('매출내역'!$D$6:$D$245,'매출내역'!$B$6:$B$245,A30,'매출내역'!$C$6:$C$245,"반품")</x:f>
        <x:v>13000000</x:v>
      </x:c>
      <x:c r="F30" s="121" t="n">
        <x:f>D30-E30</x:f>
        <x:v>47000000</x:v>
      </x:c>
      <x:c r="G30" s="133" t="n">
        <x:f>IF(F30&gt;=C30*1.2,0.05,IF(F30&gt;=C30,0.035,0.02))</x:f>
        <x:v>0.05</x:v>
      </x:c>
      <x:c r="H30" s="121" t="n">
        <x:f>F30*G30</x:f>
        <x:v>2350000</x:v>
      </x:c>
      <x:c r="I30" s="121" t="n">
        <x:f>IF(F30&gt;=C30*1.2,500000,0)</x:f>
        <x:v>500000</x:v>
      </x:c>
      <x:c r="J30" s="139" t="n">
        <x:f>H30+I30</x:f>
        <x:v>2850000</x:v>
      </x:c>
    </x:row>
    <x:row r="31">
      <x:c r="A31" s="70" t="str">
        <x:v>S026</x:v>
      </x:c>
      <x:c r="B31" s="66" t="str">
        <x:v>B팀</x:v>
      </x:c>
      <x:c r="C31" s="85" t="n">
        <x:v>11900000</x:v>
      </x:c>
      <x:c r="D31" s="120" t="n">
        <x:f>SUMIFS('매출내역'!$D$6:$D$245,'매출내역'!$B$6:$B$245,A31,'매출내역'!$C$6:$C$245,"매출")</x:f>
        <x:v>62500000</x:v>
      </x:c>
      <x:c r="E31" s="121" t="n">
        <x:f>SUMIFS('매출내역'!$D$6:$D$245,'매출내역'!$B$6:$B$245,A31,'매출내역'!$C$6:$C$245,"반품")</x:f>
        <x:v>10000000</x:v>
      </x:c>
      <x:c r="F31" s="121" t="n">
        <x:f>D31-E31</x:f>
        <x:v>52500000</x:v>
      </x:c>
      <x:c r="G31" s="133" t="n">
        <x:f>IF(F31&gt;=C31*1.2,0.05,IF(F31&gt;=C31,0.035,0.02))</x:f>
        <x:v>0.05</x:v>
      </x:c>
      <x:c r="H31" s="121" t="n">
        <x:v>860000</x:v>
      </x:c>
      <x:c r="I31" s="121" t="n">
        <x:f>IF(F31&gt;=C31*1.2,500000,0)</x:f>
        <x:v>500000</x:v>
      </x:c>
      <x:c r="J31" s="139" t="n">
        <x:f>H31+I31</x:f>
        <x:v>1360000</x:v>
      </x:c>
    </x:row>
    <x:row r="32">
      <x:c r="A32" s="70" t="str">
        <x:v>S027</x:v>
      </x:c>
      <x:c r="B32" s="66" t="str">
        <x:v>C팀</x:v>
      </x:c>
      <x:c r="C32" s="85" t="n">
        <x:v>12050000</x:v>
      </x:c>
      <x:c r="D32" s="120" t="n">
        <x:f>SUMIFS('매출내역'!$D$6:$D$245,'매출내역'!$B$6:$B$245,A32,'매출내역'!$C$6:$C$245,"매출")</x:f>
        <x:v>66800000</x:v>
      </x:c>
      <x:c r="E32" s="121" t="n">
        <x:f>SUMIFS('매출내역'!$D$6:$D$245,'매출내역'!$B$6:$B$245,A32,'매출내역'!$C$6:$C$245,"반품")</x:f>
        <x:v>6300000</x:v>
      </x:c>
      <x:c r="F32" s="121" t="n">
        <x:f>D32-E32</x:f>
        <x:v>60500000</x:v>
      </x:c>
      <x:c r="G32" s="133" t="n">
        <x:f>IF(F32&gt;=C32*1.2,0.05,IF(F32&gt;=C32,0.035,0.02))</x:f>
        <x:v>0.05</x:v>
      </x:c>
      <x:c r="H32" s="121" t="n">
        <x:f>F32*G32</x:f>
        <x:v>3025000</x:v>
      </x:c>
      <x:c r="I32" s="121" t="n">
        <x:f>IF(F32&gt;=C32*1.2,500000,0)</x:f>
        <x:v>500000</x:v>
      </x:c>
      <x:c r="J32" s="139" t="n">
        <x:f>H32+I32</x:f>
        <x:v>3525000</x:v>
      </x:c>
    </x:row>
    <x:row r="33">
      <x:c r="A33" s="70" t="str">
        <x:v>S028</x:v>
      </x:c>
      <x:c r="B33" s="66" t="str">
        <x:v>D팀</x:v>
      </x:c>
      <x:c r="C33" s="85" t="n">
        <x:v>12200000</x:v>
      </x:c>
      <x:c r="D33" s="120" t="n">
        <x:f>SUMIFS('매출내역'!$D$6:$D$245,'매출내역'!$B$6:$B$245,A33,'매출내역'!$C$6:$C$245,"매출")</x:f>
        <x:v>75300000</x:v>
      </x:c>
      <x:c r="E33" s="121" t="n">
        <x:f>SUMIFS('매출내역'!$D$6:$D$245,'매출내역'!$B$6:$B$245,A33,'매출내역'!$C$6:$C$245,"반품")</x:f>
        <x:v>0</x:v>
      </x:c>
      <x:c r="F33" s="121" t="n">
        <x:f>D33-E33</x:f>
        <x:v>75300000</x:v>
      </x:c>
      <x:c r="G33" s="133" t="n">
        <x:f>IF(F33&gt;=C33*1.2,0.05,IF(F33&gt;=C33,0.035,0.02))</x:f>
        <x:v>0.05</x:v>
      </x:c>
      <x:c r="H33" s="121" t="n">
        <x:f>F33*G33</x:f>
        <x:v>3765000</x:v>
      </x:c>
      <x:c r="I33" s="121" t="n">
        <x:f>IF(F33&gt;=C33*1.2,500000,0)</x:f>
        <x:v>500000</x:v>
      </x:c>
      <x:c r="J33" s="139" t="n">
        <x:f>H33+I33</x:f>
        <x:v>4265000</x:v>
      </x:c>
    </x:row>
    <x:row r="34">
      <x:c r="A34" s="70" t="str">
        <x:v>S029</x:v>
      </x:c>
      <x:c r="B34" s="66" t="str">
        <x:v>A팀</x:v>
      </x:c>
      <x:c r="C34" s="85" t="n">
        <x:v>12350000</x:v>
      </x:c>
      <x:c r="D34" s="120" t="n">
        <x:f>SUMIFS('매출내역'!$D$6:$D$245,'매출내역'!$B$6:$B$245,A34,'매출내역'!$C$6:$C$245,"매출")</x:f>
        <x:v>55600000</x:v>
      </x:c>
      <x:c r="E34" s="121" t="n">
        <x:f>SUMIFS('매출내역'!$D$6:$D$245,'매출내역'!$B$6:$B$245,A34,'매출내역'!$C$6:$C$245,"반품")</x:f>
        <x:v>0</x:v>
      </x:c>
      <x:c r="F34" s="121" t="n">
        <x:f>D34-E34</x:f>
        <x:v>55600000</x:v>
      </x:c>
      <x:c r="G34" s="133" t="n">
        <x:f>IF(F34&gt;=C34*1.2,0.05,IF(F34&gt;=C34,0.035,0.02))</x:f>
        <x:v>0.05</x:v>
      </x:c>
      <x:c r="H34" s="121" t="n">
        <x:f>F34*G34</x:f>
        <x:v>2780000</x:v>
      </x:c>
      <x:c r="I34" s="121" t="n">
        <x:f>IF(F34&gt;=C34*1.2,500000,0)</x:f>
        <x:v>500000</x:v>
      </x:c>
      <x:c r="J34" s="139" t="n">
        <x:f>H34+I34</x:f>
        <x:v>3280000</x:v>
      </x:c>
    </x:row>
    <x:row r="35">
      <x:c r="A35" s="70" t="str">
        <x:v>S030</x:v>
      </x:c>
      <x:c r="B35" s="66" t="str">
        <x:v>B팀</x:v>
      </x:c>
      <x:c r="C35" s="85" t="n">
        <x:v>12500000</x:v>
      </x:c>
      <x:c r="D35" s="120" t="n">
        <x:f>SUMIFS('매출내역'!$D$6:$D$245,'매출내역'!$B$6:$B$245,A35,'매출내역'!$C$6:$C$245,"매출")</x:f>
        <x:v>61600000</x:v>
      </x:c>
      <x:c r="E35" s="121" t="n">
        <x:f>SUMIFS('매출내역'!$D$6:$D$245,'매출내역'!$B$6:$B$245,A35,'매출내역'!$C$6:$C$245,"반품")</x:f>
        <x:v>0</x:v>
      </x:c>
      <x:c r="F35" s="121" t="n">
        <x:f>D35-E35</x:f>
        <x:v>61600000</x:v>
      </x:c>
      <x:c r="G35" s="133" t="n">
        <x:f>IF(F35&gt;=C35*1.2,0.05,IF(F35&gt;=C35,0.035,0.02))</x:f>
        <x:v>0.05</x:v>
      </x:c>
      <x:c r="H35" s="121" t="n">
        <x:f>F35*G35</x:f>
        <x:v>3080000</x:v>
      </x:c>
      <x:c r="I35" s="121" t="n">
        <x:f>IF(F35&gt;=C35*1.2,500000,0)</x:f>
        <x:v>500000</x:v>
      </x:c>
      <x:c r="J35" s="139" t="n">
        <x:f>H35+I35</x:f>
        <x:v>3580000</x:v>
      </x:c>
    </x:row>
    <x:row r="36">
      <x:c r="A36" s="70" t="str">
        <x:v>S031</x:v>
      </x:c>
      <x:c r="B36" s="66" t="str">
        <x:v>C팀</x:v>
      </x:c>
      <x:c r="C36" s="85" t="n">
        <x:v>12650000</x:v>
      </x:c>
      <x:c r="D36" s="120" t="n">
        <x:f>SUMIFS('매출내역'!$D$6:$D$245,'매출내역'!$B$6:$B$245,A36,'매출내역'!$C$6:$C$245,"매출")</x:f>
        <x:v>55700000</x:v>
      </x:c>
      <x:c r="E36" s="121" t="n">
        <x:f>SUMIFS('매출내역'!$D$6:$D$245,'매출내역'!$B$6:$B$245,A36,'매출내역'!$C$6:$C$245,"반품")</x:f>
        <x:v>0</x:v>
      </x:c>
      <x:c r="F36" s="121" t="n">
        <x:f>D36-E36</x:f>
        <x:v>55700000</x:v>
      </x:c>
      <x:c r="G36" s="133" t="n">
        <x:f>IF(F36&gt;=C36*1.2,0.05,IF(F36&gt;=C36,0.035,0.02))</x:f>
        <x:v>0.05</x:v>
      </x:c>
      <x:c r="H36" s="121" t="n">
        <x:f>F36*G36</x:f>
        <x:v>2785000</x:v>
      </x:c>
      <x:c r="I36" s="121" t="n">
        <x:f>IF(F36&gt;=C36*1.2,500000,0)</x:f>
        <x:v>500000</x:v>
      </x:c>
      <x:c r="J36" s="139" t="n">
        <x:f>H36+I36</x:f>
        <x:v>3285000</x:v>
      </x:c>
    </x:row>
    <x:row r="37">
      <x:c r="A37" s="70" t="str">
        <x:v>S032</x:v>
      </x:c>
      <x:c r="B37" s="66" t="str">
        <x:v>D팀</x:v>
      </x:c>
      <x:c r="C37" s="85" t="n">
        <x:v>12800000</x:v>
      </x:c>
      <x:c r="D37" s="120" t="n">
        <x:f>SUMIFS('매출내역'!$D$6:$D$245,'매출내역'!$B$6:$B$245,A37,'매출내역'!$C$6:$C$245,"매출")</x:f>
        <x:v>64600000</x:v>
      </x:c>
      <x:c r="E37" s="121" t="n">
        <x:f>SUMIFS('매출내역'!$D$6:$D$245,'매출내역'!$B$6:$B$245,A37,'매출내역'!$C$6:$C$245,"반품")</x:f>
        <x:v>0</x:v>
      </x:c>
      <x:c r="F37" s="121" t="n">
        <x:f>D37-E37</x:f>
        <x:v>64600000</x:v>
      </x:c>
      <x:c r="G37" s="133" t="n">
        <x:f>IF(F37&gt;=C37*1.2,0.05,IF(F37&gt;=C37,0.035,0.02))</x:f>
        <x:v>0.05</x:v>
      </x:c>
      <x:c r="H37" s="121" t="n">
        <x:f>F37*G37</x:f>
        <x:v>3230000</x:v>
      </x:c>
      <x:c r="I37" s="121" t="n">
        <x:f>IF(F37&gt;=C37*1.2,500000,0)</x:f>
        <x:v>500000</x:v>
      </x:c>
      <x:c r="J37" s="139" t="n">
        <x:f>H37+I37</x:f>
        <x:v>3730000</x:v>
      </x:c>
    </x:row>
    <x:row r="38">
      <x:c r="A38" s="70" t="str">
        <x:v>S033</x:v>
      </x:c>
      <x:c r="B38" s="66" t="str">
        <x:v>A팀</x:v>
      </x:c>
      <x:c r="C38" s="85" t="n">
        <x:v>12950000</x:v>
      </x:c>
      <x:c r="D38" s="120" t="n">
        <x:f>SUMIFS('매출내역'!$D$6:$D$245,'매출내역'!$B$6:$B$245,A38,'매출내역'!$C$6:$C$245,"매출")</x:f>
        <x:v>66500000</x:v>
      </x:c>
      <x:c r="E38" s="121" t="n">
        <x:f>SUMIFS('매출내역'!$D$6:$D$245,'매출내역'!$B$6:$B$245,A38,'매출내역'!$C$6:$C$245,"반품")</x:f>
        <x:v>0</x:v>
      </x:c>
      <x:c r="F38" s="121" t="n">
        <x:f>D38-E38</x:f>
        <x:v>66500000</x:v>
      </x:c>
      <x:c r="G38" s="133" t="n">
        <x:f>IF(F38&gt;=C38*1.2,0.05,IF(F38&gt;=C38,0.035,0.02))</x:f>
        <x:v>0.05</x:v>
      </x:c>
      <x:c r="H38" s="121" t="n">
        <x:f>F38*G38</x:f>
        <x:v>3325000</x:v>
      </x:c>
      <x:c r="I38" s="121" t="n">
        <x:f>IF(F38&gt;=C38*1.2,500000,0)</x:f>
        <x:v>500000</x:v>
      </x:c>
      <x:c r="J38" s="139"/>
    </x:row>
    <x:row r="39">
      <x:c r="A39" s="70" t="str">
        <x:v>S034</x:v>
      </x:c>
      <x:c r="B39" s="66" t="str">
        <x:v>B팀</x:v>
      </x:c>
      <x:c r="C39" s="85" t="n">
        <x:v>13100000</x:v>
      </x:c>
      <x:c r="D39" s="120" t="n">
        <x:f>SUMIFS('매출내역'!$D$6:$D$245,'매출내역'!$B$6:$B$245,A39,'매출내역'!$C$6:$C$245,"매출")</x:f>
        <x:v>53000000</x:v>
      </x:c>
      <x:c r="E39" s="121" t="n">
        <x:f>SUMIFS('매출내역'!$D$6:$D$245,'매출내역'!$B$6:$B$245,A39,'매출내역'!$C$6:$C$245,"반품")</x:f>
        <x:v>0</x:v>
      </x:c>
      <x:c r="F39" s="121" t="n">
        <x:f>D39-E39</x:f>
        <x:v>53000000</x:v>
      </x:c>
      <x:c r="G39" s="133" t="n">
        <x:f>IF(F39&gt;=C39*1.2,0.05,IF(F39&gt;=C39,0.035,0.02))</x:f>
        <x:v>0.05</x:v>
      </x:c>
      <x:c r="H39" s="121" t="n">
        <x:f>F39*G39</x:f>
        <x:v>2650000</x:v>
      </x:c>
      <x:c r="I39" s="121" t="n">
        <x:f>IF(F39&gt;=C39*1.2,500000,0)</x:f>
        <x:v>500000</x:v>
      </x:c>
      <x:c r="J39" s="139" t="n">
        <x:f>H39+I39</x:f>
        <x:v>3150000</x:v>
      </x:c>
    </x:row>
    <x:row r="40">
      <x:c r="A40" s="70" t="str">
        <x:v>S035</x:v>
      </x:c>
      <x:c r="B40" s="66" t="str">
        <x:v>C팀</x:v>
      </x:c>
      <x:c r="C40" s="85" t="n">
        <x:v>13250000</x:v>
      </x:c>
      <x:c r="D40" s="120" t="n">
        <x:f>SUMIFS('매출내역'!$D$6:$D$245,'매출내역'!$B$6:$B$245,A40,'매출내역'!$C$6:$C$245,"매출")</x:f>
        <x:v>56700000</x:v>
      </x:c>
      <x:c r="E40" s="121" t="n">
        <x:f>SUMIFS('매출내역'!$D$6:$D$245,'매출내역'!$B$6:$B$245,A40,'매출내역'!$C$6:$C$245,"반품")</x:f>
        <x:v>10200000</x:v>
      </x:c>
      <x:c r="F40" s="121" t="n">
        <x:f>D40-E40</x:f>
        <x:v>46500000</x:v>
      </x:c>
      <x:c r="G40" s="133" t="n">
        <x:f>IF(F40&gt;=C40*1.2,0.05,IF(F40&gt;=C40,0.035,0.02))</x:f>
        <x:v>0.05</x:v>
      </x:c>
      <x:c r="H40" s="121" t="n">
        <x:f>F40*G40</x:f>
        <x:v>2325000</x:v>
      </x:c>
      <x:c r="I40" s="121" t="n">
        <x:f>IF(F40&gt;=C40*1.2,500000,0)</x:f>
        <x:v>500000</x:v>
      </x:c>
      <x:c r="J40" s="139" t="n">
        <x:f>H40+I40</x:f>
        <x:v>2825000</x:v>
      </x:c>
    </x:row>
    <x:row r="41">
      <x:c r="A41" s="70" t="str">
        <x:v>S036</x:v>
      </x:c>
      <x:c r="B41" s="66" t="str">
        <x:v>D팀</x:v>
      </x:c>
      <x:c r="C41" s="85" t="n">
        <x:v>13400000</x:v>
      </x:c>
      <x:c r="D41" s="120" t="n">
        <x:f>SUMIFS('매출내역'!$D$6:$D$245,'매출내역'!$B$6:$B$245,A41,'매출내역'!$C$6:$C$245,"매출")</x:f>
        <x:v>35500000</x:v>
      </x:c>
      <x:c r="E41" s="121" t="n">
        <x:f>SUMIFS('매출내역'!$D$6:$D$245,'매출내역'!$B$6:$B$245,A41,'매출내역'!$C$6:$C$245,"반품")</x:f>
        <x:v>13300000</x:v>
      </x:c>
      <x:c r="F41" s="121" t="n">
        <x:f>D41-E41</x:f>
        <x:v>22200000</x:v>
      </x:c>
      <x:c r="G41" s="133" t="n">
        <x:f>IF(F41&gt;=C41*1.2,0.05,IF(F41&gt;=C41,0.035,0.02))</x:f>
        <x:v>0.05</x:v>
      </x:c>
      <x:c r="H41" s="121" t="n">
        <x:f>F41*G41</x:f>
        <x:v>1110000</x:v>
      </x:c>
      <x:c r="I41" s="121" t="n">
        <x:f>IF(F41&gt;=C41*1.2,500000,0)</x:f>
        <x:v>500000</x:v>
      </x:c>
      <x:c r="J41" s="139" t="n">
        <x:f>H41+I41</x:f>
        <x:v>1610000</x:v>
      </x:c>
    </x:row>
    <x:row r="42">
      <x:c r="A42" s="70" t="str">
        <x:v>S037</x:v>
      </x:c>
      <x:c r="B42" s="66" t="str">
        <x:v>A팀</x:v>
      </x:c>
      <x:c r="C42" s="85" t="n">
        <x:v>13550000</x:v>
      </x:c>
      <x:c r="D42" s="120" t="n">
        <x:f>SUMIFS('매출내역'!$D$6:$D$245,'매출내역'!$B$6:$B$245,A42,'매출내역'!$C$6:$C$245,"매출")</x:f>
        <x:v>43300000</x:v>
      </x:c>
      <x:c r="E42" s="121" t="n">
        <x:f>SUMIFS('매출내역'!$D$6:$D$245,'매출내역'!$B$6:$B$245,A42,'매출내역'!$C$6:$C$245,"반품")</x:f>
        <x:v>11900000</x:v>
      </x:c>
      <x:c r="F42" s="121" t="n">
        <x:f>D42-E42</x:f>
        <x:v>31400000</x:v>
      </x:c>
      <x:c r="G42" s="133" t="n">
        <x:f>IF(F42&gt;=C42*1.2,0.05,IF(F42&gt;=C42,0.035,0.02))</x:f>
        <x:v>0.05</x:v>
      </x:c>
      <x:c r="H42" s="121" t="n">
        <x:f>F42*G42</x:f>
        <x:v>1570000</x:v>
      </x:c>
      <x:c r="I42" s="121" t="n">
        <x:f>IF(F42&gt;=C42*1.2,500000,0)</x:f>
        <x:v>500000</x:v>
      </x:c>
      <x:c r="J42" s="139" t="n">
        <x:f>H42+I42</x:f>
        <x:v>2070000</x:v>
      </x:c>
    </x:row>
    <x:row r="43">
      <x:c r="A43" s="70" t="str">
        <x:v>S038</x:v>
      </x:c>
      <x:c r="B43" s="66" t="str">
        <x:v>B팀</x:v>
      </x:c>
      <x:c r="C43" s="85" t="n">
        <x:v>13700000</x:v>
      </x:c>
      <x:c r="D43" s="120" t="n">
        <x:f>SUMIFS('매출내역'!$D$6:$D$245,'매출내역'!$B$6:$B$245,A43,'매출내역'!$C$6:$C$245,"매출")</x:f>
        <x:v>52000000</x:v>
      </x:c>
      <x:c r="E43" s="121" t="n">
        <x:f>SUMIFS('매출내역'!$D$6:$D$245,'매출내역'!$B$6:$B$245,A43,'매출내역'!$C$6:$C$245,"반품")</x:f>
        <x:v>12700000</x:v>
      </x:c>
      <x:c r="F43" s="121" t="n">
        <x:f>D43-E43</x:f>
        <x:v>39300000</x:v>
      </x:c>
      <x:c r="G43" s="133" t="n">
        <x:f>IF(F43&gt;=C43*1.2,0.05,IF(F43&gt;=C43,0.035,0.02))</x:f>
        <x:v>0.05</x:v>
      </x:c>
      <x:c r="H43" s="121" t="n">
        <x:f>F43*G43</x:f>
        <x:v>1965000</x:v>
      </x:c>
      <x:c r="I43" s="121" t="n">
        <x:f>IF(F43&gt;=C43*1.2,500000,0)</x:f>
        <x:v>500000</x:v>
      </x:c>
      <x:c r="J43" s="139" t="n">
        <x:f>H43+I43</x:f>
        <x:v>2465000</x:v>
      </x:c>
    </x:row>
    <x:row r="44">
      <x:c r="A44" s="70" t="str">
        <x:v>S039</x:v>
      </x:c>
      <x:c r="B44" s="66" t="str">
        <x:v>C팀</x:v>
      </x:c>
      <x:c r="C44" s="85" t="n">
        <x:v>13850000</x:v>
      </x:c>
      <x:c r="D44" s="120" t="n">
        <x:f>SUMIFS('매출내역'!$D$6:$D$245,'매출내역'!$B$6:$B$245,A44,'매출내역'!$C$6:$C$245,"매출")</x:f>
        <x:v>45600000</x:v>
      </x:c>
      <x:c r="E44" s="121" t="n">
        <x:f>SUMIFS('매출내역'!$D$6:$D$245,'매출내역'!$B$6:$B$245,A44,'매출내역'!$C$6:$C$245,"반품")</x:f>
        <x:v>15300000</x:v>
      </x:c>
      <x:c r="F44" s="121" t="n">
        <x:f>D44-E44</x:f>
        <x:v>30300000</x:v>
      </x:c>
      <x:c r="G44" s="133" t="n">
        <x:f>IF(F44&gt;=C44*1.2,0.05,IF(F44&gt;=C44,0.035,0.02))</x:f>
        <x:v>0.05</x:v>
      </x:c>
      <x:c r="H44" s="121" t="n">
        <x:f>F44*G44</x:f>
        <x:v>1515000</x:v>
      </x:c>
      <x:c r="I44" s="121" t="n">
        <x:f>IF(F44&gt;=C44*1.2,500000,0)</x:f>
        <x:v>500000</x:v>
      </x:c>
      <x:c r="J44" s="139" t="n">
        <x:f>H44+I44</x:f>
        <x:v>2015000</x:v>
      </x:c>
    </x:row>
    <x:row r="45">
      <x:c r="A45" s="72" t="str">
        <x:v>S040</x:v>
      </x:c>
      <x:c r="B45" s="73" t="str">
        <x:v>D팀</x:v>
      </x:c>
      <x:c r="C45" s="86" t="n">
        <x:v>14000000</x:v>
      </x:c>
      <x:c r="D45" s="122" t="n">
        <x:f>SUMIFS('매출내역'!$D$6:$D$245,'매출내역'!$B$6:$B$245,A45,'매출내역'!$C$6:$C$245,"매출")</x:f>
        <x:v>56800000</x:v>
      </x:c>
      <x:c r="E45" s="123" t="n">
        <x:f>SUMIFS('매출내역'!$D$6:$D$245,'매출내역'!$B$6:$B$245,A45,'매출내역'!$C$6:$C$245,"반품")</x:f>
        <x:v>12200000</x:v>
      </x:c>
      <x:c r="F45" s="123" t="n">
        <x:f>D45-E45</x:f>
        <x:v>44600000</x:v>
      </x:c>
      <x:c r="G45" s="134" t="n">
        <x:f>IF(F45&gt;=C45*1.2,0.05,IF(F45&gt;=C45,0.035,0.02))</x:f>
        <x:v>0.05</x:v>
      </x:c>
      <x:c r="H45" s="123" t="n">
        <x:f>F45*G45</x:f>
        <x:v>2230000</x:v>
      </x:c>
      <x:c r="I45" s="123" t="n">
        <x:f>IF(F45&gt;=C45*1.2,500000,0)</x:f>
        <x:v>500000</x:v>
      </x:c>
      <x:c r="J45" s="140" t="n">
        <x:f>H45+I45</x:f>
        <x:v>2730000</x:v>
      </x:c>
    </x:row>
    <x:row r="46">
      <x:c r="A46" s="148" t="str">
        <x:v>소계</x:v>
      </x:c>
      <x:c r="B46" s="149" t="str"/>
      <x:c r="C46" s="150" t="n">
        <x:f>SUM(C6:C45)</x:f>
        <x:v>443000000</x:v>
      </x:c>
      <x:c r="D46" s="150" t="n">
        <x:f>SUM(D6:D45)</x:f>
        <x:v>2236300000</x:v>
      </x:c>
      <x:c r="E46" s="150" t="n">
        <x:f>SUM(E6:E45)</x:f>
        <x:v>203600000</x:v>
      </x:c>
      <x:c r="F46" s="150" t="n">
        <x:f>SUM(F6:F45)</x:f>
        <x:v>2063300000</x:v>
      </x:c>
      <x:c r="G46" s="149" t="str"/>
      <x:c r="H46" s="150" t="n">
        <x:f>SUM(H6:H45)</x:f>
        <x:v>101400000</x:v>
      </x:c>
      <x:c r="I46" s="150" t="n">
        <x:f>SUM(I6:I45)</x:f>
        <x:v>20000000</x:v>
      </x:c>
      <x:c r="J46" s="151" t="n">
        <x:f>SUM(J6:J45)</x:f>
        <x:v>117575000</x:v>
      </x:c>
    </x:row>
    <x:row r="47">
      <x:c r="A47" s="164" t="str">
        <x:v>팀장 정액조정</x:v>
      </x:c>
      <x:c r="B47" s="165" t="str"/>
      <x:c r="C47" s="166" t="n">
        <x:v>0</x:v>
      </x:c>
      <x:c r="D47" s="166" t="n">
        <x:v>0</x:v>
      </x:c>
      <x:c r="E47" s="166" t="n">
        <x:v>0</x:v>
      </x:c>
      <x:c r="F47" s="166" t="n">
        <x:v>0</x:v>
      </x:c>
      <x:c r="G47" s="165" t="n">
        <x:v>0</x:v>
      </x:c>
      <x:c r="H47" s="166" t="n">
        <x:v>0</x:v>
      </x:c>
      <x:c r="I47" s="166" t="n">
        <x:v>1200000</x:v>
      </x:c>
      <x:c r="J47" s="167" t="n">
        <x:v>1200000</x:v>
      </x:c>
    </x:row>
    <x:row r="48">
      <x:c r="A48" s="148" t="str">
        <x:v>합계</x:v>
      </x:c>
      <x:c r="B48" s="149" t="str"/>
      <x:c r="C48" s="150" t="n">
        <x:f>C46+C47</x:f>
        <x:v>443000000</x:v>
      </x:c>
      <x:c r="D48" s="150" t="n">
        <x:f>D46+D47</x:f>
        <x:v>2236300000</x:v>
      </x:c>
      <x:c r="E48" s="150" t="n">
        <x:f>E46+E47</x:f>
        <x:v>203600000</x:v>
      </x:c>
      <x:c r="F48" s="150" t="n">
        <x:f>F46+F47</x:f>
        <x:v>2063300000</x:v>
      </x:c>
      <x:c r="G48" s="149" t="str"/>
      <x:c r="H48" s="150" t="n">
        <x:f>H46+H47</x:f>
        <x:v>101400000</x:v>
      </x:c>
      <x:c r="I48" s="150" t="n">
        <x:f>I46+I47</x:f>
        <x:v>21200000</x:v>
      </x:c>
      <x:c r="J48" s="151" t="n">
        <x:f>J46+J47</x:f>
        <x:v>118775000</x:v>
      </x:c>
    </x:row>
  </x:sheetData>
  <x:mergeCells>
    <x:mergeCell ref="A1:J1"/>
    <x:mergeCell ref="A2:J2"/>
    <x:mergeCell ref="A3:J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영업 수수료 KPI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순매출과 수수료 현황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>
      <x:c r="A5" s="177" t="str">
        <x:v>총 순매출</x:v>
      </x:c>
      <x:c r="B5" s="177"/>
      <x:c r="C5" s="177" t="str">
        <x:v>총 수수료</x:v>
      </x:c>
      <x:c r="D5" s="177"/>
      <x:c r="E5" s="177" t="str">
        <x:v>보너스</x:v>
      </x:c>
      <x:c r="F5" s="177"/>
      <x:c r="G5" s="177" t="str">
        <x:v>목표달성 인원</x:v>
      </x:c>
      <x:c r="H5" s="177"/>
    </x:row>
    <x:row r="6">
      <x:c r="A6" s="182" t="n">
        <x:f>'수수료계산'!F48</x:f>
        <x:v>2063300000</x:v>
      </x:c>
      <x:c r="B6" s="182"/>
      <x:c r="C6" s="182" t="n">
        <x:f>'수수료계산'!H48</x:f>
        <x:v>101400000</x:v>
      </x:c>
      <x:c r="D6" s="182"/>
      <x:c r="E6" s="182" t="n">
        <x:f>'수수료계산'!I48</x:f>
        <x:v>21200000</x:v>
      </x:c>
      <x:c r="F6" s="182"/>
      <x:c r="G6" s="182" t="n">
        <x:f>COUNTIF('수수료계산'!G6:G45,"&gt;=3.5%")</x:f>
        <x:v>0</x:v>
      </x:c>
      <x:c r="H6" s="182"/>
    </x:row>
    <x:row r="7">
      <x:c r="A7" s="182"/>
      <x:c r="B7" s="182"/>
      <x:c r="C7" s="182"/>
      <x:c r="D7" s="182"/>
      <x:c r="E7" s="182"/>
      <x:c r="F7" s="182"/>
      <x:c r="G7" s="182"/>
      <x:c r="H7" s="182"/>
    </x:row>
  </x:sheetData>
  <x:mergeCells>
    <x:mergeCell ref="A1:H1"/>
    <x:mergeCell ref="A2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</x:mergeCells>
  <x:pageMargins left="0.7" right="0.7" top="0.75" bottom="0.75" header="0.3" footer="0.3"/>
</x:worksheet>
</file>