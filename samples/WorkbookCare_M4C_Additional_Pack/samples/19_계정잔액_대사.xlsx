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67ce90e27b43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안내" sheetId="1" r:id="R63a878198f0e42cf"/>
    <x:sheet xmlns:r="http://schemas.openxmlformats.org/officeDocument/2006/relationships" name="계정마스터" sheetId="2" r:id="R27d4aec7a48449d0"/>
    <x:sheet xmlns:r="http://schemas.openxmlformats.org/officeDocument/2006/relationships" name="총계정원장" sheetId="3" r:id="R057632380e75401e"/>
    <x:sheet xmlns:r="http://schemas.openxmlformats.org/officeDocument/2006/relationships" name="보조부" sheetId="4" r:id="R25bd7fef90e044d7"/>
    <x:sheet xmlns:r="http://schemas.openxmlformats.org/officeDocument/2006/relationships" name="대사표" sheetId="5" r:id="R8d50d9d515ea4a24"/>
    <x:sheet xmlns:r="http://schemas.openxmlformats.org/officeDocument/2006/relationships" name="요약" sheetId="6" r:id="Rb7f4845565ab42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"/>
  </x:numFmts>
  <x:fonts count="9">
    <x:font>
      <x:sz val="11"/>
      <x:name val="Carlito"/>
    </x:font>
    <x:font>
      <x:b/>
      <x:sz val="18"/>
      <x:color rgb="FFFFFFFF"/>
      <x:name val="Carlito"/>
    </x:font>
    <x:font>
      <x:i/>
      <x:sz val="10"/>
      <x:color rgb="FF595959"/>
      <x:name val="Carlito"/>
    </x:font>
    <x:font>
      <x:sz val="9"/>
      <x:color rgb="FF666666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i/>
      <x:sz val="11"/>
      <x:color rgb="FF9C0006"/>
      <x:name val="Carlito"/>
    </x:font>
    <x:font>
      <x:b/>
      <x:sz val="11"/>
      <x:color rgb="FF595959"/>
      <x:name val="Carlito"/>
    </x:font>
    <x:font>
      <x:b/>
      <x:sz val="15"/>
      <x:color rgb="FF17365D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2F75B5"/>
      </x:patternFill>
    </x:fill>
    <x:fill>
      <x:patternFill patternType="solid">
        <x:fgColor rgb="FFE7E6E6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  <x:fill>
      <x:patternFill patternType="solid">
        <x:fgColor rgb="FF0F6B78"/>
      </x:patternFill>
    </x:fill>
    <x:fill>
      <x:patternFill patternType="solid">
        <x:fgColor rgb="FFFCE4D6"/>
      </x:patternFill>
    </x:fill>
  </x:fills>
  <x:borders count="42">
    <x:border/>
    <x:border/>
    <x:border>
      <x:left style="thin">
        <x:color rgb="FFB4C6E7"/>
      </x:left>
      <x:top style="thin">
        <x:color rgb="FFB4C6E7"/>
      </x:top>
      <x:bottom style="thin">
        <x:color rgb="FFB4C6E7"/>
      </x:bottom>
    </x:border>
    <x:border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B4C6E7"/>
      </x:left>
      <x:top style="thin">
        <x:color rgb="FFB4C6E7"/>
      </x:top>
      <x:bottom style="thin">
        <x:color rgb="FFB4C6E7"/>
      </x:bottom>
    </x:border>
    <x:border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top style="thin">
        <x:color rgb="FFB4C6E7"/>
      </x:top>
      <x:bottom style="thin">
        <x:color rgb="FFB4C6E7"/>
      </x:bottom>
    </x:border>
    <x:border>
      <x:top style="thin">
        <x:color rgb="FFB4C6E7"/>
      </x:top>
      <x:bottom style="thin">
        <x:color rgb="FFB4C6E7"/>
      </x:bottom>
    </x:border>
    <x:border>
      <x:left style="hair">
        <x:color rgb="FFD9D9D9"/>
      </x:left>
      <x:top style="hair">
        <x:color rgb="FFD9D9D9"/>
      </x:top>
    </x:border>
    <x:border>
      <x:top style="hair">
        <x:color rgb="FFD9D9D9"/>
      </x:top>
    </x:border>
    <x:border>
      <x:right style="hair">
        <x:color rgb="FFD9D9D9"/>
      </x:right>
      <x:top style="hair">
        <x:color rgb="FFD9D9D9"/>
      </x:top>
    </x:border>
    <x:border>
      <x:left style="hair">
        <x:color rgb="FFD9D9D9"/>
      </x:left>
    </x:border>
    <x:border>
      <x:right style="hair">
        <x:color rgb="FFD9D9D9"/>
      </x:right>
    </x:border>
    <x:border>
      <x:left style="hair">
        <x:color rgb="FFD9D9D9"/>
      </x:left>
      <x:bottom style="hair">
        <x:color rgb="FFD9D9D9"/>
      </x:bottom>
    </x:border>
    <x:border>
      <x:bottom style="hair">
        <x:color rgb="FFD9D9D9"/>
      </x:bottom>
    </x:border>
    <x:border>
      <x:right style="hair">
        <x:color rgb="FFD9D9D9"/>
      </x:right>
      <x:bottom style="hair">
        <x:color rgb="FFD9D9D9"/>
      </x:bottom>
    </x:border>
    <x:border>
      <x:left style="hair">
        <x:color rgb="FFD9D9D9"/>
      </x:left>
      <x:top style="hair">
        <x:color rgb="FFD9D9D9"/>
      </x:top>
    </x:border>
    <x:border>
      <x:top style="hair">
        <x:color rgb="FFD9D9D9"/>
      </x:top>
    </x:border>
    <x:border>
      <x:right style="hair">
        <x:color rgb="FFD9D9D9"/>
      </x:right>
      <x:top style="hair">
        <x:color rgb="FFD9D9D9"/>
      </x:top>
    </x:border>
    <x:border>
      <x:left style="hair">
        <x:color rgb="FFD9D9D9"/>
      </x:left>
    </x:border>
    <x:border>
      <x:right style="hair">
        <x:color rgb="FFD9D9D9"/>
      </x:right>
    </x:border>
    <x:border>
      <x:left style="hair">
        <x:color rgb="FFD9D9D9"/>
      </x:left>
      <x:bottom style="hair">
        <x:color rgb="FFD9D9D9"/>
      </x:bottom>
    </x:border>
    <x:border>
      <x:bottom style="hair">
        <x:color rgb="FFD9D9D9"/>
      </x:bottom>
    </x:border>
    <x:border>
      <x:right style="hair">
        <x:color rgb="FFD9D9D9"/>
      </x:right>
      <x:bottom style="hair">
        <x:color rgb="FFD9D9D9"/>
      </x:bottom>
    </x:border>
    <x:border>
      <x:left style="hair">
        <x:color rgb="FFD9D9D9"/>
      </x:left>
      <x:right style="hair">
        <x:color rgb="FFD9D9D9"/>
      </x:right>
      <x:top style="hair">
        <x:color rgb="FFD9D9D9"/>
      </x:top>
    </x:border>
    <x:border>
      <x:left style="hair">
        <x:color rgb="FFD9D9D9"/>
      </x:left>
      <x:right style="hair">
        <x:color rgb="FFD9D9D9"/>
      </x:right>
    </x:border>
    <x:border>
      <x:left style="hair">
        <x:color rgb="FFD9D9D9"/>
      </x:left>
      <x:right style="hair">
        <x:color rgb="FFD9D9D9"/>
      </x:right>
      <x:bottom style="hair">
        <x:color rgb="FFD9D9D9"/>
      </x:bottom>
    </x:border>
    <x:border>
      <x:left style="hair">
        <x:color rgb="FFD9D9D9"/>
      </x:left>
      <x:right style="hair">
        <x:color rgb="FFD9D9D9"/>
      </x:right>
      <x:top style="hair">
        <x:color rgb="FFD9D9D9"/>
      </x:top>
    </x:border>
    <x:border>
      <x:left style="hair">
        <x:color rgb="FFD9D9D9"/>
      </x:left>
      <x:right style="hair">
        <x:color rgb="FFD9D9D9"/>
      </x:right>
    </x:border>
    <x:border>
      <x:left style="hair">
        <x:color rgb="FFD9D9D9"/>
      </x:left>
      <x:right style="hair">
        <x:color rgb="FFD9D9D9"/>
      </x:right>
      <x:bottom style="hair">
        <x:color rgb="FFD9D9D9"/>
      </x:bottom>
    </x:border>
    <x:border>
      <x:left style="thin">
        <x:color rgb="FF0F6B78"/>
      </x:left>
      <x:top style="thin">
        <x:color rgb="FF0F6B78"/>
      </x:top>
      <x:bottom style="thin">
        <x:color rgb="FF0F6B78"/>
      </x:bottom>
    </x:border>
    <x:border>
      <x:top style="thin">
        <x:color rgb="FF0F6B78"/>
      </x:top>
      <x:bottom style="thin">
        <x:color rgb="FF0F6B78"/>
      </x:bottom>
    </x:border>
    <x:border>
      <x:right style="thin">
        <x:color rgb="FF0F6B78"/>
      </x:right>
      <x:top style="thin">
        <x:color rgb="FF0F6B78"/>
      </x:top>
      <x:bottom style="thin">
        <x:color rgb="FF0F6B78"/>
      </x:bottom>
    </x:border>
    <x:border>
      <x:left style="thin">
        <x:color rgb="FF0F6B78"/>
      </x:left>
      <x:top style="thin">
        <x:color rgb="FF0F6B78"/>
      </x:top>
      <x:bottom style="thin">
        <x:color rgb="FF0F6B78"/>
      </x:bottom>
    </x:border>
    <x:border>
      <x:top style="thin">
        <x:color rgb="FF0F6B78"/>
      </x:top>
      <x:bottom style="thin">
        <x:color rgb="FF0F6B78"/>
      </x:bottom>
    </x:border>
    <x:border>
      <x:right style="thin">
        <x:color rgb="FF0F6B78"/>
      </x:right>
      <x:top style="thin">
        <x:color rgb="FF0F6B78"/>
      </x:top>
      <x:bottom style="thin">
        <x:color rgb="FF0F6B78"/>
      </x:bottom>
    </x:border>
    <x:border>
      <x:left style="thin">
        <x:color rgb="FFF4B084"/>
      </x:left>
      <x:top style="thin">
        <x:color rgb="FFF4B084"/>
      </x:top>
      <x:bottom style="thin">
        <x:color rgb="FFF4B084"/>
      </x:bottom>
    </x:border>
    <x:border>
      <x:top style="thin">
        <x:color rgb="FFF4B084"/>
      </x:top>
      <x:bottom style="thin">
        <x:color rgb="FFF4B084"/>
      </x:bottom>
    </x:border>
    <x:border>
      <x:right style="thin">
        <x:color rgb="FFF4B084"/>
      </x:right>
      <x:top style="thin">
        <x:color rgb="FFF4B084"/>
      </x:top>
      <x:bottom style="thin">
        <x:color rgb="FFF4B084"/>
      </x:bottom>
    </x:border>
    <x:border>
      <x:left style="thin">
        <x:color rgb="FFF4B084"/>
      </x:left>
      <x:top style="thin">
        <x:color rgb="FFF4B084"/>
      </x:top>
      <x:bottom style="thin">
        <x:color rgb="FFF4B084"/>
      </x:bottom>
    </x:border>
    <x:border>
      <x:top style="thin">
        <x:color rgb="FFF4B084"/>
      </x:top>
      <x:bottom style="thin">
        <x:color rgb="FFF4B084"/>
      </x:bottom>
    </x:border>
    <x:border>
      <x:right style="thin">
        <x:color rgb="FFF4B084"/>
      </x:right>
      <x:top style="thin">
        <x:color rgb="FFF4B084"/>
      </x:top>
      <x:bottom style="thin">
        <x:color rgb="FFF4B084"/>
      </x:bottom>
    </x:border>
  </x:borders>
  <x:cellStyleXfs count="1">
    <x:xf numFmtId="0" fontId="0" fillId="0" borderId="0"/>
  </x:cellStyleXfs>
  <x:cellXfs count="18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horizontal="center" wrapText="1"/>
    </x:xf>
    <x:xf numFmtId="0" fontId="4" fillId="5" borderId="3" xfId="0" applyNumberFormat="1" applyFont="1" applyFill="1" applyBorder="1" applyAlignment="1">
      <x:alignment horizont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4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horizontal="center" wrapText="1"/>
    </x:xf>
    <x:xf numFmtId="0" fontId="4" fillId="5" borderId="5" xfId="0" applyNumberFormat="1" applyFont="1" applyFill="1" applyBorder="1" applyAlignment="1">
      <x:alignment horizontal="center" wrapText="1"/>
    </x:xf>
    <x:xf numFmtId="0" fontId="4" fillId="5" borderId="4" xfId="0" applyNumberFormat="1" applyFont="1" applyFill="1" applyBorder="1" applyAlignment="1">
      <x:alignment horizontal="center" vertical="center" wrapText="1"/>
    </x:xf>
    <x:xf numFmtId="0" fontId="4" fillId="5" borderId="5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0" fillId="7" borderId="1" xfId="0" applyNumberFormat="1" applyFont="1" applyFill="1" applyBorder="1"/>
    <x:xf numFmtId="0" fontId="5" fillId="7" borderId="1" xfId="0" applyNumberFormat="1" applyFont="1" applyFill="1" applyBorder="1"/>
    <x:xf numFmtId="0" fontId="4" fillId="5" borderId="6" xfId="0" applyNumberFormat="1" applyFont="1" applyFill="1" applyBorder="1"/>
    <x:xf numFmtId="0" fontId="4" fillId="5" borderId="6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horizontal="center" wrapText="1"/>
    </x:xf>
    <x:xf numFmtId="0" fontId="4" fillId="5" borderId="6" xfId="0" applyNumberFormat="1" applyFont="1" applyFill="1" applyBorder="1" applyAlignment="1">
      <x:alignment horizontal="center" vertical="center" wrapText="1"/>
    </x:xf>
    <x:xf numFmtId="0" fontId="4" fillId="5" borderId="7" xfId="0" applyNumberFormat="1" applyFont="1" applyFill="1" applyBorder="1"/>
    <x:xf numFmtId="0" fontId="4" fillId="5" borderId="7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horizontal="center" wrapText="1"/>
    </x:xf>
    <x:xf numFmtId="0" fontId="4" fillId="5" borderId="7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0" fillId="8" borderId="8" xfId="0" applyNumberFormat="1" applyFont="1" applyFill="1" applyBorder="1"/>
    <x:xf numFmtId="0" fontId="0" fillId="8" borderId="9" xfId="0" applyNumberFormat="1" applyFont="1" applyFill="1" applyBorder="1"/>
    <x:xf numFmtId="0" fontId="0" fillId="8" borderId="10" xfId="0" applyNumberFormat="1" applyFont="1" applyFill="1" applyBorder="1"/>
    <x:xf numFmtId="0" fontId="0" fillId="8" borderId="11" xfId="0" applyNumberFormat="1" applyFont="1" applyFill="1" applyBorder="1"/>
    <x:xf numFmtId="0" fontId="0" fillId="8" borderId="12" xfId="0" applyNumberFormat="1" applyFont="1" applyFill="1" applyBorder="1"/>
    <x:xf numFmtId="0" fontId="0" fillId="8" borderId="13" xfId="0" applyNumberFormat="1" applyFont="1" applyFill="1" applyBorder="1"/>
    <x:xf numFmtId="0" fontId="0" fillId="8" borderId="14" xfId="0" applyNumberFormat="1" applyFont="1" applyFill="1" applyBorder="1"/>
    <x:xf numFmtId="0" fontId="0" fillId="8" borderId="15" xfId="0" applyNumberFormat="1" applyFont="1" applyFill="1" applyBorder="1"/>
    <x:xf numFmtId="0" fontId="0" fillId="8" borderId="1" xfId="0" applyNumberFormat="1" applyFont="1" applyFill="1" applyBorder="1"/>
    <x:xf numFmtId="0" fontId="0" fillId="8" borderId="16" xfId="0" applyNumberFormat="1" applyFont="1" applyFill="1" applyBorder="1"/>
    <x:xf numFmtId="0" fontId="0" fillId="8" borderId="17" xfId="0" applyNumberFormat="1" applyFont="1" applyFill="1" applyBorder="1"/>
    <x:xf numFmtId="0" fontId="0" fillId="8" borderId="18" xfId="0" applyNumberFormat="1" applyFont="1" applyFill="1" applyBorder="1"/>
    <x:xf numFmtId="0" fontId="0" fillId="8" borderId="19" xfId="0" applyNumberFormat="1" applyFont="1" applyFill="1" applyBorder="1"/>
    <x:xf numFmtId="0" fontId="0" fillId="8" borderId="20" xfId="0" applyNumberFormat="1" applyFont="1" applyFill="1" applyBorder="1"/>
    <x:xf numFmtId="0" fontId="0" fillId="8" borderId="21" xfId="0" applyNumberFormat="1" applyFont="1" applyFill="1" applyBorder="1"/>
    <x:xf numFmtId="0" fontId="0" fillId="8" borderId="22" xfId="0" applyNumberFormat="1" applyFont="1" applyFill="1" applyBorder="1"/>
    <x:xf numFmtId="0" fontId="0" fillId="8" borderId="23" xfId="0" applyNumberFormat="1" applyFont="1" applyFill="1" applyBorder="1"/>
    <x:xf numFmtId="200" fontId="0" fillId="8" borderId="10" xfId="0" applyNumberFormat="1" applyFont="1" applyFill="1" applyBorder="1"/>
    <x:xf numFmtId="200" fontId="0" fillId="8" borderId="12" xfId="0" applyNumberFormat="1" applyFont="1" applyFill="1" applyBorder="1"/>
    <x:xf numFmtId="200" fontId="0" fillId="8" borderId="15" xfId="0" applyNumberFormat="1" applyFont="1" applyFill="1" applyBorder="1"/>
    <x:xf numFmtId="200" fontId="0" fillId="8" borderId="18" xfId="0" applyNumberFormat="1" applyFont="1" applyFill="1" applyBorder="1"/>
    <x:xf numFmtId="200" fontId="0" fillId="8" borderId="20" xfId="0" applyNumberFormat="1" applyFont="1" applyFill="1" applyBorder="1"/>
    <x:xf numFmtId="200" fontId="0" fillId="8" borderId="23" xfId="0" applyNumberFormat="1" applyFont="1" applyFill="1" applyBorder="1"/>
    <x:xf numFmtId="201" fontId="0" fillId="8" borderId="8" xfId="0" applyNumberFormat="1" applyFont="1" applyFill="1" applyBorder="1"/>
    <x:xf numFmtId="201" fontId="0" fillId="8" borderId="11" xfId="0" applyNumberFormat="1" applyFont="1" applyFill="1" applyBorder="1"/>
    <x:xf numFmtId="201" fontId="0" fillId="8" borderId="13" xfId="0" applyNumberFormat="1" applyFont="1" applyFill="1" applyBorder="1"/>
    <x:xf numFmtId="201" fontId="0" fillId="8" borderId="16" xfId="0" applyNumberFormat="1" applyFont="1" applyFill="1" applyBorder="1"/>
    <x:xf numFmtId="201" fontId="0" fillId="8" borderId="19" xfId="0" applyNumberFormat="1" applyFont="1" applyFill="1" applyBorder="1"/>
    <x:xf numFmtId="201" fontId="0" fillId="8" borderId="21" xfId="0" applyNumberFormat="1" applyFont="1" applyFill="1" applyBorder="1"/>
    <x:xf numFmtId="200" fontId="0" fillId="8" borderId="9" xfId="0" applyNumberFormat="1" applyFont="1" applyFill="1" applyBorder="1"/>
    <x:xf numFmtId="200" fontId="0" fillId="8" borderId="0" xfId="0" applyNumberFormat="1" applyFont="1" applyFill="1" applyBorder="1"/>
    <x:xf numFmtId="200" fontId="0" fillId="8" borderId="14" xfId="0" applyNumberFormat="1" applyFont="1" applyFill="1" applyBorder="1"/>
    <x:xf numFmtId="200" fontId="0" fillId="8" borderId="17" xfId="0" applyNumberFormat="1" applyFont="1" applyFill="1" applyBorder="1"/>
    <x:xf numFmtId="200" fontId="0" fillId="8" borderId="1" xfId="0" applyNumberFormat="1" applyFont="1" applyFill="1" applyBorder="1"/>
    <x:xf numFmtId="200" fontId="0" fillId="8" borderId="22" xfId="0" applyNumberFormat="1" applyFont="1" applyFill="1" applyBorder="1"/>
    <x:xf numFmtId="0" fontId="0" fillId="8" borderId="24" xfId="0" applyNumberFormat="1" applyFont="1" applyFill="1" applyBorder="1"/>
    <x:xf numFmtId="0" fontId="0" fillId="8" borderId="25" xfId="0" applyNumberFormat="1" applyFont="1" applyFill="1" applyBorder="1"/>
    <x:xf numFmtId="0" fontId="0" fillId="8" borderId="26" xfId="0" applyNumberFormat="1" applyFont="1" applyFill="1" applyBorder="1"/>
    <x:xf numFmtId="0" fontId="0" fillId="8" borderId="27" xfId="0" applyNumberFormat="1" applyFont="1" applyFill="1" applyBorder="1"/>
    <x:xf numFmtId="0" fontId="0" fillId="8" borderId="28" xfId="0" applyNumberFormat="1" applyFont="1" applyFill="1" applyBorder="1"/>
    <x:xf numFmtId="0" fontId="0" fillId="8" borderId="29" xfId="0" applyNumberFormat="1" applyFont="1" applyFill="1" applyBorder="1"/>
    <x:xf numFmtId="0" fontId="0" fillId="7" borderId="8" xfId="0" applyNumberFormat="1" applyFont="1" applyFill="1" applyBorder="1"/>
    <x:xf numFmtId="0" fontId="0" fillId="7" borderId="9" xfId="0" applyNumberFormat="1" applyFont="1" applyFill="1" applyBorder="1"/>
    <x:xf numFmtId="0" fontId="0" fillId="7" borderId="10" xfId="0" applyNumberFormat="1" applyFont="1" applyFill="1" applyBorder="1"/>
    <x:xf numFmtId="0" fontId="0" fillId="7" borderId="11" xfId="0" applyNumberFormat="1" applyFont="1" applyFill="1" applyBorder="1"/>
    <x:xf numFmtId="0" fontId="0" fillId="7" borderId="12" xfId="0" applyNumberFormat="1" applyFont="1" applyFill="1" applyBorder="1"/>
    <x:xf numFmtId="0" fontId="0" fillId="7" borderId="13" xfId="0" applyNumberFormat="1" applyFont="1" applyFill="1" applyBorder="1"/>
    <x:xf numFmtId="0" fontId="0" fillId="7" borderId="14" xfId="0" applyNumberFormat="1" applyFont="1" applyFill="1" applyBorder="1"/>
    <x:xf numFmtId="0" fontId="0" fillId="7" borderId="15" xfId="0" applyNumberFormat="1" applyFont="1" applyFill="1" applyBorder="1"/>
    <x:xf numFmtId="0" fontId="0" fillId="7" borderId="16" xfId="0" applyNumberFormat="1" applyFont="1" applyFill="1" applyBorder="1"/>
    <x:xf numFmtId="0" fontId="0" fillId="7" borderId="17" xfId="0" applyNumberFormat="1" applyFont="1" applyFill="1" applyBorder="1"/>
    <x:xf numFmtId="0" fontId="0" fillId="7" borderId="18" xfId="0" applyNumberFormat="1" applyFont="1" applyFill="1" applyBorder="1"/>
    <x:xf numFmtId="0" fontId="0" fillId="7" borderId="19" xfId="0" applyNumberFormat="1" applyFont="1" applyFill="1" applyBorder="1"/>
    <x:xf numFmtId="0" fontId="0" fillId="7" borderId="20" xfId="0" applyNumberFormat="1" applyFont="1" applyFill="1" applyBorder="1"/>
    <x:xf numFmtId="0" fontId="0" fillId="7" borderId="21" xfId="0" applyNumberFormat="1" applyFont="1" applyFill="1" applyBorder="1"/>
    <x:xf numFmtId="0" fontId="0" fillId="7" borderId="22" xfId="0" applyNumberFormat="1" applyFont="1" applyFill="1" applyBorder="1"/>
    <x:xf numFmtId="0" fontId="0" fillId="7" borderId="23" xfId="0" applyNumberFormat="1" applyFont="1" applyFill="1" applyBorder="1"/>
    <x:xf numFmtId="200" fontId="0" fillId="7" borderId="8" xfId="0" applyNumberFormat="1" applyFont="1" applyFill="1" applyBorder="1"/>
    <x:xf numFmtId="200" fontId="0" fillId="7" borderId="9" xfId="0" applyNumberFormat="1" applyFont="1" applyFill="1" applyBorder="1"/>
    <x:xf numFmtId="200" fontId="0" fillId="7" borderId="11" xfId="0" applyNumberFormat="1" applyFont="1" applyFill="1" applyBorder="1"/>
    <x:xf numFmtId="200" fontId="0" fillId="7" borderId="0" xfId="0" applyNumberFormat="1" applyFont="1" applyFill="1" applyBorder="1"/>
    <x:xf numFmtId="200" fontId="0" fillId="7" borderId="13" xfId="0" applyNumberFormat="1" applyFont="1" applyFill="1" applyBorder="1"/>
    <x:xf numFmtId="200" fontId="0" fillId="7" borderId="14" xfId="0" applyNumberFormat="1" applyFont="1" applyFill="1" applyBorder="1"/>
    <x:xf numFmtId="200" fontId="0" fillId="0" borderId="0" xfId="0" applyNumberFormat="1" applyFont="1" applyFill="1" applyBorder="1"/>
    <x:xf numFmtId="200" fontId="0" fillId="7" borderId="16" xfId="0" applyNumberFormat="1" applyFont="1" applyFill="1" applyBorder="1"/>
    <x:xf numFmtId="200" fontId="0" fillId="7" borderId="17" xfId="0" applyNumberFormat="1" applyFont="1" applyFill="1" applyBorder="1"/>
    <x:xf numFmtId="200" fontId="0" fillId="7" borderId="19" xfId="0" applyNumberFormat="1" applyFont="1" applyFill="1" applyBorder="1"/>
    <x:xf numFmtId="200" fontId="0" fillId="7" borderId="1" xfId="0" applyNumberFormat="1" applyFont="1" applyFill="1" applyBorder="1"/>
    <x:xf numFmtId="200" fontId="0" fillId="7" borderId="21" xfId="0" applyNumberFormat="1" applyFont="1" applyFill="1" applyBorder="1"/>
    <x:xf numFmtId="200" fontId="0" fillId="7" borderId="22" xfId="0" applyNumberFormat="1" applyFont="1" applyFill="1" applyBorder="1"/>
    <x:xf numFmtId="200" fontId="0" fillId="0" borderId="1" xfId="0" applyNumberFormat="1" applyFont="1" applyFill="1" applyBorder="1"/>
    <x:xf numFmtId="0" fontId="0" fillId="9" borderId="0" xfId="0" applyNumberFormat="1" applyFont="1" applyFill="1" applyBorder="1"/>
    <x:xf numFmtId="200" fontId="0" fillId="9" borderId="0" xfId="0" applyNumberFormat="1" applyFont="1" applyFill="1" applyBorder="1"/>
    <x:xf numFmtId="0" fontId="4" fillId="9" borderId="0" xfId="0" applyNumberFormat="1" applyFont="1" applyFill="1" applyBorder="1"/>
    <x:xf numFmtId="200" fontId="4" fillId="9" borderId="0" xfId="0" applyNumberFormat="1" applyFont="1" applyFill="1" applyBorder="1"/>
    <x:xf numFmtId="0" fontId="4" fillId="9" borderId="30" xfId="0" applyNumberFormat="1" applyFont="1" applyFill="1" applyBorder="1"/>
    <x:xf numFmtId="200" fontId="4" fillId="9" borderId="31" xfId="0" applyNumberFormat="1" applyFont="1" applyFill="1" applyBorder="1"/>
    <x:xf numFmtId="0" fontId="4" fillId="9" borderId="31" xfId="0" applyNumberFormat="1" applyFont="1" applyFill="1" applyBorder="1"/>
    <x:xf numFmtId="0" fontId="4" fillId="9" borderId="32" xfId="0" applyNumberFormat="1" applyFont="1" applyFill="1" applyBorder="1"/>
    <x:xf numFmtId="0" fontId="0" fillId="9" borderId="1" xfId="0" applyNumberFormat="1" applyFont="1" applyFill="1" applyBorder="1"/>
    <x:xf numFmtId="200" fontId="0" fillId="9" borderId="1" xfId="0" applyNumberFormat="1" applyFont="1" applyFill="1" applyBorder="1"/>
    <x:xf numFmtId="0" fontId="4" fillId="9" borderId="1" xfId="0" applyNumberFormat="1" applyFont="1" applyFill="1" applyBorder="1"/>
    <x:xf numFmtId="200" fontId="4" fillId="9" borderId="1" xfId="0" applyNumberFormat="1" applyFont="1" applyFill="1" applyBorder="1"/>
    <x:xf numFmtId="0" fontId="4" fillId="9" borderId="33" xfId="0" applyNumberFormat="1" applyFont="1" applyFill="1" applyBorder="1"/>
    <x:xf numFmtId="200" fontId="4" fillId="9" borderId="34" xfId="0" applyNumberFormat="1" applyFont="1" applyFill="1" applyBorder="1"/>
    <x:xf numFmtId="0" fontId="4" fillId="9" borderId="34" xfId="0" applyNumberFormat="1" applyFont="1" applyFill="1" applyBorder="1"/>
    <x:xf numFmtId="0" fontId="4" fillId="9" borderId="35" xfId="0" applyNumberFormat="1" applyFont="1" applyFill="1" applyBorder="1"/>
    <x:xf numFmtId="0" fontId="0" fillId="10" borderId="0" xfId="0" applyNumberFormat="1" applyFont="1" applyFill="1" applyBorder="1"/>
    <x:xf numFmtId="200" fontId="0" fillId="10" borderId="0" xfId="0" applyNumberFormat="1" applyFont="1" applyFill="1" applyBorder="1"/>
    <x:xf numFmtId="0" fontId="6" fillId="10" borderId="0" xfId="0" applyNumberFormat="1" applyFont="1" applyFill="1" applyBorder="1"/>
    <x:xf numFmtId="200" fontId="6" fillId="10" borderId="0" xfId="0" applyNumberFormat="1" applyFont="1" applyFill="1" applyBorder="1"/>
    <x:xf numFmtId="0" fontId="6" fillId="10" borderId="36" xfId="0" applyNumberFormat="1" applyFont="1" applyFill="1" applyBorder="1"/>
    <x:xf numFmtId="200" fontId="6" fillId="10" borderId="37" xfId="0" applyNumberFormat="1" applyFont="1" applyFill="1" applyBorder="1"/>
    <x:xf numFmtId="0" fontId="6" fillId="10" borderId="37" xfId="0" applyNumberFormat="1" applyFont="1" applyFill="1" applyBorder="1"/>
    <x:xf numFmtId="0" fontId="6" fillId="10" borderId="38" xfId="0" applyNumberFormat="1" applyFont="1" applyFill="1" applyBorder="1"/>
    <x:xf numFmtId="0" fontId="0" fillId="10" borderId="1" xfId="0" applyNumberFormat="1" applyFont="1" applyFill="1" applyBorder="1"/>
    <x:xf numFmtId="200" fontId="0" fillId="10" borderId="1" xfId="0" applyNumberFormat="1" applyFont="1" applyFill="1" applyBorder="1"/>
    <x:xf numFmtId="0" fontId="6" fillId="10" borderId="1" xfId="0" applyNumberFormat="1" applyFont="1" applyFill="1" applyBorder="1"/>
    <x:xf numFmtId="200" fontId="6" fillId="10" borderId="1" xfId="0" applyNumberFormat="1" applyFont="1" applyFill="1" applyBorder="1"/>
    <x:xf numFmtId="0" fontId="6" fillId="10" borderId="39" xfId="0" applyNumberFormat="1" applyFont="1" applyFill="1" applyBorder="1"/>
    <x:xf numFmtId="200" fontId="6" fillId="10" borderId="40" xfId="0" applyNumberFormat="1" applyFont="1" applyFill="1" applyBorder="1"/>
    <x:xf numFmtId="0" fontId="6" fillId="10" borderId="40" xfId="0" applyNumberFormat="1" applyFont="1" applyFill="1" applyBorder="1"/>
    <x:xf numFmtId="0" fontId="6" fillId="10" borderId="41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horizontal="center"/>
    </x:xf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horizontal="center"/>
    </x:xf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horizontal="center"/>
    </x:xf>
    <x:xf numFmtId="0" fontId="8" fillId="7" borderId="0" xfId="0" applyNumberFormat="1" applyFont="1" applyFill="1" applyBorder="1" applyAlignment="1">
      <x:alignment horizontal="center" vertical="center"/>
    </x:xf>
    <x:xf numFmtId="0" fontId="8" fillId="7" borderId="1" xfId="0" applyNumberFormat="1" applyFont="1" applyFill="1" applyBorder="1"/>
    <x:xf numFmtId="0" fontId="8" fillId="7" borderId="1" xfId="0" applyNumberFormat="1" applyFont="1" applyFill="1" applyBorder="1" applyAlignment="1">
      <x:alignment horizontal="center"/>
    </x:xf>
    <x:xf numFmtId="0" fontId="8" fillId="7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d4a42d352248e7" /><Relationship Type="http://schemas.openxmlformats.org/officeDocument/2006/relationships/theme" Target="/xl/theme/theme1.xml" Id="R4a39ed55f2e24116" /><Relationship Type="http://schemas.openxmlformats.org/officeDocument/2006/relationships/sharedStrings" Target="/xl/sharedStrings.xml" Id="R7cd8af2733894921" /><Relationship Type="http://schemas.openxmlformats.org/officeDocument/2006/relationships/worksheet" Target="/xl/worksheets/sheet1.xml" Id="R63a878198f0e42cf" /><Relationship Type="http://schemas.openxmlformats.org/officeDocument/2006/relationships/worksheet" Target="/xl/worksheets/sheet2.xml" Id="R27d4aec7a48449d0" /><Relationship Type="http://schemas.openxmlformats.org/officeDocument/2006/relationships/worksheet" Target="/xl/worksheets/sheet3.xml" Id="R057632380e75401e" /><Relationship Type="http://schemas.openxmlformats.org/officeDocument/2006/relationships/worksheet" Target="/xl/worksheets/sheet4.xml" Id="R25bd7fef90e044d7" /><Relationship Type="http://schemas.openxmlformats.org/officeDocument/2006/relationships/worksheet" Target="/xl/worksheets/sheet5.xml" Id="R8d50d9d515ea4a24" /><Relationship Type="http://schemas.openxmlformats.org/officeDocument/2006/relationships/worksheet" Target="/xl/worksheets/sheet6.xml" Id="Rb7f4845565ab429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4" hidden="0" customWidth="1"/>
  </x:cols>
  <x:sheetData>
    <x:row r="1" ht="30" customHeight="1">
      <x:c r="A1" s="5" t="str">
        <x:v>총계정원장·보조부 계정잔액 대사</x:v>
      </x:c>
      <x:c r="B1" s="5"/>
      <x:c r="C1" s="5"/>
      <x:c r="D1" s="5"/>
      <x:c r="E1" s="5"/>
      <x:c r="F1" s="5"/>
      <x:c r="G1" s="5"/>
      <x:c r="H1" s="5"/>
    </x:row>
    <x:row r="2" ht="24" customHeight="1">
      <x:c r="A2" s="12" t="str">
        <x:v>계정별 총계정원장과 보조부 잔액을 집계해 차이·절대차이·대사상태를 계산하는 합성 회계 샘플</x:v>
      </x:c>
      <x:c r="B2" s="12"/>
      <x:c r="C2" s="12"/>
      <x:c r="D2" s="12"/>
      <x:c r="E2" s="12"/>
      <x:c r="F2" s="12"/>
      <x:c r="G2" s="12"/>
      <x:c r="H2" s="12"/>
    </x:row>
    <x:row r="3">
      <x:c r="A3" s="18" t="str">
        <x:v>M4-C 추가 교정용 합성 데이터입니다. 노란색은 입력, 파란색은 계산 영역입니다.</x:v>
      </x:c>
      <x:c r="B3" s="18"/>
      <x:c r="C3" s="18"/>
      <x:c r="D3" s="18"/>
      <x:c r="E3" s="18"/>
      <x:c r="F3" s="18"/>
      <x:c r="G3" s="18"/>
      <x:c r="H3" s="18"/>
    </x:row>
    <x:row r="5" ht="28" customHeight="1">
      <x:c r="A5" s="30" t="str">
        <x:v>구분</x:v>
      </x:c>
      <x:c r="B5" s="31" t="str">
        <x:v>내용</x:v>
      </x:c>
    </x:row>
    <x:row r="6">
      <x:c r="A6" s="45" t="str">
        <x:v>샘플 성격</x:v>
      </x:c>
      <x:c r="B6" s="51" t="str">
        <x:v>실제 회사·개인정보를 사용하지 않은 합성 업무 파일</x:v>
      </x:c>
    </x:row>
    <x:row r="7">
      <x:c r="A7" s="45" t="str">
        <x:v>검증 용도</x:v>
      </x:c>
      <x:c r="B7" s="51" t="str">
        <x:v>Holdout</x:v>
      </x:c>
    </x:row>
    <x:row r="8">
      <x:c r="A8" s="45" t="str">
        <x:v>핵심 검증</x:v>
      </x:c>
      <x:c r="B8" s="51" t="str">
        <x:v>GL 집계 기준행 이탈, 차이 함수 이탈, 절대차이 상수 덮어쓰기, 상태 빈 셀</x:v>
      </x:c>
    </x:row>
    <x:row r="9">
      <x:c r="A9" s="45" t="str">
        <x:v>사용 방법</x:v>
      </x:c>
      <x:c r="B9" s="51" t="str">
        <x:v>기본 무료 진단 후 M4 수식 패턴 정밀검사를 선택 실행</x:v>
      </x:c>
    </x:row>
    <x:row r="10">
      <x:c r="A10" s="45" t="str">
        <x:v>주의</x:v>
      </x:c>
      <x:c r="B10" s="51" t="str">
        <x:v>Finding은 업무 오류 확정이 아니라 사람이 확인할 이상 후보입니다.</x:v>
      </x:c>
    </x:row>
    <x:row r="12" ht="28" customHeight="1">
      <x:c r="A12" s="30" t="str">
        <x:v>시트</x:v>
      </x:c>
      <x:c r="B12" s="31" t="str">
        <x:v>업무 역할</x:v>
      </x:c>
    </x:row>
    <x:row r="13">
      <x:c r="A13" s="55" t="str">
        <x:v>계정마스터</x:v>
      </x:c>
      <x:c r="B13" s="50" t="str">
        <x:v>계정·허용오차</x:v>
      </x:c>
    </x:row>
    <x:row r="14">
      <x:c r="A14" s="55" t="str">
        <x:v>총계정원장</x:v>
      </x:c>
      <x:c r="B14" s="50" t="str">
        <x:v>GL 거래</x:v>
      </x:c>
    </x:row>
    <x:row r="15">
      <x:c r="A15" s="55" t="str">
        <x:v>보조부</x:v>
      </x:c>
      <x:c r="B15" s="50" t="str">
        <x:v>Subledger 거래</x:v>
      </x:c>
    </x:row>
    <x:row r="16">
      <x:c r="A16" s="55" t="str">
        <x:v>대사표</x:v>
      </x:c>
      <x:c r="B16" s="50" t="str">
        <x:v>계정별 잔액 대사</x:v>
      </x:c>
    </x:row>
    <x:row r="17">
      <x:c r="A17" s="55" t="str">
        <x:v>요약</x:v>
      </x:c>
      <x:c r="B17" s="50" t="str">
        <x:v>대사 KPI</x:v>
      </x:c>
    </x:row>
  </x:sheetData>
  <x:mergeCells>
    <x:mergeCell ref="A1:H1"/>
    <x:mergeCell ref="A2:H2"/>
    <x:mergeCell ref="A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0" hidden="0" customWidth="1"/>
    <x:col min="3" max="3" width="13" hidden="0" customWidth="1"/>
  </x:cols>
  <x:sheetData>
    <x:row r="1" ht="30" customHeight="1">
      <x:c r="A1" s="5" t="str">
        <x:v>계정 마스터</x:v>
      </x:c>
      <x:c r="B1" s="5"/>
      <x:c r="C1" s="5"/>
    </x:row>
    <x:row r="2" ht="24" customHeight="1">
      <x:c r="A2" s="12" t="str">
        <x:v>합성 계정·허용오차</x:v>
      </x:c>
      <x:c r="B2" s="12"/>
      <x:c r="C2" s="12"/>
    </x:row>
    <x:row r="3">
      <x:c r="A3" s="18" t="str">
        <x:v>M4-C 추가 교정용 합성 데이터입니다. 노란색은 입력, 파란색은 계산 영역입니다.</x:v>
      </x:c>
      <x:c r="B3" s="18"/>
      <x:c r="C3" s="18"/>
    </x:row>
    <x:row r="5" ht="28" customHeight="1">
      <x:c r="A5" s="30" t="str">
        <x:v>계정코드</x:v>
      </x:c>
      <x:c r="B5" s="61" t="str">
        <x:v>계정명</x:v>
      </x:c>
      <x:c r="C5" s="31" t="str">
        <x:v>허용오차</x:v>
      </x:c>
    </x:row>
    <x:row r="6">
      <x:c r="A6" s="67" t="str">
        <x:v>AC-0001</x:v>
      </x:c>
      <x:c r="B6" s="68" t="str">
        <x:v>계정01</x:v>
      </x:c>
      <x:c r="C6" s="84" t="n">
        <x:v>1000</x:v>
      </x:c>
    </x:row>
    <x:row r="7">
      <x:c r="A7" s="70" t="str">
        <x:v>AC-0002</x:v>
      </x:c>
      <x:c r="B7" s="66" t="str">
        <x:v>계정02</x:v>
      </x:c>
      <x:c r="C7" s="85" t="n">
        <x:v>1000</x:v>
      </x:c>
    </x:row>
    <x:row r="8">
      <x:c r="A8" s="70" t="str">
        <x:v>AC-0003</x:v>
      </x:c>
      <x:c r="B8" s="66" t="str">
        <x:v>계정03</x:v>
      </x:c>
      <x:c r="C8" s="85" t="n">
        <x:v>1000</x:v>
      </x:c>
    </x:row>
    <x:row r="9">
      <x:c r="A9" s="70" t="str">
        <x:v>AC-0004</x:v>
      </x:c>
      <x:c r="B9" s="66" t="str">
        <x:v>계정04</x:v>
      </x:c>
      <x:c r="C9" s="85" t="n">
        <x:v>5000</x:v>
      </x:c>
    </x:row>
    <x:row r="10">
      <x:c r="A10" s="70" t="str">
        <x:v>AC-0005</x:v>
      </x:c>
      <x:c r="B10" s="66" t="str">
        <x:v>계정05</x:v>
      </x:c>
      <x:c r="C10" s="85" t="n">
        <x:v>1000</x:v>
      </x:c>
    </x:row>
    <x:row r="11">
      <x:c r="A11" s="70" t="str">
        <x:v>AC-0006</x:v>
      </x:c>
      <x:c r="B11" s="66" t="str">
        <x:v>계정06</x:v>
      </x:c>
      <x:c r="C11" s="85" t="n">
        <x:v>1000</x:v>
      </x:c>
    </x:row>
    <x:row r="12">
      <x:c r="A12" s="70" t="str">
        <x:v>AC-0007</x:v>
      </x:c>
      <x:c r="B12" s="66" t="str">
        <x:v>계정07</x:v>
      </x:c>
      <x:c r="C12" s="85" t="n">
        <x:v>1000</x:v>
      </x:c>
    </x:row>
    <x:row r="13">
      <x:c r="A13" s="70" t="str">
        <x:v>AC-0008</x:v>
      </x:c>
      <x:c r="B13" s="66" t="str">
        <x:v>계정08</x:v>
      </x:c>
      <x:c r="C13" s="85" t="n">
        <x:v>5000</x:v>
      </x:c>
    </x:row>
    <x:row r="14">
      <x:c r="A14" s="70" t="str">
        <x:v>AC-0009</x:v>
      </x:c>
      <x:c r="B14" s="66" t="str">
        <x:v>계정09</x:v>
      </x:c>
      <x:c r="C14" s="85" t="n">
        <x:v>1000</x:v>
      </x:c>
    </x:row>
    <x:row r="15">
      <x:c r="A15" s="70" t="str">
        <x:v>AC-0010</x:v>
      </x:c>
      <x:c r="B15" s="66" t="str">
        <x:v>계정10</x:v>
      </x:c>
      <x:c r="C15" s="85" t="n">
        <x:v>1000</x:v>
      </x:c>
    </x:row>
    <x:row r="16">
      <x:c r="A16" s="70" t="str">
        <x:v>AC-0011</x:v>
      </x:c>
      <x:c r="B16" s="66" t="str">
        <x:v>계정11</x:v>
      </x:c>
      <x:c r="C16" s="85" t="n">
        <x:v>1000</x:v>
      </x:c>
    </x:row>
    <x:row r="17">
      <x:c r="A17" s="70" t="str">
        <x:v>AC-0012</x:v>
      </x:c>
      <x:c r="B17" s="66" t="str">
        <x:v>계정12</x:v>
      </x:c>
      <x:c r="C17" s="85" t="n">
        <x:v>5000</x:v>
      </x:c>
    </x:row>
    <x:row r="18">
      <x:c r="A18" s="70" t="str">
        <x:v>AC-0013</x:v>
      </x:c>
      <x:c r="B18" s="66" t="str">
        <x:v>계정13</x:v>
      </x:c>
      <x:c r="C18" s="85" t="n">
        <x:v>1000</x:v>
      </x:c>
    </x:row>
    <x:row r="19">
      <x:c r="A19" s="70" t="str">
        <x:v>AC-0014</x:v>
      </x:c>
      <x:c r="B19" s="66" t="str">
        <x:v>계정14</x:v>
      </x:c>
      <x:c r="C19" s="85" t="n">
        <x:v>1000</x:v>
      </x:c>
    </x:row>
    <x:row r="20">
      <x:c r="A20" s="70" t="str">
        <x:v>AC-0015</x:v>
      </x:c>
      <x:c r="B20" s="66" t="str">
        <x:v>계정15</x:v>
      </x:c>
      <x:c r="C20" s="85" t="n">
        <x:v>1000</x:v>
      </x:c>
    </x:row>
    <x:row r="21">
      <x:c r="A21" s="70" t="str">
        <x:v>AC-0016</x:v>
      </x:c>
      <x:c r="B21" s="66" t="str">
        <x:v>계정16</x:v>
      </x:c>
      <x:c r="C21" s="85" t="n">
        <x:v>5000</x:v>
      </x:c>
    </x:row>
    <x:row r="22">
      <x:c r="A22" s="70" t="str">
        <x:v>AC-0017</x:v>
      </x:c>
      <x:c r="B22" s="66" t="str">
        <x:v>계정17</x:v>
      </x:c>
      <x:c r="C22" s="85" t="n">
        <x:v>1000</x:v>
      </x:c>
    </x:row>
    <x:row r="23">
      <x:c r="A23" s="70" t="str">
        <x:v>AC-0018</x:v>
      </x:c>
      <x:c r="B23" s="66" t="str">
        <x:v>계정18</x:v>
      </x:c>
      <x:c r="C23" s="85" t="n">
        <x:v>1000</x:v>
      </x:c>
    </x:row>
    <x:row r="24">
      <x:c r="A24" s="70" t="str">
        <x:v>AC-0019</x:v>
      </x:c>
      <x:c r="B24" s="66" t="str">
        <x:v>계정19</x:v>
      </x:c>
      <x:c r="C24" s="85" t="n">
        <x:v>1000</x:v>
      </x:c>
    </x:row>
    <x:row r="25">
      <x:c r="A25" s="70" t="str">
        <x:v>AC-0020</x:v>
      </x:c>
      <x:c r="B25" s="66" t="str">
        <x:v>계정20</x:v>
      </x:c>
      <x:c r="C25" s="85" t="n">
        <x:v>5000</x:v>
      </x:c>
    </x:row>
    <x:row r="26">
      <x:c r="A26" s="70" t="str">
        <x:v>AC-0021</x:v>
      </x:c>
      <x:c r="B26" s="66" t="str">
        <x:v>계정21</x:v>
      </x:c>
      <x:c r="C26" s="85" t="n">
        <x:v>1000</x:v>
      </x:c>
    </x:row>
    <x:row r="27">
      <x:c r="A27" s="70" t="str">
        <x:v>AC-0022</x:v>
      </x:c>
      <x:c r="B27" s="66" t="str">
        <x:v>계정22</x:v>
      </x:c>
      <x:c r="C27" s="85" t="n">
        <x:v>1000</x:v>
      </x:c>
    </x:row>
    <x:row r="28">
      <x:c r="A28" s="70" t="str">
        <x:v>AC-0023</x:v>
      </x:c>
      <x:c r="B28" s="66" t="str">
        <x:v>계정23</x:v>
      </x:c>
      <x:c r="C28" s="85" t="n">
        <x:v>1000</x:v>
      </x:c>
    </x:row>
    <x:row r="29">
      <x:c r="A29" s="70" t="str">
        <x:v>AC-0024</x:v>
      </x:c>
      <x:c r="B29" s="66" t="str">
        <x:v>계정24</x:v>
      </x:c>
      <x:c r="C29" s="85" t="n">
        <x:v>5000</x:v>
      </x:c>
    </x:row>
    <x:row r="30">
      <x:c r="A30" s="70" t="str">
        <x:v>AC-0025</x:v>
      </x:c>
      <x:c r="B30" s="66" t="str">
        <x:v>계정25</x:v>
      </x:c>
      <x:c r="C30" s="85" t="n">
        <x:v>1000</x:v>
      </x:c>
    </x:row>
    <x:row r="31">
      <x:c r="A31" s="70" t="str">
        <x:v>AC-0026</x:v>
      </x:c>
      <x:c r="B31" s="66" t="str">
        <x:v>계정26</x:v>
      </x:c>
      <x:c r="C31" s="85" t="n">
        <x:v>1000</x:v>
      </x:c>
    </x:row>
    <x:row r="32">
      <x:c r="A32" s="70" t="str">
        <x:v>AC-0027</x:v>
      </x:c>
      <x:c r="B32" s="66" t="str">
        <x:v>계정27</x:v>
      </x:c>
      <x:c r="C32" s="85" t="n">
        <x:v>1000</x:v>
      </x:c>
    </x:row>
    <x:row r="33">
      <x:c r="A33" s="70" t="str">
        <x:v>AC-0028</x:v>
      </x:c>
      <x:c r="B33" s="66" t="str">
        <x:v>계정28</x:v>
      </x:c>
      <x:c r="C33" s="85" t="n">
        <x:v>5000</x:v>
      </x:c>
    </x:row>
    <x:row r="34">
      <x:c r="A34" s="70" t="str">
        <x:v>AC-0029</x:v>
      </x:c>
      <x:c r="B34" s="66" t="str">
        <x:v>계정29</x:v>
      </x:c>
      <x:c r="C34" s="85" t="n">
        <x:v>1000</x:v>
      </x:c>
    </x:row>
    <x:row r="35">
      <x:c r="A35" s="70" t="str">
        <x:v>AC-0030</x:v>
      </x:c>
      <x:c r="B35" s="66" t="str">
        <x:v>계정30</x:v>
      </x:c>
      <x:c r="C35" s="85" t="n">
        <x:v>1000</x:v>
      </x:c>
    </x:row>
    <x:row r="36">
      <x:c r="A36" s="70" t="str">
        <x:v>AC-0031</x:v>
      </x:c>
      <x:c r="B36" s="66" t="str">
        <x:v>계정31</x:v>
      </x:c>
      <x:c r="C36" s="85" t="n">
        <x:v>1000</x:v>
      </x:c>
    </x:row>
    <x:row r="37">
      <x:c r="A37" s="70" t="str">
        <x:v>AC-0032</x:v>
      </x:c>
      <x:c r="B37" s="66" t="str">
        <x:v>계정32</x:v>
      </x:c>
      <x:c r="C37" s="85" t="n">
        <x:v>5000</x:v>
      </x:c>
    </x:row>
    <x:row r="38">
      <x:c r="A38" s="70" t="str">
        <x:v>AC-0033</x:v>
      </x:c>
      <x:c r="B38" s="66" t="str">
        <x:v>계정33</x:v>
      </x:c>
      <x:c r="C38" s="85" t="n">
        <x:v>1000</x:v>
      </x:c>
    </x:row>
    <x:row r="39">
      <x:c r="A39" s="70" t="str">
        <x:v>AC-0034</x:v>
      </x:c>
      <x:c r="B39" s="66" t="str">
        <x:v>계정34</x:v>
      </x:c>
      <x:c r="C39" s="85" t="n">
        <x:v>1000</x:v>
      </x:c>
    </x:row>
    <x:row r="40">
      <x:c r="A40" s="70" t="str">
        <x:v>AC-0035</x:v>
      </x:c>
      <x:c r="B40" s="66" t="str">
        <x:v>계정35</x:v>
      </x:c>
      <x:c r="C40" s="85" t="n">
        <x:v>1000</x:v>
      </x:c>
    </x:row>
    <x:row r="41">
      <x:c r="A41" s="70" t="str">
        <x:v>AC-0036</x:v>
      </x:c>
      <x:c r="B41" s="66" t="str">
        <x:v>계정36</x:v>
      </x:c>
      <x:c r="C41" s="85" t="n">
        <x:v>5000</x:v>
      </x:c>
    </x:row>
    <x:row r="42">
      <x:c r="A42" s="70" t="str">
        <x:v>AC-0037</x:v>
      </x:c>
      <x:c r="B42" s="66" t="str">
        <x:v>계정37</x:v>
      </x:c>
      <x:c r="C42" s="85" t="n">
        <x:v>1000</x:v>
      </x:c>
    </x:row>
    <x:row r="43">
      <x:c r="A43" s="70" t="str">
        <x:v>AC-0038</x:v>
      </x:c>
      <x:c r="B43" s="66" t="str">
        <x:v>계정38</x:v>
      </x:c>
      <x:c r="C43" s="85" t="n">
        <x:v>1000</x:v>
      </x:c>
    </x:row>
    <x:row r="44">
      <x:c r="A44" s="70" t="str">
        <x:v>AC-0039</x:v>
      </x:c>
      <x:c r="B44" s="66" t="str">
        <x:v>계정39</x:v>
      </x:c>
      <x:c r="C44" s="85" t="n">
        <x:v>1000</x:v>
      </x:c>
    </x:row>
    <x:row r="45">
      <x:c r="A45" s="70" t="str">
        <x:v>AC-0040</x:v>
      </x:c>
      <x:c r="B45" s="66" t="str">
        <x:v>계정40</x:v>
      </x:c>
      <x:c r="C45" s="85" t="n">
        <x:v>5000</x:v>
      </x:c>
    </x:row>
    <x:row r="46">
      <x:c r="A46" s="70" t="str">
        <x:v>AC-0041</x:v>
      </x:c>
      <x:c r="B46" s="66" t="str">
        <x:v>계정41</x:v>
      </x:c>
      <x:c r="C46" s="85" t="n">
        <x:v>1000</x:v>
      </x:c>
    </x:row>
    <x:row r="47">
      <x:c r="A47" s="70" t="str">
        <x:v>AC-0042</x:v>
      </x:c>
      <x:c r="B47" s="66" t="str">
        <x:v>계정42</x:v>
      </x:c>
      <x:c r="C47" s="85" t="n">
        <x:v>1000</x:v>
      </x:c>
    </x:row>
    <x:row r="48">
      <x:c r="A48" s="70" t="str">
        <x:v>AC-0043</x:v>
      </x:c>
      <x:c r="B48" s="66" t="str">
        <x:v>계정43</x:v>
      </x:c>
      <x:c r="C48" s="85" t="n">
        <x:v>1000</x:v>
      </x:c>
    </x:row>
    <x:row r="49">
      <x:c r="A49" s="70" t="str">
        <x:v>AC-0044</x:v>
      </x:c>
      <x:c r="B49" s="66" t="str">
        <x:v>계정44</x:v>
      </x:c>
      <x:c r="C49" s="85" t="n">
        <x:v>5000</x:v>
      </x:c>
    </x:row>
    <x:row r="50">
      <x:c r="A50" s="70" t="str">
        <x:v>AC-0045</x:v>
      </x:c>
      <x:c r="B50" s="66" t="str">
        <x:v>계정45</x:v>
      </x:c>
      <x:c r="C50" s="85" t="n">
        <x:v>1000</x:v>
      </x:c>
    </x:row>
    <x:row r="51">
      <x:c r="A51" s="70" t="str">
        <x:v>AC-0046</x:v>
      </x:c>
      <x:c r="B51" s="66" t="str">
        <x:v>계정46</x:v>
      </x:c>
      <x:c r="C51" s="85" t="n">
        <x:v>1000</x:v>
      </x:c>
    </x:row>
    <x:row r="52">
      <x:c r="A52" s="70" t="str">
        <x:v>AC-0047</x:v>
      </x:c>
      <x:c r="B52" s="66" t="str">
        <x:v>계정47</x:v>
      </x:c>
      <x:c r="C52" s="85" t="n">
        <x:v>1000</x:v>
      </x:c>
    </x:row>
    <x:row r="53">
      <x:c r="A53" s="70" t="str">
        <x:v>AC-0048</x:v>
      </x:c>
      <x:c r="B53" s="66" t="str">
        <x:v>계정48</x:v>
      </x:c>
      <x:c r="C53" s="85" t="n">
        <x:v>5000</x:v>
      </x:c>
    </x:row>
    <x:row r="54">
      <x:c r="A54" s="70" t="str">
        <x:v>AC-0049</x:v>
      </x:c>
      <x:c r="B54" s="66" t="str">
        <x:v>계정49</x:v>
      </x:c>
      <x:c r="C54" s="85" t="n">
        <x:v>1000</x:v>
      </x:c>
    </x:row>
    <x:row r="55">
      <x:c r="A55" s="72" t="str">
        <x:v>AC-0050</x:v>
      </x:c>
      <x:c r="B55" s="73" t="str">
        <x:v>계정50</x:v>
      </x:c>
      <x:c r="C55" s="86" t="n">
        <x:v>1000</x:v>
      </x:c>
    </x:row>
  </x:sheetData>
  <x:mergeCells>
    <x:mergeCell ref="A1:C1"/>
    <x:mergeCell ref="A2:C2"/>
    <x:mergeCell ref="A3:C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5" hidden="0" customWidth="1"/>
    <x:col min="3" max="3" width="22" hidden="0" customWidth="1"/>
    <x:col min="4" max="4" width="15" hidden="0" customWidth="1"/>
    <x:col min="5" max="5" width="15" hidden="0" customWidth="1"/>
  </x:cols>
  <x:sheetData>
    <x:row r="1" ht="30" customHeight="1">
      <x:c r="A1" s="5" t="str">
        <x:v>총계정원장</x:v>
      </x:c>
      <x:c r="B1" s="5"/>
      <x:c r="C1" s="5"/>
      <x:c r="D1" s="5"/>
      <x:c r="E1" s="5"/>
    </x:row>
    <x:row r="2" ht="24" customHeight="1">
      <x:c r="A2" s="12" t="str">
        <x:v>합성 총계정원장 거래 데이터</x:v>
      </x:c>
      <x:c r="B2" s="12"/>
      <x:c r="C2" s="12"/>
      <x:c r="D2" s="12"/>
      <x:c r="E2" s="12"/>
    </x:row>
    <x:row r="3">
      <x:c r="A3" s="18" t="str">
        <x:v>M4-C 추가 교정용 합성 데이터입니다. 노란색은 입력, 파란색은 계산 영역입니다.</x:v>
      </x:c>
      <x:c r="B3" s="18"/>
      <x:c r="C3" s="18"/>
      <x:c r="D3" s="18"/>
      <x:c r="E3" s="18"/>
    </x:row>
    <x:row r="5" ht="28" customHeight="1">
      <x:c r="A5" s="30" t="str">
        <x:v>일자</x:v>
      </x:c>
      <x:c r="B5" s="61" t="str">
        <x:v>계정코드</x:v>
      </x:c>
      <x:c r="C5" s="61" t="str">
        <x:v>적요</x:v>
      </x:c>
      <x:c r="D5" s="61" t="str">
        <x:v>차변</x:v>
      </x:c>
      <x:c r="E5" s="31" t="str">
        <x:v>대변</x:v>
      </x:c>
    </x:row>
    <x:row r="6">
      <x:c r="A6" s="90" t="n">
        <x:v>46023</x:v>
      </x:c>
      <x:c r="B6" s="68" t="str">
        <x:v>AC-0001</x:v>
      </x:c>
      <x:c r="C6" s="68" t="str">
        <x:v>거래0001</x:v>
      </x:c>
      <x:c r="D6" s="96" t="n">
        <x:v>960000</x:v>
      </x:c>
      <x:c r="E6" s="84" t="n">
        <x:v>0</x:v>
      </x:c>
    </x:row>
    <x:row r="7">
      <x:c r="A7" s="91" t="n">
        <x:v>46024</x:v>
      </x:c>
      <x:c r="B7" s="66" t="str">
        <x:v>AC-0002</x:v>
      </x:c>
      <x:c r="C7" s="66" t="str">
        <x:v>거래0002</x:v>
      </x:c>
      <x:c r="D7" s="97" t="n">
        <x:v>0</x:v>
      </x:c>
      <x:c r="E7" s="85" t="n">
        <x:v>340000</x:v>
      </x:c>
    </x:row>
    <x:row r="8">
      <x:c r="A8" s="91" t="n">
        <x:v>46025</x:v>
      </x:c>
      <x:c r="B8" s="66" t="str">
        <x:v>AC-0003</x:v>
      </x:c>
      <x:c r="C8" s="66" t="str">
        <x:v>거래0003</x:v>
      </x:c>
      <x:c r="D8" s="97" t="n">
        <x:v>1140000</x:v>
      </x:c>
      <x:c r="E8" s="85" t="n">
        <x:v>0</x:v>
      </x:c>
    </x:row>
    <x:row r="9">
      <x:c r="A9" s="91" t="n">
        <x:v>46026</x:v>
      </x:c>
      <x:c r="B9" s="66" t="str">
        <x:v>AC-0004</x:v>
      </x:c>
      <x:c r="C9" s="66" t="str">
        <x:v>거래0004</x:v>
      </x:c>
      <x:c r="D9" s="97" t="n">
        <x:v>0</x:v>
      </x:c>
      <x:c r="E9" s="85" t="n">
        <x:v>340000</x:v>
      </x:c>
    </x:row>
    <x:row r="10">
      <x:c r="A10" s="91" t="n">
        <x:v>46027</x:v>
      </x:c>
      <x:c r="B10" s="66" t="str">
        <x:v>AC-0005</x:v>
      </x:c>
      <x:c r="C10" s="66" t="str">
        <x:v>거래0005</x:v>
      </x:c>
      <x:c r="D10" s="97" t="n">
        <x:v>1350000</x:v>
      </x:c>
      <x:c r="E10" s="85" t="n">
        <x:v>0</x:v>
      </x:c>
    </x:row>
    <x:row r="11">
      <x:c r="A11" s="91" t="n">
        <x:v>46028</x:v>
      </x:c>
      <x:c r="B11" s="66" t="str">
        <x:v>AC-0006</x:v>
      </x:c>
      <x:c r="C11" s="66" t="str">
        <x:v>거래0006</x:v>
      </x:c>
      <x:c r="D11" s="97" t="n">
        <x:v>0</x:v>
      </x:c>
      <x:c r="E11" s="85" t="n">
        <x:v>560000</x:v>
      </x:c>
    </x:row>
    <x:row r="12">
      <x:c r="A12" s="91" t="n">
        <x:v>46029</x:v>
      </x:c>
      <x:c r="B12" s="66" t="str">
        <x:v>AC-0007</x:v>
      </x:c>
      <x:c r="C12" s="66" t="str">
        <x:v>거래0007</x:v>
      </x:c>
      <x:c r="D12" s="97" t="n">
        <x:v>460000</x:v>
      </x:c>
      <x:c r="E12" s="85" t="n">
        <x:v>0</x:v>
      </x:c>
    </x:row>
    <x:row r="13">
      <x:c r="A13" s="91" t="n">
        <x:v>46030</x:v>
      </x:c>
      <x:c r="B13" s="66" t="str">
        <x:v>AC-0008</x:v>
      </x:c>
      <x:c r="C13" s="66" t="str">
        <x:v>거래0008</x:v>
      </x:c>
      <x:c r="D13" s="97" t="n">
        <x:v>0</x:v>
      </x:c>
      <x:c r="E13" s="85" t="n">
        <x:v>790000</x:v>
      </x:c>
    </x:row>
    <x:row r="14">
      <x:c r="A14" s="91" t="n">
        <x:v>46031</x:v>
      </x:c>
      <x:c r="B14" s="66" t="str">
        <x:v>AC-0009</x:v>
      </x:c>
      <x:c r="C14" s="66" t="str">
        <x:v>거래0009</x:v>
      </x:c>
      <x:c r="D14" s="97" t="n">
        <x:v>1360000</x:v>
      </x:c>
      <x:c r="E14" s="85" t="n">
        <x:v>0</x:v>
      </x:c>
    </x:row>
    <x:row r="15">
      <x:c r="A15" s="91" t="n">
        <x:v>46032</x:v>
      </x:c>
      <x:c r="B15" s="66" t="str">
        <x:v>AC-0010</x:v>
      </x:c>
      <x:c r="C15" s="66" t="str">
        <x:v>거래0010</x:v>
      </x:c>
      <x:c r="D15" s="97" t="n">
        <x:v>0</x:v>
      </x:c>
      <x:c r="E15" s="85" t="n">
        <x:v>420000</x:v>
      </x:c>
    </x:row>
    <x:row r="16">
      <x:c r="A16" s="91" t="n">
        <x:v>46033</x:v>
      </x:c>
      <x:c r="B16" s="66" t="str">
        <x:v>AC-0011</x:v>
      </x:c>
      <x:c r="C16" s="66" t="str">
        <x:v>거래0011</x:v>
      </x:c>
      <x:c r="D16" s="97" t="n">
        <x:v>660000</x:v>
      </x:c>
      <x:c r="E16" s="85" t="n">
        <x:v>0</x:v>
      </x:c>
    </x:row>
    <x:row r="17">
      <x:c r="A17" s="91" t="n">
        <x:v>46034</x:v>
      </x:c>
      <x:c r="B17" s="66" t="str">
        <x:v>AC-0012</x:v>
      </x:c>
      <x:c r="C17" s="66" t="str">
        <x:v>거래0012</x:v>
      </x:c>
      <x:c r="D17" s="97" t="n">
        <x:v>0</x:v>
      </x:c>
      <x:c r="E17" s="85" t="n">
        <x:v>1060000</x:v>
      </x:c>
    </x:row>
    <x:row r="18">
      <x:c r="A18" s="91" t="n">
        <x:v>46035</x:v>
      </x:c>
      <x:c r="B18" s="66" t="str">
        <x:v>AC-0013</x:v>
      </x:c>
      <x:c r="C18" s="66" t="str">
        <x:v>거래0013</x:v>
      </x:c>
      <x:c r="D18" s="97" t="n">
        <x:v>580000</x:v>
      </x:c>
      <x:c r="E18" s="85" t="n">
        <x:v>0</x:v>
      </x:c>
    </x:row>
    <x:row r="19">
      <x:c r="A19" s="91" t="n">
        <x:v>46036</x:v>
      </x:c>
      <x:c r="B19" s="66" t="str">
        <x:v>AC-0014</x:v>
      </x:c>
      <x:c r="C19" s="66" t="str">
        <x:v>거래0014</x:v>
      </x:c>
      <x:c r="D19" s="97" t="n">
        <x:v>0</x:v>
      </x:c>
      <x:c r="E19" s="85" t="n">
        <x:v>850000</x:v>
      </x:c>
    </x:row>
    <x:row r="20">
      <x:c r="A20" s="91" t="n">
        <x:v>46037</x:v>
      </x:c>
      <x:c r="B20" s="66" t="str">
        <x:v>AC-0015</x:v>
      </x:c>
      <x:c r="C20" s="66" t="str">
        <x:v>거래0015</x:v>
      </x:c>
      <x:c r="D20" s="97" t="n">
        <x:v>700000</x:v>
      </x:c>
      <x:c r="E20" s="85" t="n">
        <x:v>0</x:v>
      </x:c>
    </x:row>
    <x:row r="21">
      <x:c r="A21" s="91" t="n">
        <x:v>46038</x:v>
      </x:c>
      <x:c r="B21" s="66" t="str">
        <x:v>AC-0016</x:v>
      </x:c>
      <x:c r="C21" s="66" t="str">
        <x:v>거래0016</x:v>
      </x:c>
      <x:c r="D21" s="97" t="n">
        <x:v>0</x:v>
      </x:c>
      <x:c r="E21" s="85" t="n">
        <x:v>1080000</x:v>
      </x:c>
    </x:row>
    <x:row r="22">
      <x:c r="A22" s="91" t="n">
        <x:v>46039</x:v>
      </x:c>
      <x:c r="B22" s="66" t="str">
        <x:v>AC-0017</x:v>
      </x:c>
      <x:c r="C22" s="66" t="str">
        <x:v>거래0017</x:v>
      </x:c>
      <x:c r="D22" s="97" t="n">
        <x:v>710000</x:v>
      </x:c>
      <x:c r="E22" s="85" t="n">
        <x:v>0</x:v>
      </x:c>
    </x:row>
    <x:row r="23">
      <x:c r="A23" s="91" t="n">
        <x:v>46040</x:v>
      </x:c>
      <x:c r="B23" s="66" t="str">
        <x:v>AC-0018</x:v>
      </x:c>
      <x:c r="C23" s="66" t="str">
        <x:v>거래0018</x:v>
      </x:c>
      <x:c r="D23" s="97" t="n">
        <x:v>0</x:v>
      </x:c>
      <x:c r="E23" s="85" t="n">
        <x:v>780000</x:v>
      </x:c>
    </x:row>
    <x:row r="24">
      <x:c r="A24" s="91" t="n">
        <x:v>46041</x:v>
      </x:c>
      <x:c r="B24" s="66" t="str">
        <x:v>AC-0019</x:v>
      </x:c>
      <x:c r="C24" s="66" t="str">
        <x:v>거래0019</x:v>
      </x:c>
      <x:c r="D24" s="97" t="n">
        <x:v>1340000</x:v>
      </x:c>
      <x:c r="E24" s="85" t="n">
        <x:v>0</x:v>
      </x:c>
    </x:row>
    <x:row r="25">
      <x:c r="A25" s="91" t="n">
        <x:v>46042</x:v>
      </x:c>
      <x:c r="B25" s="66" t="str">
        <x:v>AC-0020</x:v>
      </x:c>
      <x:c r="C25" s="66" t="str">
        <x:v>거래0020</x:v>
      </x:c>
      <x:c r="D25" s="97" t="n">
        <x:v>0</x:v>
      </x:c>
      <x:c r="E25" s="85" t="n">
        <x:v>830000</x:v>
      </x:c>
    </x:row>
    <x:row r="26">
      <x:c r="A26" s="91" t="n">
        <x:v>46043</x:v>
      </x:c>
      <x:c r="B26" s="66" t="str">
        <x:v>AC-0021</x:v>
      </x:c>
      <x:c r="C26" s="66" t="str">
        <x:v>거래0021</x:v>
      </x:c>
      <x:c r="D26" s="97" t="n">
        <x:v>1060000</x:v>
      </x:c>
      <x:c r="E26" s="85" t="n">
        <x:v>0</x:v>
      </x:c>
    </x:row>
    <x:row r="27">
      <x:c r="A27" s="91" t="n">
        <x:v>46044</x:v>
      </x:c>
      <x:c r="B27" s="66" t="str">
        <x:v>AC-0022</x:v>
      </x:c>
      <x:c r="C27" s="66" t="str">
        <x:v>거래0022</x:v>
      </x:c>
      <x:c r="D27" s="97" t="n">
        <x:v>0</x:v>
      </x:c>
      <x:c r="E27" s="85" t="n">
        <x:v>310000</x:v>
      </x:c>
    </x:row>
    <x:row r="28">
      <x:c r="A28" s="91" t="n">
        <x:v>46045</x:v>
      </x:c>
      <x:c r="B28" s="66" t="str">
        <x:v>AC-0023</x:v>
      </x:c>
      <x:c r="C28" s="66" t="str">
        <x:v>거래0023</x:v>
      </x:c>
      <x:c r="D28" s="97" t="n">
        <x:v>1280000</x:v>
      </x:c>
      <x:c r="E28" s="85" t="n">
        <x:v>0</x:v>
      </x:c>
    </x:row>
    <x:row r="29">
      <x:c r="A29" s="91" t="n">
        <x:v>46046</x:v>
      </x:c>
      <x:c r="B29" s="66" t="str">
        <x:v>AC-0024</x:v>
      </x:c>
      <x:c r="C29" s="66" t="str">
        <x:v>거래0024</x:v>
      </x:c>
      <x:c r="D29" s="97" t="n">
        <x:v>0</x:v>
      </x:c>
      <x:c r="E29" s="85" t="n">
        <x:v>240000</x:v>
      </x:c>
    </x:row>
    <x:row r="30">
      <x:c r="A30" s="91" t="n">
        <x:v>46047</x:v>
      </x:c>
      <x:c r="B30" s="66" t="str">
        <x:v>AC-0025</x:v>
      </x:c>
      <x:c r="C30" s="66" t="str">
        <x:v>거래0025</x:v>
      </x:c>
      <x:c r="D30" s="97" t="n">
        <x:v>430000</x:v>
      </x:c>
      <x:c r="E30" s="85" t="n">
        <x:v>0</x:v>
      </x:c>
    </x:row>
    <x:row r="31">
      <x:c r="A31" s="91" t="n">
        <x:v>46048</x:v>
      </x:c>
      <x:c r="B31" s="66" t="str">
        <x:v>AC-0026</x:v>
      </x:c>
      <x:c r="C31" s="66" t="str">
        <x:v>거래0026</x:v>
      </x:c>
      <x:c r="D31" s="97" t="n">
        <x:v>0</x:v>
      </x:c>
      <x:c r="E31" s="85" t="n">
        <x:v>850000</x:v>
      </x:c>
    </x:row>
    <x:row r="32">
      <x:c r="A32" s="91" t="n">
        <x:v>46049</x:v>
      </x:c>
      <x:c r="B32" s="66" t="str">
        <x:v>AC-0027</x:v>
      </x:c>
      <x:c r="C32" s="66" t="str">
        <x:v>거래0027</x:v>
      </x:c>
      <x:c r="D32" s="97" t="n">
        <x:v>1030000</x:v>
      </x:c>
      <x:c r="E32" s="85" t="n">
        <x:v>0</x:v>
      </x:c>
    </x:row>
    <x:row r="33">
      <x:c r="A33" s="91" t="n">
        <x:v>46050</x:v>
      </x:c>
      <x:c r="B33" s="66" t="str">
        <x:v>AC-0028</x:v>
      </x:c>
      <x:c r="C33" s="66" t="str">
        <x:v>거래0028</x:v>
      </x:c>
      <x:c r="D33" s="97" t="n">
        <x:v>0</x:v>
      </x:c>
      <x:c r="E33" s="85" t="n">
        <x:v>980000</x:v>
      </x:c>
    </x:row>
    <x:row r="34">
      <x:c r="A34" s="91" t="n">
        <x:v>46051</x:v>
      </x:c>
      <x:c r="B34" s="66" t="str">
        <x:v>AC-0029</x:v>
      </x:c>
      <x:c r="C34" s="66" t="str">
        <x:v>거래0029</x:v>
      </x:c>
      <x:c r="D34" s="97" t="n">
        <x:v>870000</x:v>
      </x:c>
      <x:c r="E34" s="85" t="n">
        <x:v>0</x:v>
      </x:c>
    </x:row>
    <x:row r="35">
      <x:c r="A35" s="91" t="n">
        <x:v>46052</x:v>
      </x:c>
      <x:c r="B35" s="66" t="str">
        <x:v>AC-0030</x:v>
      </x:c>
      <x:c r="C35" s="66" t="str">
        <x:v>거래0030</x:v>
      </x:c>
      <x:c r="D35" s="97" t="n">
        <x:v>0</x:v>
      </x:c>
      <x:c r="E35" s="85" t="n">
        <x:v>380000</x:v>
      </x:c>
    </x:row>
    <x:row r="36">
      <x:c r="A36" s="91" t="n">
        <x:v>46053</x:v>
      </x:c>
      <x:c r="B36" s="66" t="str">
        <x:v>AC-0031</x:v>
      </x:c>
      <x:c r="C36" s="66" t="str">
        <x:v>거래0031</x:v>
      </x:c>
      <x:c r="D36" s="97" t="n">
        <x:v>710000</x:v>
      </x:c>
      <x:c r="E36" s="85" t="n">
        <x:v>0</x:v>
      </x:c>
    </x:row>
    <x:row r="37">
      <x:c r="A37" s="91" t="n">
        <x:v>46054</x:v>
      </x:c>
      <x:c r="B37" s="66" t="str">
        <x:v>AC-0032</x:v>
      </x:c>
      <x:c r="C37" s="66" t="str">
        <x:v>거래0032</x:v>
      </x:c>
      <x:c r="D37" s="97" t="n">
        <x:v>0</x:v>
      </x:c>
      <x:c r="E37" s="85" t="n">
        <x:v>490000</x:v>
      </x:c>
    </x:row>
    <x:row r="38">
      <x:c r="A38" s="91" t="n">
        <x:v>46055</x:v>
      </x:c>
      <x:c r="B38" s="66" t="str">
        <x:v>AC-0033</x:v>
      </x:c>
      <x:c r="C38" s="66" t="str">
        <x:v>거래0033</x:v>
      </x:c>
      <x:c r="D38" s="97" t="n">
        <x:v>850000</x:v>
      </x:c>
      <x:c r="E38" s="85" t="n">
        <x:v>0</x:v>
      </x:c>
    </x:row>
    <x:row r="39">
      <x:c r="A39" s="91" t="n">
        <x:v>46056</x:v>
      </x:c>
      <x:c r="B39" s="66" t="str">
        <x:v>AC-0034</x:v>
      </x:c>
      <x:c r="C39" s="66" t="str">
        <x:v>거래0034</x:v>
      </x:c>
      <x:c r="D39" s="97" t="n">
        <x:v>0</x:v>
      </x:c>
      <x:c r="E39" s="85" t="n">
        <x:v>1390000</x:v>
      </x:c>
    </x:row>
    <x:row r="40">
      <x:c r="A40" s="91" t="n">
        <x:v>46057</x:v>
      </x:c>
      <x:c r="B40" s="66" t="str">
        <x:v>AC-0035</x:v>
      </x:c>
      <x:c r="C40" s="66" t="str">
        <x:v>거래0035</x:v>
      </x:c>
      <x:c r="D40" s="97" t="n">
        <x:v>350000</x:v>
      </x:c>
      <x:c r="E40" s="85" t="n">
        <x:v>0</x:v>
      </x:c>
    </x:row>
    <x:row r="41">
      <x:c r="A41" s="91" t="n">
        <x:v>46058</x:v>
      </x:c>
      <x:c r="B41" s="66" t="str">
        <x:v>AC-0036</x:v>
      </x:c>
      <x:c r="C41" s="66" t="str">
        <x:v>거래0036</x:v>
      </x:c>
      <x:c r="D41" s="97" t="n">
        <x:v>0</x:v>
      </x:c>
      <x:c r="E41" s="85" t="n">
        <x:v>190000</x:v>
      </x:c>
    </x:row>
    <x:row r="42">
      <x:c r="A42" s="91" t="n">
        <x:v>46059</x:v>
      </x:c>
      <x:c r="B42" s="66" t="str">
        <x:v>AC-0037</x:v>
      </x:c>
      <x:c r="C42" s="66" t="str">
        <x:v>거래0037</x:v>
      </x:c>
      <x:c r="D42" s="97" t="n">
        <x:v>620000</x:v>
      </x:c>
      <x:c r="E42" s="85" t="n">
        <x:v>0</x:v>
      </x:c>
    </x:row>
    <x:row r="43">
      <x:c r="A43" s="91" t="n">
        <x:v>46060</x:v>
      </x:c>
      <x:c r="B43" s="66" t="str">
        <x:v>AC-0038</x:v>
      </x:c>
      <x:c r="C43" s="66" t="str">
        <x:v>거래0038</x:v>
      </x:c>
      <x:c r="D43" s="97" t="n">
        <x:v>0</x:v>
      </x:c>
      <x:c r="E43" s="85" t="n">
        <x:v>1250000</x:v>
      </x:c>
    </x:row>
    <x:row r="44">
      <x:c r="A44" s="91" t="n">
        <x:v>46061</x:v>
      </x:c>
      <x:c r="B44" s="66" t="str">
        <x:v>AC-0039</x:v>
      </x:c>
      <x:c r="C44" s="66" t="str">
        <x:v>거래0039</x:v>
      </x:c>
      <x:c r="D44" s="97" t="n">
        <x:v>100000</x:v>
      </x:c>
      <x:c r="E44" s="85" t="n">
        <x:v>0</x:v>
      </x:c>
    </x:row>
    <x:row r="45">
      <x:c r="A45" s="91" t="n">
        <x:v>46062</x:v>
      </x:c>
      <x:c r="B45" s="66" t="str">
        <x:v>AC-0040</x:v>
      </x:c>
      <x:c r="C45" s="66" t="str">
        <x:v>거래0040</x:v>
      </x:c>
      <x:c r="D45" s="97" t="n">
        <x:v>0</x:v>
      </x:c>
      <x:c r="E45" s="85" t="n">
        <x:v>600000</x:v>
      </x:c>
    </x:row>
    <x:row r="46">
      <x:c r="A46" s="91" t="n">
        <x:v>46063</x:v>
      </x:c>
      <x:c r="B46" s="66" t="str">
        <x:v>AC-0041</x:v>
      </x:c>
      <x:c r="C46" s="66" t="str">
        <x:v>거래0041</x:v>
      </x:c>
      <x:c r="D46" s="97" t="n">
        <x:v>1300000</x:v>
      </x:c>
      <x:c r="E46" s="85" t="n">
        <x:v>0</x:v>
      </x:c>
    </x:row>
    <x:row r="47">
      <x:c r="A47" s="91" t="n">
        <x:v>46064</x:v>
      </x:c>
      <x:c r="B47" s="66" t="str">
        <x:v>AC-0042</x:v>
      </x:c>
      <x:c r="C47" s="66" t="str">
        <x:v>거래0042</x:v>
      </x:c>
      <x:c r="D47" s="97" t="n">
        <x:v>0</x:v>
      </x:c>
      <x:c r="E47" s="85" t="n">
        <x:v>630000</x:v>
      </x:c>
    </x:row>
    <x:row r="48">
      <x:c r="A48" s="91" t="n">
        <x:v>46065</x:v>
      </x:c>
      <x:c r="B48" s="66" t="str">
        <x:v>AC-0043</x:v>
      </x:c>
      <x:c r="C48" s="66" t="str">
        <x:v>거래0043</x:v>
      </x:c>
      <x:c r="D48" s="97" t="n">
        <x:v>1040000</x:v>
      </x:c>
      <x:c r="E48" s="85" t="n">
        <x:v>0</x:v>
      </x:c>
    </x:row>
    <x:row r="49">
      <x:c r="A49" s="91" t="n">
        <x:v>46066</x:v>
      </x:c>
      <x:c r="B49" s="66" t="str">
        <x:v>AC-0044</x:v>
      </x:c>
      <x:c r="C49" s="66" t="str">
        <x:v>거래0044</x:v>
      </x:c>
      <x:c r="D49" s="97" t="n">
        <x:v>0</x:v>
      </x:c>
      <x:c r="E49" s="85" t="n">
        <x:v>1250000</x:v>
      </x:c>
    </x:row>
    <x:row r="50">
      <x:c r="A50" s="91" t="n">
        <x:v>46067</x:v>
      </x:c>
      <x:c r="B50" s="66" t="str">
        <x:v>AC-0045</x:v>
      </x:c>
      <x:c r="C50" s="66" t="str">
        <x:v>거래0045</x:v>
      </x:c>
      <x:c r="D50" s="97" t="n">
        <x:v>1490000</x:v>
      </x:c>
      <x:c r="E50" s="85" t="n">
        <x:v>0</x:v>
      </x:c>
    </x:row>
    <x:row r="51">
      <x:c r="A51" s="91" t="n">
        <x:v>46068</x:v>
      </x:c>
      <x:c r="B51" s="66" t="str">
        <x:v>AC-0046</x:v>
      </x:c>
      <x:c r="C51" s="66" t="str">
        <x:v>거래0046</x:v>
      </x:c>
      <x:c r="D51" s="97" t="n">
        <x:v>0</x:v>
      </x:c>
      <x:c r="E51" s="85" t="n">
        <x:v>120000</x:v>
      </x:c>
    </x:row>
    <x:row r="52">
      <x:c r="A52" s="91" t="n">
        <x:v>46069</x:v>
      </x:c>
      <x:c r="B52" s="66" t="str">
        <x:v>AC-0047</x:v>
      </x:c>
      <x:c r="C52" s="66" t="str">
        <x:v>거래0047</x:v>
      </x:c>
      <x:c r="D52" s="97" t="n">
        <x:v>810000</x:v>
      </x:c>
      <x:c r="E52" s="85" t="n">
        <x:v>0</x:v>
      </x:c>
    </x:row>
    <x:row r="53">
      <x:c r="A53" s="91" t="n">
        <x:v>46070</x:v>
      </x:c>
      <x:c r="B53" s="66" t="str">
        <x:v>AC-0048</x:v>
      </x:c>
      <x:c r="C53" s="66" t="str">
        <x:v>거래0048</x:v>
      </x:c>
      <x:c r="D53" s="97" t="n">
        <x:v>0</x:v>
      </x:c>
      <x:c r="E53" s="85" t="n">
        <x:v>470000</x:v>
      </x:c>
    </x:row>
    <x:row r="54">
      <x:c r="A54" s="91" t="n">
        <x:v>46071</x:v>
      </x:c>
      <x:c r="B54" s="66" t="str">
        <x:v>AC-0049</x:v>
      </x:c>
      <x:c r="C54" s="66" t="str">
        <x:v>거래0049</x:v>
      </x:c>
      <x:c r="D54" s="97" t="n">
        <x:v>1190000</x:v>
      </x:c>
      <x:c r="E54" s="85" t="n">
        <x:v>0</x:v>
      </x:c>
    </x:row>
    <x:row r="55">
      <x:c r="A55" s="91" t="n">
        <x:v>46072</x:v>
      </x:c>
      <x:c r="B55" s="66" t="str">
        <x:v>AC-0050</x:v>
      </x:c>
      <x:c r="C55" s="66" t="str">
        <x:v>거래0050</x:v>
      </x:c>
      <x:c r="D55" s="97" t="n">
        <x:v>0</x:v>
      </x:c>
      <x:c r="E55" s="85" t="n">
        <x:v>1290000</x:v>
      </x:c>
    </x:row>
    <x:row r="56">
      <x:c r="A56" s="91" t="n">
        <x:v>46073</x:v>
      </x:c>
      <x:c r="B56" s="66" t="str">
        <x:v>AC-0001</x:v>
      </x:c>
      <x:c r="C56" s="66" t="str">
        <x:v>거래0051</x:v>
      </x:c>
      <x:c r="D56" s="97" t="n">
        <x:v>1250000</x:v>
      </x:c>
      <x:c r="E56" s="85" t="n">
        <x:v>0</x:v>
      </x:c>
    </x:row>
    <x:row r="57">
      <x:c r="A57" s="91" t="n">
        <x:v>46074</x:v>
      </x:c>
      <x:c r="B57" s="66" t="str">
        <x:v>AC-0002</x:v>
      </x:c>
      <x:c r="C57" s="66" t="str">
        <x:v>거래0052</x:v>
      </x:c>
      <x:c r="D57" s="97" t="n">
        <x:v>0</x:v>
      </x:c>
      <x:c r="E57" s="85" t="n">
        <x:v>340000</x:v>
      </x:c>
    </x:row>
    <x:row r="58">
      <x:c r="A58" s="91" t="n">
        <x:v>46075</x:v>
      </x:c>
      <x:c r="B58" s="66" t="str">
        <x:v>AC-0003</x:v>
      </x:c>
      <x:c r="C58" s="66" t="str">
        <x:v>거래0053</x:v>
      </x:c>
      <x:c r="D58" s="97" t="n">
        <x:v>970000</x:v>
      </x:c>
      <x:c r="E58" s="85" t="n">
        <x:v>0</x:v>
      </x:c>
    </x:row>
    <x:row r="59">
      <x:c r="A59" s="91" t="n">
        <x:v>46076</x:v>
      </x:c>
      <x:c r="B59" s="66" t="str">
        <x:v>AC-0004</x:v>
      </x:c>
      <x:c r="C59" s="66" t="str">
        <x:v>거래0054</x:v>
      </x:c>
      <x:c r="D59" s="97" t="n">
        <x:v>0</x:v>
      </x:c>
      <x:c r="E59" s="85" t="n">
        <x:v>880000</x:v>
      </x:c>
    </x:row>
    <x:row r="60">
      <x:c r="A60" s="91" t="n">
        <x:v>46077</x:v>
      </x:c>
      <x:c r="B60" s="66" t="str">
        <x:v>AC-0005</x:v>
      </x:c>
      <x:c r="C60" s="66" t="str">
        <x:v>거래0055</x:v>
      </x:c>
      <x:c r="D60" s="97" t="n">
        <x:v>1450000</x:v>
      </x:c>
      <x:c r="E60" s="85" t="n">
        <x:v>0</x:v>
      </x:c>
    </x:row>
    <x:row r="61">
      <x:c r="A61" s="91" t="n">
        <x:v>46078</x:v>
      </x:c>
      <x:c r="B61" s="66" t="str">
        <x:v>AC-0006</x:v>
      </x:c>
      <x:c r="C61" s="66" t="str">
        <x:v>거래0056</x:v>
      </x:c>
      <x:c r="D61" s="97" t="n">
        <x:v>0</x:v>
      </x:c>
      <x:c r="E61" s="85" t="n">
        <x:v>1300000</x:v>
      </x:c>
    </x:row>
    <x:row r="62">
      <x:c r="A62" s="91" t="n">
        <x:v>46079</x:v>
      </x:c>
      <x:c r="B62" s="66" t="str">
        <x:v>AC-0007</x:v>
      </x:c>
      <x:c r="C62" s="66" t="str">
        <x:v>거래0057</x:v>
      </x:c>
      <x:c r="D62" s="97" t="n">
        <x:v>1020000</x:v>
      </x:c>
      <x:c r="E62" s="85" t="n">
        <x:v>0</x:v>
      </x:c>
    </x:row>
    <x:row r="63">
      <x:c r="A63" s="91" t="n">
        <x:v>46080</x:v>
      </x:c>
      <x:c r="B63" s="66" t="str">
        <x:v>AC-0008</x:v>
      </x:c>
      <x:c r="C63" s="66" t="str">
        <x:v>거래0058</x:v>
      </x:c>
      <x:c r="D63" s="97" t="n">
        <x:v>0</x:v>
      </x:c>
      <x:c r="E63" s="85" t="n">
        <x:v>680000</x:v>
      </x:c>
    </x:row>
    <x:row r="64">
      <x:c r="A64" s="91" t="n">
        <x:v>46081</x:v>
      </x:c>
      <x:c r="B64" s="66" t="str">
        <x:v>AC-0009</x:v>
      </x:c>
      <x:c r="C64" s="66" t="str">
        <x:v>거래0059</x:v>
      </x:c>
      <x:c r="D64" s="97" t="n">
        <x:v>1200000</x:v>
      </x:c>
      <x:c r="E64" s="85" t="n">
        <x:v>0</x:v>
      </x:c>
    </x:row>
    <x:row r="65">
      <x:c r="A65" s="91" t="n">
        <x:v>46082</x:v>
      </x:c>
      <x:c r="B65" s="66" t="str">
        <x:v>AC-0010</x:v>
      </x:c>
      <x:c r="C65" s="66" t="str">
        <x:v>거래0060</x:v>
      </x:c>
      <x:c r="D65" s="97" t="n">
        <x:v>0</x:v>
      </x:c>
      <x:c r="E65" s="85" t="n">
        <x:v>1060000</x:v>
      </x:c>
    </x:row>
    <x:row r="66">
      <x:c r="A66" s="91" t="n">
        <x:v>46083</x:v>
      </x:c>
      <x:c r="B66" s="66" t="str">
        <x:v>AC-0011</x:v>
      </x:c>
      <x:c r="C66" s="66" t="str">
        <x:v>거래0061</x:v>
      </x:c>
      <x:c r="D66" s="97" t="n">
        <x:v>930000</x:v>
      </x:c>
      <x:c r="E66" s="85" t="n">
        <x:v>0</x:v>
      </x:c>
    </x:row>
    <x:row r="67">
      <x:c r="A67" s="91" t="n">
        <x:v>46084</x:v>
      </x:c>
      <x:c r="B67" s="66" t="str">
        <x:v>AC-0012</x:v>
      </x:c>
      <x:c r="C67" s="66" t="str">
        <x:v>거래0062</x:v>
      </x:c>
      <x:c r="D67" s="97" t="n">
        <x:v>0</x:v>
      </x:c>
      <x:c r="E67" s="85" t="n">
        <x:v>330000</x:v>
      </x:c>
    </x:row>
    <x:row r="68">
      <x:c r="A68" s="91" t="n">
        <x:v>46085</x:v>
      </x:c>
      <x:c r="B68" s="66" t="str">
        <x:v>AC-0013</x:v>
      </x:c>
      <x:c r="C68" s="66" t="str">
        <x:v>거래0063</x:v>
      </x:c>
      <x:c r="D68" s="97" t="n">
        <x:v>1380000</x:v>
      </x:c>
      <x:c r="E68" s="85" t="n">
        <x:v>0</x:v>
      </x:c>
    </x:row>
    <x:row r="69">
      <x:c r="A69" s="91" t="n">
        <x:v>46086</x:v>
      </x:c>
      <x:c r="B69" s="66" t="str">
        <x:v>AC-0014</x:v>
      </x:c>
      <x:c r="C69" s="66" t="str">
        <x:v>거래0064</x:v>
      </x:c>
      <x:c r="D69" s="97" t="n">
        <x:v>0</x:v>
      </x:c>
      <x:c r="E69" s="85" t="n">
        <x:v>870000</x:v>
      </x:c>
    </x:row>
    <x:row r="70">
      <x:c r="A70" s="91" t="n">
        <x:v>46087</x:v>
      </x:c>
      <x:c r="B70" s="66" t="str">
        <x:v>AC-0015</x:v>
      </x:c>
      <x:c r="C70" s="66" t="str">
        <x:v>거래0065</x:v>
      </x:c>
      <x:c r="D70" s="97" t="n">
        <x:v>490000</x:v>
      </x:c>
      <x:c r="E70" s="85" t="n">
        <x:v>0</x:v>
      </x:c>
    </x:row>
    <x:row r="71">
      <x:c r="A71" s="91" t="n">
        <x:v>46088</x:v>
      </x:c>
      <x:c r="B71" s="66" t="str">
        <x:v>AC-0016</x:v>
      </x:c>
      <x:c r="C71" s="66" t="str">
        <x:v>거래0066</x:v>
      </x:c>
      <x:c r="D71" s="97" t="n">
        <x:v>0</x:v>
      </x:c>
      <x:c r="E71" s="85" t="n">
        <x:v>660000</x:v>
      </x:c>
    </x:row>
    <x:row r="72">
      <x:c r="A72" s="91" t="n">
        <x:v>46089</x:v>
      </x:c>
      <x:c r="B72" s="66" t="str">
        <x:v>AC-0017</x:v>
      </x:c>
      <x:c r="C72" s="66" t="str">
        <x:v>거래0067</x:v>
      </x:c>
      <x:c r="D72" s="97" t="n">
        <x:v>170000</x:v>
      </x:c>
      <x:c r="E72" s="85" t="n">
        <x:v>0</x:v>
      </x:c>
    </x:row>
    <x:row r="73">
      <x:c r="A73" s="91" t="n">
        <x:v>46090</x:v>
      </x:c>
      <x:c r="B73" s="66" t="str">
        <x:v>AC-0018</x:v>
      </x:c>
      <x:c r="C73" s="66" t="str">
        <x:v>거래0068</x:v>
      </x:c>
      <x:c r="D73" s="97" t="n">
        <x:v>0</x:v>
      </x:c>
      <x:c r="E73" s="85" t="n">
        <x:v>110000</x:v>
      </x:c>
    </x:row>
    <x:row r="74">
      <x:c r="A74" s="91" t="n">
        <x:v>46091</x:v>
      </x:c>
      <x:c r="B74" s="66" t="str">
        <x:v>AC-0019</x:v>
      </x:c>
      <x:c r="C74" s="66" t="str">
        <x:v>거래0069</x:v>
      </x:c>
      <x:c r="D74" s="97" t="n">
        <x:v>620000</x:v>
      </x:c>
      <x:c r="E74" s="85" t="n">
        <x:v>0</x:v>
      </x:c>
    </x:row>
    <x:row r="75">
      <x:c r="A75" s="91" t="n">
        <x:v>46092</x:v>
      </x:c>
      <x:c r="B75" s="66" t="str">
        <x:v>AC-0020</x:v>
      </x:c>
      <x:c r="C75" s="66" t="str">
        <x:v>거래0070</x:v>
      </x:c>
      <x:c r="D75" s="97" t="n">
        <x:v>0</x:v>
      </x:c>
      <x:c r="E75" s="85" t="n">
        <x:v>1210000</x:v>
      </x:c>
    </x:row>
    <x:row r="76">
      <x:c r="A76" s="91" t="n">
        <x:v>46093</x:v>
      </x:c>
      <x:c r="B76" s="66" t="str">
        <x:v>AC-0021</x:v>
      </x:c>
      <x:c r="C76" s="66" t="str">
        <x:v>거래0071</x:v>
      </x:c>
      <x:c r="D76" s="97" t="n">
        <x:v>270000</x:v>
      </x:c>
      <x:c r="E76" s="85" t="n">
        <x:v>0</x:v>
      </x:c>
    </x:row>
    <x:row r="77">
      <x:c r="A77" s="91" t="n">
        <x:v>46094</x:v>
      </x:c>
      <x:c r="B77" s="66" t="str">
        <x:v>AC-0022</x:v>
      </x:c>
      <x:c r="C77" s="66" t="str">
        <x:v>거래0072</x:v>
      </x:c>
      <x:c r="D77" s="97" t="n">
        <x:v>0</x:v>
      </x:c>
      <x:c r="E77" s="85" t="n">
        <x:v>750000</x:v>
      </x:c>
    </x:row>
    <x:row r="78">
      <x:c r="A78" s="91" t="n">
        <x:v>46095</x:v>
      </x:c>
      <x:c r="B78" s="66" t="str">
        <x:v>AC-0023</x:v>
      </x:c>
      <x:c r="C78" s="66" t="str">
        <x:v>거래0073</x:v>
      </x:c>
      <x:c r="D78" s="97" t="n">
        <x:v>1020000</x:v>
      </x:c>
      <x:c r="E78" s="85" t="n">
        <x:v>0</x:v>
      </x:c>
    </x:row>
    <x:row r="79">
      <x:c r="A79" s="91" t="n">
        <x:v>46096</x:v>
      </x:c>
      <x:c r="B79" s="66" t="str">
        <x:v>AC-0024</x:v>
      </x:c>
      <x:c r="C79" s="66" t="str">
        <x:v>거래0074</x:v>
      </x:c>
      <x:c r="D79" s="97" t="n">
        <x:v>0</x:v>
      </x:c>
      <x:c r="E79" s="85" t="n">
        <x:v>300000</x:v>
      </x:c>
    </x:row>
    <x:row r="80">
      <x:c r="A80" s="91" t="n">
        <x:v>46097</x:v>
      </x:c>
      <x:c r="B80" s="66" t="str">
        <x:v>AC-0025</x:v>
      </x:c>
      <x:c r="C80" s="66" t="str">
        <x:v>거래0075</x:v>
      </x:c>
      <x:c r="D80" s="97" t="n">
        <x:v>760000</x:v>
      </x:c>
      <x:c r="E80" s="85" t="n">
        <x:v>0</x:v>
      </x:c>
    </x:row>
    <x:row r="81">
      <x:c r="A81" s="91" t="n">
        <x:v>46098</x:v>
      </x:c>
      <x:c r="B81" s="66" t="str">
        <x:v>AC-0026</x:v>
      </x:c>
      <x:c r="C81" s="66" t="str">
        <x:v>거래0076</x:v>
      </x:c>
      <x:c r="D81" s="97" t="n">
        <x:v>0</x:v>
      </x:c>
      <x:c r="E81" s="85" t="n">
        <x:v>210000</x:v>
      </x:c>
    </x:row>
    <x:row r="82">
      <x:c r="A82" s="91" t="n">
        <x:v>46099</x:v>
      </x:c>
      <x:c r="B82" s="66" t="str">
        <x:v>AC-0027</x:v>
      </x:c>
      <x:c r="C82" s="66" t="str">
        <x:v>거래0077</x:v>
      </x:c>
      <x:c r="D82" s="97" t="n">
        <x:v>600000</x:v>
      </x:c>
      <x:c r="E82" s="85" t="n">
        <x:v>0</x:v>
      </x:c>
    </x:row>
    <x:row r="83">
      <x:c r="A83" s="91" t="n">
        <x:v>46100</x:v>
      </x:c>
      <x:c r="B83" s="66" t="str">
        <x:v>AC-0028</x:v>
      </x:c>
      <x:c r="C83" s="66" t="str">
        <x:v>거래0078</x:v>
      </x:c>
      <x:c r="D83" s="97" t="n">
        <x:v>0</x:v>
      </x:c>
      <x:c r="E83" s="85" t="n">
        <x:v>1360000</x:v>
      </x:c>
    </x:row>
    <x:row r="84">
      <x:c r="A84" s="91" t="n">
        <x:v>46101</x:v>
      </x:c>
      <x:c r="B84" s="66" t="str">
        <x:v>AC-0029</x:v>
      </x:c>
      <x:c r="C84" s="66" t="str">
        <x:v>거래0079</x:v>
      </x:c>
      <x:c r="D84" s="97" t="n">
        <x:v>110000</x:v>
      </x:c>
      <x:c r="E84" s="85" t="n">
        <x:v>0</x:v>
      </x:c>
    </x:row>
    <x:row r="85">
      <x:c r="A85" s="91" t="n">
        <x:v>46102</x:v>
      </x:c>
      <x:c r="B85" s="66" t="str">
        <x:v>AC-0030</x:v>
      </x:c>
      <x:c r="C85" s="66" t="str">
        <x:v>거래0080</x:v>
      </x:c>
      <x:c r="D85" s="97" t="n">
        <x:v>0</x:v>
      </x:c>
      <x:c r="E85" s="85" t="n">
        <x:v>1310000</x:v>
      </x:c>
    </x:row>
    <x:row r="86">
      <x:c r="A86" s="91" t="n">
        <x:v>46103</x:v>
      </x:c>
      <x:c r="B86" s="66" t="str">
        <x:v>AC-0031</x:v>
      </x:c>
      <x:c r="C86" s="66" t="str">
        <x:v>거래0081</x:v>
      </x:c>
      <x:c r="D86" s="97" t="n">
        <x:v>660000</x:v>
      </x:c>
      <x:c r="E86" s="85" t="n">
        <x:v>0</x:v>
      </x:c>
    </x:row>
    <x:row r="87">
      <x:c r="A87" s="91" t="n">
        <x:v>46104</x:v>
      </x:c>
      <x:c r="B87" s="66" t="str">
        <x:v>AC-0032</x:v>
      </x:c>
      <x:c r="C87" s="66" t="str">
        <x:v>거래0082</x:v>
      </x:c>
      <x:c r="D87" s="97" t="n">
        <x:v>0</x:v>
      </x:c>
      <x:c r="E87" s="85" t="n">
        <x:v>1300000</x:v>
      </x:c>
    </x:row>
    <x:row r="88">
      <x:c r="A88" s="91" t="n">
        <x:v>46105</x:v>
      </x:c>
      <x:c r="B88" s="66" t="str">
        <x:v>AC-0033</x:v>
      </x:c>
      <x:c r="C88" s="66" t="str">
        <x:v>거래0083</x:v>
      </x:c>
      <x:c r="D88" s="97" t="n">
        <x:v>780000</x:v>
      </x:c>
      <x:c r="E88" s="85" t="n">
        <x:v>0</x:v>
      </x:c>
    </x:row>
    <x:row r="89">
      <x:c r="A89" s="91" t="n">
        <x:v>46106</x:v>
      </x:c>
      <x:c r="B89" s="66" t="str">
        <x:v>AC-0034</x:v>
      </x:c>
      <x:c r="C89" s="66" t="str">
        <x:v>거래0084</x:v>
      </x:c>
      <x:c r="D89" s="97" t="n">
        <x:v>0</x:v>
      </x:c>
      <x:c r="E89" s="85" t="n">
        <x:v>730000</x:v>
      </x:c>
    </x:row>
    <x:row r="90">
      <x:c r="A90" s="91" t="n">
        <x:v>46107</x:v>
      </x:c>
      <x:c r="B90" s="66" t="str">
        <x:v>AC-0035</x:v>
      </x:c>
      <x:c r="C90" s="66" t="str">
        <x:v>거래0085</x:v>
      </x:c>
      <x:c r="D90" s="97" t="n">
        <x:v>450000</x:v>
      </x:c>
      <x:c r="E90" s="85" t="n">
        <x:v>0</x:v>
      </x:c>
    </x:row>
    <x:row r="91">
      <x:c r="A91" s="91" t="n">
        <x:v>46108</x:v>
      </x:c>
      <x:c r="B91" s="66" t="str">
        <x:v>AC-0036</x:v>
      </x:c>
      <x:c r="C91" s="66" t="str">
        <x:v>거래0086</x:v>
      </x:c>
      <x:c r="D91" s="97" t="n">
        <x:v>0</x:v>
      </x:c>
      <x:c r="E91" s="85" t="n">
        <x:v>1490000</x:v>
      </x:c>
    </x:row>
    <x:row r="92">
      <x:c r="A92" s="91" t="n">
        <x:v>46109</x:v>
      </x:c>
      <x:c r="B92" s="66" t="str">
        <x:v>AC-0037</x:v>
      </x:c>
      <x:c r="C92" s="66" t="str">
        <x:v>거래0087</x:v>
      </x:c>
      <x:c r="D92" s="97" t="n">
        <x:v>1280000</x:v>
      </x:c>
      <x:c r="E92" s="85" t="n">
        <x:v>0</x:v>
      </x:c>
    </x:row>
    <x:row r="93">
      <x:c r="A93" s="91" t="n">
        <x:v>46110</x:v>
      </x:c>
      <x:c r="B93" s="66" t="str">
        <x:v>AC-0038</x:v>
      </x:c>
      <x:c r="C93" s="66" t="str">
        <x:v>거래0088</x:v>
      </x:c>
      <x:c r="D93" s="97" t="n">
        <x:v>0</x:v>
      </x:c>
      <x:c r="E93" s="85" t="n">
        <x:v>780000</x:v>
      </x:c>
    </x:row>
    <x:row r="94">
      <x:c r="A94" s="91" t="n">
        <x:v>46111</x:v>
      </x:c>
      <x:c r="B94" s="66" t="str">
        <x:v>AC-0039</x:v>
      </x:c>
      <x:c r="C94" s="66" t="str">
        <x:v>거래0089</x:v>
      </x:c>
      <x:c r="D94" s="97" t="n">
        <x:v>510000</x:v>
      </x:c>
      <x:c r="E94" s="85" t="n">
        <x:v>0</x:v>
      </x:c>
    </x:row>
    <x:row r="95">
      <x:c r="A95" s="91" t="n">
        <x:v>46112</x:v>
      </x:c>
      <x:c r="B95" s="66" t="str">
        <x:v>AC-0040</x:v>
      </x:c>
      <x:c r="C95" s="66" t="str">
        <x:v>거래0090</x:v>
      </x:c>
      <x:c r="D95" s="97" t="n">
        <x:v>0</x:v>
      </x:c>
      <x:c r="E95" s="85" t="n">
        <x:v>1200000</x:v>
      </x:c>
    </x:row>
    <x:row r="96">
      <x:c r="A96" s="91" t="n">
        <x:v>46113</x:v>
      </x:c>
      <x:c r="B96" s="66" t="str">
        <x:v>AC-0041</x:v>
      </x:c>
      <x:c r="C96" s="66" t="str">
        <x:v>거래0091</x:v>
      </x:c>
      <x:c r="D96" s="97" t="n">
        <x:v>1210000</x:v>
      </x:c>
      <x:c r="E96" s="85" t="n">
        <x:v>0</x:v>
      </x:c>
    </x:row>
    <x:row r="97">
      <x:c r="A97" s="91" t="n">
        <x:v>46114</x:v>
      </x:c>
      <x:c r="B97" s="66" t="str">
        <x:v>AC-0042</x:v>
      </x:c>
      <x:c r="C97" s="66" t="str">
        <x:v>거래0092</x:v>
      </x:c>
      <x:c r="D97" s="97" t="n">
        <x:v>0</x:v>
      </x:c>
      <x:c r="E97" s="85" t="n">
        <x:v>1130000</x:v>
      </x:c>
    </x:row>
    <x:row r="98">
      <x:c r="A98" s="91" t="n">
        <x:v>46115</x:v>
      </x:c>
      <x:c r="B98" s="66" t="str">
        <x:v>AC-0043</x:v>
      </x:c>
      <x:c r="C98" s="66" t="str">
        <x:v>거래0093</x:v>
      </x:c>
      <x:c r="D98" s="97" t="n">
        <x:v>340000</x:v>
      </x:c>
      <x:c r="E98" s="85" t="n">
        <x:v>0</x:v>
      </x:c>
    </x:row>
    <x:row r="99">
      <x:c r="A99" s="91" t="n">
        <x:v>46116</x:v>
      </x:c>
      <x:c r="B99" s="66" t="str">
        <x:v>AC-0044</x:v>
      </x:c>
      <x:c r="C99" s="66" t="str">
        <x:v>거래0094</x:v>
      </x:c>
      <x:c r="D99" s="97" t="n">
        <x:v>0</x:v>
      </x:c>
      <x:c r="E99" s="85" t="n">
        <x:v>860000</x:v>
      </x:c>
    </x:row>
    <x:row r="100">
      <x:c r="A100" s="91" t="n">
        <x:v>46117</x:v>
      </x:c>
      <x:c r="B100" s="66" t="str">
        <x:v>AC-0045</x:v>
      </x:c>
      <x:c r="C100" s="66" t="str">
        <x:v>거래0095</x:v>
      </x:c>
      <x:c r="D100" s="97" t="n">
        <x:v>1130000</x:v>
      </x:c>
      <x:c r="E100" s="85" t="n">
        <x:v>0</x:v>
      </x:c>
    </x:row>
    <x:row r="101">
      <x:c r="A101" s="91" t="n">
        <x:v>46118</x:v>
      </x:c>
      <x:c r="B101" s="66" t="str">
        <x:v>AC-0046</x:v>
      </x:c>
      <x:c r="C101" s="66" t="str">
        <x:v>거래0096</x:v>
      </x:c>
      <x:c r="D101" s="97" t="n">
        <x:v>0</x:v>
      </x:c>
      <x:c r="E101" s="85" t="n">
        <x:v>270000</x:v>
      </x:c>
    </x:row>
    <x:row r="102">
      <x:c r="A102" s="91" t="n">
        <x:v>46119</x:v>
      </x:c>
      <x:c r="B102" s="66" t="str">
        <x:v>AC-0047</x:v>
      </x:c>
      <x:c r="C102" s="66" t="str">
        <x:v>거래0097</x:v>
      </x:c>
      <x:c r="D102" s="97" t="n">
        <x:v>270000</x:v>
      </x:c>
      <x:c r="E102" s="85" t="n">
        <x:v>0</x:v>
      </x:c>
    </x:row>
    <x:row r="103">
      <x:c r="A103" s="91" t="n">
        <x:v>46120</x:v>
      </x:c>
      <x:c r="B103" s="66" t="str">
        <x:v>AC-0048</x:v>
      </x:c>
      <x:c r="C103" s="66" t="str">
        <x:v>거래0098</x:v>
      </x:c>
      <x:c r="D103" s="97" t="n">
        <x:v>0</x:v>
      </x:c>
      <x:c r="E103" s="85" t="n">
        <x:v>1070000</x:v>
      </x:c>
    </x:row>
    <x:row r="104">
      <x:c r="A104" s="91" t="n">
        <x:v>46121</x:v>
      </x:c>
      <x:c r="B104" s="66" t="str">
        <x:v>AC-0049</x:v>
      </x:c>
      <x:c r="C104" s="66" t="str">
        <x:v>거래0099</x:v>
      </x:c>
      <x:c r="D104" s="97" t="n">
        <x:v>850000</x:v>
      </x:c>
      <x:c r="E104" s="85" t="n">
        <x:v>0</x:v>
      </x:c>
    </x:row>
    <x:row r="105">
      <x:c r="A105" s="91" t="n">
        <x:v>46122</x:v>
      </x:c>
      <x:c r="B105" s="66" t="str">
        <x:v>AC-0050</x:v>
      </x:c>
      <x:c r="C105" s="66" t="str">
        <x:v>거래0100</x:v>
      </x:c>
      <x:c r="D105" s="97" t="n">
        <x:v>0</x:v>
      </x:c>
      <x:c r="E105" s="85" t="n">
        <x:v>1360000</x:v>
      </x:c>
    </x:row>
    <x:row r="106">
      <x:c r="A106" s="91" t="n">
        <x:v>46123</x:v>
      </x:c>
      <x:c r="B106" s="66" t="str">
        <x:v>AC-0001</x:v>
      </x:c>
      <x:c r="C106" s="66" t="str">
        <x:v>거래0101</x:v>
      </x:c>
      <x:c r="D106" s="97" t="n">
        <x:v>170000</x:v>
      </x:c>
      <x:c r="E106" s="85" t="n">
        <x:v>0</x:v>
      </x:c>
    </x:row>
    <x:row r="107">
      <x:c r="A107" s="91" t="n">
        <x:v>46124</x:v>
      </x:c>
      <x:c r="B107" s="66" t="str">
        <x:v>AC-0002</x:v>
      </x:c>
      <x:c r="C107" s="66" t="str">
        <x:v>거래0102</x:v>
      </x:c>
      <x:c r="D107" s="97" t="n">
        <x:v>0</x:v>
      </x:c>
      <x:c r="E107" s="85" t="n">
        <x:v>1100000</x:v>
      </x:c>
    </x:row>
    <x:row r="108">
      <x:c r="A108" s="91" t="n">
        <x:v>46125</x:v>
      </x:c>
      <x:c r="B108" s="66" t="str">
        <x:v>AC-0003</x:v>
      </x:c>
      <x:c r="C108" s="66" t="str">
        <x:v>거래0103</x:v>
      </x:c>
      <x:c r="D108" s="97" t="n">
        <x:v>920000</x:v>
      </x:c>
      <x:c r="E108" s="85" t="n">
        <x:v>0</x:v>
      </x:c>
    </x:row>
    <x:row r="109">
      <x:c r="A109" s="91" t="n">
        <x:v>46126</x:v>
      </x:c>
      <x:c r="B109" s="66" t="str">
        <x:v>AC-0004</x:v>
      </x:c>
      <x:c r="C109" s="66" t="str">
        <x:v>거래0104</x:v>
      </x:c>
      <x:c r="D109" s="97" t="n">
        <x:v>0</x:v>
      </x:c>
      <x:c r="E109" s="85" t="n">
        <x:v>570000</x:v>
      </x:c>
    </x:row>
    <x:row r="110">
      <x:c r="A110" s="91" t="n">
        <x:v>46127</x:v>
      </x:c>
      <x:c r="B110" s="66" t="str">
        <x:v>AC-0005</x:v>
      </x:c>
      <x:c r="C110" s="66" t="str">
        <x:v>거래0105</x:v>
      </x:c>
      <x:c r="D110" s="97" t="n">
        <x:v>100000</x:v>
      </x:c>
      <x:c r="E110" s="85" t="n">
        <x:v>0</x:v>
      </x:c>
    </x:row>
    <x:row r="111">
      <x:c r="A111" s="91" t="n">
        <x:v>46128</x:v>
      </x:c>
      <x:c r="B111" s="66" t="str">
        <x:v>AC-0006</x:v>
      </x:c>
      <x:c r="C111" s="66" t="str">
        <x:v>거래0106</x:v>
      </x:c>
      <x:c r="D111" s="97" t="n">
        <x:v>0</x:v>
      </x:c>
      <x:c r="E111" s="85" t="n">
        <x:v>570000</x:v>
      </x:c>
    </x:row>
    <x:row r="112">
      <x:c r="A112" s="91" t="n">
        <x:v>46129</x:v>
      </x:c>
      <x:c r="B112" s="66" t="str">
        <x:v>AC-0007</x:v>
      </x:c>
      <x:c r="C112" s="66" t="str">
        <x:v>거래0107</x:v>
      </x:c>
      <x:c r="D112" s="97" t="n">
        <x:v>680000</x:v>
      </x:c>
      <x:c r="E112" s="85" t="n">
        <x:v>0</x:v>
      </x:c>
    </x:row>
    <x:row r="113">
      <x:c r="A113" s="91" t="n">
        <x:v>46130</x:v>
      </x:c>
      <x:c r="B113" s="66" t="str">
        <x:v>AC-0008</x:v>
      </x:c>
      <x:c r="C113" s="66" t="str">
        <x:v>거래0108</x:v>
      </x:c>
      <x:c r="D113" s="97" t="n">
        <x:v>0</x:v>
      </x:c>
      <x:c r="E113" s="85" t="n">
        <x:v>280000</x:v>
      </x:c>
    </x:row>
    <x:row r="114">
      <x:c r="A114" s="91" t="n">
        <x:v>46131</x:v>
      </x:c>
      <x:c r="B114" s="66" t="str">
        <x:v>AC-0009</x:v>
      </x:c>
      <x:c r="C114" s="66" t="str">
        <x:v>거래0109</x:v>
      </x:c>
      <x:c r="D114" s="97" t="n">
        <x:v>1400000</x:v>
      </x:c>
      <x:c r="E114" s="85" t="n">
        <x:v>0</x:v>
      </x:c>
    </x:row>
    <x:row r="115">
      <x:c r="A115" s="91" t="n">
        <x:v>46132</x:v>
      </x:c>
      <x:c r="B115" s="66" t="str">
        <x:v>AC-0010</x:v>
      </x:c>
      <x:c r="C115" s="66" t="str">
        <x:v>거래0110</x:v>
      </x:c>
      <x:c r="D115" s="97" t="n">
        <x:v>0</x:v>
      </x:c>
      <x:c r="E115" s="85" t="n">
        <x:v>1180000</x:v>
      </x:c>
    </x:row>
    <x:row r="116">
      <x:c r="A116" s="91" t="n">
        <x:v>46133</x:v>
      </x:c>
      <x:c r="B116" s="66" t="str">
        <x:v>AC-0011</x:v>
      </x:c>
      <x:c r="C116" s="66" t="str">
        <x:v>거래0111</x:v>
      </x:c>
      <x:c r="D116" s="97" t="n">
        <x:v>100000</x:v>
      </x:c>
      <x:c r="E116" s="85" t="n">
        <x:v>0</x:v>
      </x:c>
    </x:row>
    <x:row r="117">
      <x:c r="A117" s="91" t="n">
        <x:v>46134</x:v>
      </x:c>
      <x:c r="B117" s="66" t="str">
        <x:v>AC-0012</x:v>
      </x:c>
      <x:c r="C117" s="66" t="str">
        <x:v>거래0112</x:v>
      </x:c>
      <x:c r="D117" s="97" t="n">
        <x:v>0</x:v>
      </x:c>
      <x:c r="E117" s="85" t="n">
        <x:v>1500000</x:v>
      </x:c>
    </x:row>
    <x:row r="118">
      <x:c r="A118" s="91" t="n">
        <x:v>46135</x:v>
      </x:c>
      <x:c r="B118" s="66" t="str">
        <x:v>AC-0013</x:v>
      </x:c>
      <x:c r="C118" s="66" t="str">
        <x:v>거래0113</x:v>
      </x:c>
      <x:c r="D118" s="97" t="n">
        <x:v>1240000</x:v>
      </x:c>
      <x:c r="E118" s="85" t="n">
        <x:v>0</x:v>
      </x:c>
    </x:row>
    <x:row r="119">
      <x:c r="A119" s="91" t="n">
        <x:v>46136</x:v>
      </x:c>
      <x:c r="B119" s="66" t="str">
        <x:v>AC-0014</x:v>
      </x:c>
      <x:c r="C119" s="66" t="str">
        <x:v>거래0114</x:v>
      </x:c>
      <x:c r="D119" s="97" t="n">
        <x:v>0</x:v>
      </x:c>
      <x:c r="E119" s="85" t="n">
        <x:v>710000</x:v>
      </x:c>
    </x:row>
    <x:row r="120">
      <x:c r="A120" s="91" t="n">
        <x:v>46137</x:v>
      </x:c>
      <x:c r="B120" s="66" t="str">
        <x:v>AC-0015</x:v>
      </x:c>
      <x:c r="C120" s="66" t="str">
        <x:v>거래0115</x:v>
      </x:c>
      <x:c r="D120" s="97" t="n">
        <x:v>420000</x:v>
      </x:c>
      <x:c r="E120" s="85" t="n">
        <x:v>0</x:v>
      </x:c>
    </x:row>
    <x:row r="121">
      <x:c r="A121" s="91" t="n">
        <x:v>46138</x:v>
      </x:c>
      <x:c r="B121" s="66" t="str">
        <x:v>AC-0016</x:v>
      </x:c>
      <x:c r="C121" s="66" t="str">
        <x:v>거래0116</x:v>
      </x:c>
      <x:c r="D121" s="97" t="n">
        <x:v>0</x:v>
      </x:c>
      <x:c r="E121" s="85" t="n">
        <x:v>560000</x:v>
      </x:c>
    </x:row>
    <x:row r="122">
      <x:c r="A122" s="91" t="n">
        <x:v>46139</x:v>
      </x:c>
      <x:c r="B122" s="66" t="str">
        <x:v>AC-0017</x:v>
      </x:c>
      <x:c r="C122" s="66" t="str">
        <x:v>거래0117</x:v>
      </x:c>
      <x:c r="D122" s="97" t="n">
        <x:v>1390000</x:v>
      </x:c>
      <x:c r="E122" s="85" t="n">
        <x:v>0</x:v>
      </x:c>
    </x:row>
    <x:row r="123">
      <x:c r="A123" s="91" t="n">
        <x:v>46140</x:v>
      </x:c>
      <x:c r="B123" s="66" t="str">
        <x:v>AC-0018</x:v>
      </x:c>
      <x:c r="C123" s="66" t="str">
        <x:v>거래0118</x:v>
      </x:c>
      <x:c r="D123" s="97" t="n">
        <x:v>0</x:v>
      </x:c>
      <x:c r="E123" s="85" t="n">
        <x:v>590000</x:v>
      </x:c>
    </x:row>
    <x:row r="124">
      <x:c r="A124" s="91" t="n">
        <x:v>46141</x:v>
      </x:c>
      <x:c r="B124" s="66" t="str">
        <x:v>AC-0019</x:v>
      </x:c>
      <x:c r="C124" s="66" t="str">
        <x:v>거래0119</x:v>
      </x:c>
      <x:c r="D124" s="97" t="n">
        <x:v>480000</x:v>
      </x:c>
      <x:c r="E124" s="85" t="n">
        <x:v>0</x:v>
      </x:c>
    </x:row>
    <x:row r="125">
      <x:c r="A125" s="91" t="n">
        <x:v>46142</x:v>
      </x:c>
      <x:c r="B125" s="66" t="str">
        <x:v>AC-0020</x:v>
      </x:c>
      <x:c r="C125" s="66" t="str">
        <x:v>거래0120</x:v>
      </x:c>
      <x:c r="D125" s="97" t="n">
        <x:v>0</x:v>
      </x:c>
      <x:c r="E125" s="85" t="n">
        <x:v>190000</x:v>
      </x:c>
    </x:row>
    <x:row r="126">
      <x:c r="A126" s="91" t="n">
        <x:v>46143</x:v>
      </x:c>
      <x:c r="B126" s="66" t="str">
        <x:v>AC-0021</x:v>
      </x:c>
      <x:c r="C126" s="66" t="str">
        <x:v>거래0121</x:v>
      </x:c>
      <x:c r="D126" s="97" t="n">
        <x:v>770000</x:v>
      </x:c>
      <x:c r="E126" s="85" t="n">
        <x:v>0</x:v>
      </x:c>
    </x:row>
    <x:row r="127">
      <x:c r="A127" s="91" t="n">
        <x:v>46144</x:v>
      </x:c>
      <x:c r="B127" s="66" t="str">
        <x:v>AC-0022</x:v>
      </x:c>
      <x:c r="C127" s="66" t="str">
        <x:v>거래0122</x:v>
      </x:c>
      <x:c r="D127" s="97" t="n">
        <x:v>0</x:v>
      </x:c>
      <x:c r="E127" s="85" t="n">
        <x:v>1490000</x:v>
      </x:c>
    </x:row>
    <x:row r="128">
      <x:c r="A128" s="91" t="n">
        <x:v>46145</x:v>
      </x:c>
      <x:c r="B128" s="66" t="str">
        <x:v>AC-0023</x:v>
      </x:c>
      <x:c r="C128" s="66" t="str">
        <x:v>거래0123</x:v>
      </x:c>
      <x:c r="D128" s="97" t="n">
        <x:v>850000</x:v>
      </x:c>
      <x:c r="E128" s="85" t="n">
        <x:v>0</x:v>
      </x:c>
    </x:row>
    <x:row r="129">
      <x:c r="A129" s="91" t="n">
        <x:v>46146</x:v>
      </x:c>
      <x:c r="B129" s="66" t="str">
        <x:v>AC-0024</x:v>
      </x:c>
      <x:c r="C129" s="66" t="str">
        <x:v>거래0124</x:v>
      </x:c>
      <x:c r="D129" s="97" t="n">
        <x:v>0</x:v>
      </x:c>
      <x:c r="E129" s="85" t="n">
        <x:v>1210000</x:v>
      </x:c>
    </x:row>
    <x:row r="130">
      <x:c r="A130" s="91" t="n">
        <x:v>46147</x:v>
      </x:c>
      <x:c r="B130" s="66" t="str">
        <x:v>AC-0025</x:v>
      </x:c>
      <x:c r="C130" s="66" t="str">
        <x:v>거래0125</x:v>
      </x:c>
      <x:c r="D130" s="97" t="n">
        <x:v>1500000</x:v>
      </x:c>
      <x:c r="E130" s="85" t="n">
        <x:v>0</x:v>
      </x:c>
    </x:row>
    <x:row r="131">
      <x:c r="A131" s="91" t="n">
        <x:v>46148</x:v>
      </x:c>
      <x:c r="B131" s="66" t="str">
        <x:v>AC-0026</x:v>
      </x:c>
      <x:c r="C131" s="66" t="str">
        <x:v>거래0126</x:v>
      </x:c>
      <x:c r="D131" s="97" t="n">
        <x:v>0</x:v>
      </x:c>
      <x:c r="E131" s="85" t="n">
        <x:v>600000</x:v>
      </x:c>
    </x:row>
    <x:row r="132">
      <x:c r="A132" s="91" t="n">
        <x:v>46149</x:v>
      </x:c>
      <x:c r="B132" s="66" t="str">
        <x:v>AC-0027</x:v>
      </x:c>
      <x:c r="C132" s="66" t="str">
        <x:v>거래0127</x:v>
      </x:c>
      <x:c r="D132" s="97" t="n">
        <x:v>370000</x:v>
      </x:c>
      <x:c r="E132" s="85" t="n">
        <x:v>0</x:v>
      </x:c>
    </x:row>
    <x:row r="133">
      <x:c r="A133" s="91" t="n">
        <x:v>46150</x:v>
      </x:c>
      <x:c r="B133" s="66" t="str">
        <x:v>AC-0028</x:v>
      </x:c>
      <x:c r="C133" s="66" t="str">
        <x:v>거래0128</x:v>
      </x:c>
      <x:c r="D133" s="97" t="n">
        <x:v>0</x:v>
      </x:c>
      <x:c r="E133" s="85" t="n">
        <x:v>250000</x:v>
      </x:c>
    </x:row>
    <x:row r="134">
      <x:c r="A134" s="91" t="n">
        <x:v>46151</x:v>
      </x:c>
      <x:c r="B134" s="66" t="str">
        <x:v>AC-0029</x:v>
      </x:c>
      <x:c r="C134" s="66" t="str">
        <x:v>거래0129</x:v>
      </x:c>
      <x:c r="D134" s="97" t="n">
        <x:v>610000</x:v>
      </x:c>
      <x:c r="E134" s="85" t="n">
        <x:v>0</x:v>
      </x:c>
    </x:row>
    <x:row r="135">
      <x:c r="A135" s="91" t="n">
        <x:v>46152</x:v>
      </x:c>
      <x:c r="B135" s="66" t="str">
        <x:v>AC-0030</x:v>
      </x:c>
      <x:c r="C135" s="66" t="str">
        <x:v>거래0130</x:v>
      </x:c>
      <x:c r="D135" s="97" t="n">
        <x:v>0</x:v>
      </x:c>
      <x:c r="E135" s="85" t="n">
        <x:v>1420000</x:v>
      </x:c>
    </x:row>
    <x:row r="136">
      <x:c r="A136" s="91" t="n">
        <x:v>46153</x:v>
      </x:c>
      <x:c r="B136" s="66" t="str">
        <x:v>AC-0031</x:v>
      </x:c>
      <x:c r="C136" s="66" t="str">
        <x:v>거래0131</x:v>
      </x:c>
      <x:c r="D136" s="97" t="n">
        <x:v>820000</x:v>
      </x:c>
      <x:c r="E136" s="85" t="n">
        <x:v>0</x:v>
      </x:c>
    </x:row>
    <x:row r="137">
      <x:c r="A137" s="91" t="n">
        <x:v>46154</x:v>
      </x:c>
      <x:c r="B137" s="66" t="str">
        <x:v>AC-0032</x:v>
      </x:c>
      <x:c r="C137" s="66" t="str">
        <x:v>거래0132</x:v>
      </x:c>
      <x:c r="D137" s="97" t="n">
        <x:v>0</x:v>
      </x:c>
      <x:c r="E137" s="85" t="n">
        <x:v>270000</x:v>
      </x:c>
    </x:row>
    <x:row r="138">
      <x:c r="A138" s="91" t="n">
        <x:v>46155</x:v>
      </x:c>
      <x:c r="B138" s="66" t="str">
        <x:v>AC-0033</x:v>
      </x:c>
      <x:c r="C138" s="66" t="str">
        <x:v>거래0133</x:v>
      </x:c>
      <x:c r="D138" s="97" t="n">
        <x:v>1450000</x:v>
      </x:c>
      <x:c r="E138" s="85" t="n">
        <x:v>0</x:v>
      </x:c>
    </x:row>
    <x:row r="139">
      <x:c r="A139" s="91" t="n">
        <x:v>46156</x:v>
      </x:c>
      <x:c r="B139" s="66" t="str">
        <x:v>AC-0034</x:v>
      </x:c>
      <x:c r="C139" s="66" t="str">
        <x:v>거래0134</x:v>
      </x:c>
      <x:c r="D139" s="97" t="n">
        <x:v>0</x:v>
      </x:c>
      <x:c r="E139" s="85" t="n">
        <x:v>800000</x:v>
      </x:c>
    </x:row>
    <x:row r="140">
      <x:c r="A140" s="91" t="n">
        <x:v>46157</x:v>
      </x:c>
      <x:c r="B140" s="66" t="str">
        <x:v>AC-0035</x:v>
      </x:c>
      <x:c r="C140" s="66" t="str">
        <x:v>거래0135</x:v>
      </x:c>
      <x:c r="D140" s="97" t="n">
        <x:v>1480000</x:v>
      </x:c>
      <x:c r="E140" s="85" t="n">
        <x:v>0</x:v>
      </x:c>
    </x:row>
    <x:row r="141">
      <x:c r="A141" s="91" t="n">
        <x:v>46158</x:v>
      </x:c>
      <x:c r="B141" s="66" t="str">
        <x:v>AC-0036</x:v>
      </x:c>
      <x:c r="C141" s="66" t="str">
        <x:v>거래0136</x:v>
      </x:c>
      <x:c r="D141" s="97" t="n">
        <x:v>0</x:v>
      </x:c>
      <x:c r="E141" s="85" t="n">
        <x:v>140000</x:v>
      </x:c>
    </x:row>
    <x:row r="142">
      <x:c r="A142" s="91" t="n">
        <x:v>46159</x:v>
      </x:c>
      <x:c r="B142" s="66" t="str">
        <x:v>AC-0037</x:v>
      </x:c>
      <x:c r="C142" s="66" t="str">
        <x:v>거래0137</x:v>
      </x:c>
      <x:c r="D142" s="97" t="n">
        <x:v>360000</x:v>
      </x:c>
      <x:c r="E142" s="85" t="n">
        <x:v>0</x:v>
      </x:c>
    </x:row>
    <x:row r="143">
      <x:c r="A143" s="91" t="n">
        <x:v>46160</x:v>
      </x:c>
      <x:c r="B143" s="66" t="str">
        <x:v>AC-0038</x:v>
      </x:c>
      <x:c r="C143" s="66" t="str">
        <x:v>거래0138</x:v>
      </x:c>
      <x:c r="D143" s="97" t="n">
        <x:v>0</x:v>
      </x:c>
      <x:c r="E143" s="85" t="n">
        <x:v>980000</x:v>
      </x:c>
    </x:row>
    <x:row r="144">
      <x:c r="A144" s="91" t="n">
        <x:v>46161</x:v>
      </x:c>
      <x:c r="B144" s="66" t="str">
        <x:v>AC-0039</x:v>
      </x:c>
      <x:c r="C144" s="66" t="str">
        <x:v>거래0139</x:v>
      </x:c>
      <x:c r="D144" s="97" t="n">
        <x:v>830000</x:v>
      </x:c>
      <x:c r="E144" s="85" t="n">
        <x:v>0</x:v>
      </x:c>
    </x:row>
    <x:row r="145">
      <x:c r="A145" s="91" t="n">
        <x:v>46162</x:v>
      </x:c>
      <x:c r="B145" s="66" t="str">
        <x:v>AC-0040</x:v>
      </x:c>
      <x:c r="C145" s="66" t="str">
        <x:v>거래0140</x:v>
      </x:c>
      <x:c r="D145" s="97" t="n">
        <x:v>0</x:v>
      </x:c>
      <x:c r="E145" s="85" t="n">
        <x:v>1400000</x:v>
      </x:c>
    </x:row>
    <x:row r="146">
      <x:c r="A146" s="91" t="n">
        <x:v>46163</x:v>
      </x:c>
      <x:c r="B146" s="66" t="str">
        <x:v>AC-0041</x:v>
      </x:c>
      <x:c r="C146" s="66" t="str">
        <x:v>거래0141</x:v>
      </x:c>
      <x:c r="D146" s="97" t="n">
        <x:v>1170000</x:v>
      </x:c>
      <x:c r="E146" s="85" t="n">
        <x:v>0</x:v>
      </x:c>
    </x:row>
    <x:row r="147">
      <x:c r="A147" s="91" t="n">
        <x:v>46164</x:v>
      </x:c>
      <x:c r="B147" s="66" t="str">
        <x:v>AC-0042</x:v>
      </x:c>
      <x:c r="C147" s="66" t="str">
        <x:v>거래0142</x:v>
      </x:c>
      <x:c r="D147" s="97" t="n">
        <x:v>0</x:v>
      </x:c>
      <x:c r="E147" s="85" t="n">
        <x:v>390000</x:v>
      </x:c>
    </x:row>
    <x:row r="148">
      <x:c r="A148" s="91" t="n">
        <x:v>46165</x:v>
      </x:c>
      <x:c r="B148" s="66" t="str">
        <x:v>AC-0043</x:v>
      </x:c>
      <x:c r="C148" s="66" t="str">
        <x:v>거래0143</x:v>
      </x:c>
      <x:c r="D148" s="97" t="n">
        <x:v>490000</x:v>
      </x:c>
      <x:c r="E148" s="85" t="n">
        <x:v>0</x:v>
      </x:c>
    </x:row>
    <x:row r="149">
      <x:c r="A149" s="91" t="n">
        <x:v>46166</x:v>
      </x:c>
      <x:c r="B149" s="66" t="str">
        <x:v>AC-0044</x:v>
      </x:c>
      <x:c r="C149" s="66" t="str">
        <x:v>거래0144</x:v>
      </x:c>
      <x:c r="D149" s="97" t="n">
        <x:v>0</x:v>
      </x:c>
      <x:c r="E149" s="85" t="n">
        <x:v>650000</x:v>
      </x:c>
    </x:row>
    <x:row r="150">
      <x:c r="A150" s="91" t="n">
        <x:v>46167</x:v>
      </x:c>
      <x:c r="B150" s="66" t="str">
        <x:v>AC-0045</x:v>
      </x:c>
      <x:c r="C150" s="66" t="str">
        <x:v>거래0145</x:v>
      </x:c>
      <x:c r="D150" s="97" t="n">
        <x:v>880000</x:v>
      </x:c>
      <x:c r="E150" s="85" t="n">
        <x:v>0</x:v>
      </x:c>
    </x:row>
    <x:row r="151">
      <x:c r="A151" s="91" t="n">
        <x:v>46168</x:v>
      </x:c>
      <x:c r="B151" s="66" t="str">
        <x:v>AC-0046</x:v>
      </x:c>
      <x:c r="C151" s="66" t="str">
        <x:v>거래0146</x:v>
      </x:c>
      <x:c r="D151" s="97" t="n">
        <x:v>0</x:v>
      </x:c>
      <x:c r="E151" s="85" t="n">
        <x:v>140000</x:v>
      </x:c>
    </x:row>
    <x:row r="152">
      <x:c r="A152" s="91" t="n">
        <x:v>46169</x:v>
      </x:c>
      <x:c r="B152" s="66" t="str">
        <x:v>AC-0047</x:v>
      </x:c>
      <x:c r="C152" s="66" t="str">
        <x:v>거래0147</x:v>
      </x:c>
      <x:c r="D152" s="97" t="n">
        <x:v>200000</x:v>
      </x:c>
      <x:c r="E152" s="85" t="n">
        <x:v>0</x:v>
      </x:c>
    </x:row>
    <x:row r="153">
      <x:c r="A153" s="91" t="n">
        <x:v>46170</x:v>
      </x:c>
      <x:c r="B153" s="66" t="str">
        <x:v>AC-0048</x:v>
      </x:c>
      <x:c r="C153" s="66" t="str">
        <x:v>거래0148</x:v>
      </x:c>
      <x:c r="D153" s="97" t="n">
        <x:v>0</x:v>
      </x:c>
      <x:c r="E153" s="85" t="n">
        <x:v>470000</x:v>
      </x:c>
    </x:row>
    <x:row r="154">
      <x:c r="A154" s="91" t="n">
        <x:v>46171</x:v>
      </x:c>
      <x:c r="B154" s="66" t="str">
        <x:v>AC-0049</x:v>
      </x:c>
      <x:c r="C154" s="66" t="str">
        <x:v>거래0149</x:v>
      </x:c>
      <x:c r="D154" s="97" t="n">
        <x:v>430000</x:v>
      </x:c>
      <x:c r="E154" s="85" t="n">
        <x:v>0</x:v>
      </x:c>
    </x:row>
    <x:row r="155">
      <x:c r="A155" s="91" t="n">
        <x:v>46172</x:v>
      </x:c>
      <x:c r="B155" s="66" t="str">
        <x:v>AC-0050</x:v>
      </x:c>
      <x:c r="C155" s="66" t="str">
        <x:v>거래0150</x:v>
      </x:c>
      <x:c r="D155" s="97" t="n">
        <x:v>0</x:v>
      </x:c>
      <x:c r="E155" s="85" t="n">
        <x:v>1060000</x:v>
      </x:c>
    </x:row>
    <x:row r="156">
      <x:c r="A156" s="91" t="n">
        <x:v>46173</x:v>
      </x:c>
      <x:c r="B156" s="66" t="str">
        <x:v>AC-0001</x:v>
      </x:c>
      <x:c r="C156" s="66" t="str">
        <x:v>거래0151</x:v>
      </x:c>
      <x:c r="D156" s="97" t="n">
        <x:v>340000</x:v>
      </x:c>
      <x:c r="E156" s="85" t="n">
        <x:v>0</x:v>
      </x:c>
    </x:row>
    <x:row r="157">
      <x:c r="A157" s="91" t="n">
        <x:v>46174</x:v>
      </x:c>
      <x:c r="B157" s="66" t="str">
        <x:v>AC-0002</x:v>
      </x:c>
      <x:c r="C157" s="66" t="str">
        <x:v>거래0152</x:v>
      </x:c>
      <x:c r="D157" s="97" t="n">
        <x:v>0</x:v>
      </x:c>
      <x:c r="E157" s="85" t="n">
        <x:v>1110000</x:v>
      </x:c>
    </x:row>
    <x:row r="158">
      <x:c r="A158" s="91" t="n">
        <x:v>46175</x:v>
      </x:c>
      <x:c r="B158" s="66" t="str">
        <x:v>AC-0003</x:v>
      </x:c>
      <x:c r="C158" s="66" t="str">
        <x:v>거래0153</x:v>
      </x:c>
      <x:c r="D158" s="97" t="n">
        <x:v>1240000</x:v>
      </x:c>
      <x:c r="E158" s="85" t="n">
        <x:v>0</x:v>
      </x:c>
    </x:row>
    <x:row r="159">
      <x:c r="A159" s="91" t="n">
        <x:v>46176</x:v>
      </x:c>
      <x:c r="B159" s="66" t="str">
        <x:v>AC-0004</x:v>
      </x:c>
      <x:c r="C159" s="66" t="str">
        <x:v>거래0154</x:v>
      </x:c>
      <x:c r="D159" s="97" t="n">
        <x:v>0</x:v>
      </x:c>
      <x:c r="E159" s="85" t="n">
        <x:v>570000</x:v>
      </x:c>
    </x:row>
    <x:row r="160">
      <x:c r="A160" s="91" t="n">
        <x:v>46177</x:v>
      </x:c>
      <x:c r="B160" s="66" t="str">
        <x:v>AC-0005</x:v>
      </x:c>
      <x:c r="C160" s="66" t="str">
        <x:v>거래0155</x:v>
      </x:c>
      <x:c r="D160" s="97" t="n">
        <x:v>850000</x:v>
      </x:c>
      <x:c r="E160" s="85" t="n">
        <x:v>0</x:v>
      </x:c>
    </x:row>
    <x:row r="161">
      <x:c r="A161" s="91" t="n">
        <x:v>46178</x:v>
      </x:c>
      <x:c r="B161" s="66" t="str">
        <x:v>AC-0006</x:v>
      </x:c>
      <x:c r="C161" s="66" t="str">
        <x:v>거래0156</x:v>
      </x:c>
      <x:c r="D161" s="97" t="n">
        <x:v>0</x:v>
      </x:c>
      <x:c r="E161" s="85" t="n">
        <x:v>550000</x:v>
      </x:c>
    </x:row>
    <x:row r="162">
      <x:c r="A162" s="91" t="n">
        <x:v>46179</x:v>
      </x:c>
      <x:c r="B162" s="66" t="str">
        <x:v>AC-0007</x:v>
      </x:c>
      <x:c r="C162" s="66" t="str">
        <x:v>거래0157</x:v>
      </x:c>
      <x:c r="D162" s="97" t="n">
        <x:v>1490000</x:v>
      </x:c>
      <x:c r="E162" s="85" t="n">
        <x:v>0</x:v>
      </x:c>
    </x:row>
    <x:row r="163">
      <x:c r="A163" s="91" t="n">
        <x:v>46180</x:v>
      </x:c>
      <x:c r="B163" s="66" t="str">
        <x:v>AC-0008</x:v>
      </x:c>
      <x:c r="C163" s="66" t="str">
        <x:v>거래0158</x:v>
      </x:c>
      <x:c r="D163" s="97" t="n">
        <x:v>0</x:v>
      </x:c>
      <x:c r="E163" s="85" t="n">
        <x:v>820000</x:v>
      </x:c>
    </x:row>
    <x:row r="164">
      <x:c r="A164" s="91" t="n">
        <x:v>46181</x:v>
      </x:c>
      <x:c r="B164" s="66" t="str">
        <x:v>AC-0009</x:v>
      </x:c>
      <x:c r="C164" s="66" t="str">
        <x:v>거래0159</x:v>
      </x:c>
      <x:c r="D164" s="97" t="n">
        <x:v>980000</x:v>
      </x:c>
      <x:c r="E164" s="85" t="n">
        <x:v>0</x:v>
      </x:c>
    </x:row>
    <x:row r="165">
      <x:c r="A165" s="91" t="n">
        <x:v>46182</x:v>
      </x:c>
      <x:c r="B165" s="66" t="str">
        <x:v>AC-0010</x:v>
      </x:c>
      <x:c r="C165" s="66" t="str">
        <x:v>거래0160</x:v>
      </x:c>
      <x:c r="D165" s="97" t="n">
        <x:v>0</x:v>
      </x:c>
      <x:c r="E165" s="85" t="n">
        <x:v>890000</x:v>
      </x:c>
    </x:row>
    <x:row r="166">
      <x:c r="A166" s="91" t="n">
        <x:v>46183</x:v>
      </x:c>
      <x:c r="B166" s="66" t="str">
        <x:v>AC-0011</x:v>
      </x:c>
      <x:c r="C166" s="66" t="str">
        <x:v>거래0161</x:v>
      </x:c>
      <x:c r="D166" s="97" t="n">
        <x:v>390000</x:v>
      </x:c>
      <x:c r="E166" s="85" t="n">
        <x:v>0</x:v>
      </x:c>
    </x:row>
    <x:row r="167">
      <x:c r="A167" s="91" t="n">
        <x:v>46184</x:v>
      </x:c>
      <x:c r="B167" s="66" t="str">
        <x:v>AC-0012</x:v>
      </x:c>
      <x:c r="C167" s="66" t="str">
        <x:v>거래0162</x:v>
      </x:c>
      <x:c r="D167" s="97" t="n">
        <x:v>0</x:v>
      </x:c>
      <x:c r="E167" s="85" t="n">
        <x:v>1380000</x:v>
      </x:c>
    </x:row>
    <x:row r="168">
      <x:c r="A168" s="91" t="n">
        <x:v>46185</x:v>
      </x:c>
      <x:c r="B168" s="66" t="str">
        <x:v>AC-0013</x:v>
      </x:c>
      <x:c r="C168" s="66" t="str">
        <x:v>거래0163</x:v>
      </x:c>
      <x:c r="D168" s="97" t="n">
        <x:v>130000</x:v>
      </x:c>
      <x:c r="E168" s="85" t="n">
        <x:v>0</x:v>
      </x:c>
    </x:row>
    <x:row r="169">
      <x:c r="A169" s="91" t="n">
        <x:v>46186</x:v>
      </x:c>
      <x:c r="B169" s="66" t="str">
        <x:v>AC-0014</x:v>
      </x:c>
      <x:c r="C169" s="66" t="str">
        <x:v>거래0164</x:v>
      </x:c>
      <x:c r="D169" s="97" t="n">
        <x:v>0</x:v>
      </x:c>
      <x:c r="E169" s="85" t="n">
        <x:v>500000</x:v>
      </x:c>
    </x:row>
    <x:row r="170">
      <x:c r="A170" s="91" t="n">
        <x:v>46187</x:v>
      </x:c>
      <x:c r="B170" s="66" t="str">
        <x:v>AC-0015</x:v>
      </x:c>
      <x:c r="C170" s="66" t="str">
        <x:v>거래0165</x:v>
      </x:c>
      <x:c r="D170" s="97" t="n">
        <x:v>1460000</x:v>
      </x:c>
      <x:c r="E170" s="85" t="n">
        <x:v>0</x:v>
      </x:c>
    </x:row>
    <x:row r="171">
      <x:c r="A171" s="91" t="n">
        <x:v>46188</x:v>
      </x:c>
      <x:c r="B171" s="66" t="str">
        <x:v>AC-0016</x:v>
      </x:c>
      <x:c r="C171" s="66" t="str">
        <x:v>거래0166</x:v>
      </x:c>
      <x:c r="D171" s="97" t="n">
        <x:v>0</x:v>
      </x:c>
      <x:c r="E171" s="85" t="n">
        <x:v>1130000</x:v>
      </x:c>
    </x:row>
    <x:row r="172">
      <x:c r="A172" s="91" t="n">
        <x:v>46189</x:v>
      </x:c>
      <x:c r="B172" s="66" t="str">
        <x:v>AC-0017</x:v>
      </x:c>
      <x:c r="C172" s="66" t="str">
        <x:v>거래0167</x:v>
      </x:c>
      <x:c r="D172" s="97" t="n">
        <x:v>1080000</x:v>
      </x:c>
      <x:c r="E172" s="85" t="n">
        <x:v>0</x:v>
      </x:c>
    </x:row>
    <x:row r="173">
      <x:c r="A173" s="91" t="n">
        <x:v>46190</x:v>
      </x:c>
      <x:c r="B173" s="66" t="str">
        <x:v>AC-0018</x:v>
      </x:c>
      <x:c r="C173" s="66" t="str">
        <x:v>거래0168</x:v>
      </x:c>
      <x:c r="D173" s="97" t="n">
        <x:v>0</x:v>
      </x:c>
      <x:c r="E173" s="85" t="n">
        <x:v>880000</x:v>
      </x:c>
    </x:row>
    <x:row r="174">
      <x:c r="A174" s="91" t="n">
        <x:v>46191</x:v>
      </x:c>
      <x:c r="B174" s="66" t="str">
        <x:v>AC-0019</x:v>
      </x:c>
      <x:c r="C174" s="66" t="str">
        <x:v>거래0169</x:v>
      </x:c>
      <x:c r="D174" s="97" t="n">
        <x:v>230000</x:v>
      </x:c>
      <x:c r="E174" s="85" t="n">
        <x:v>0</x:v>
      </x:c>
    </x:row>
    <x:row r="175">
      <x:c r="A175" s="91" t="n">
        <x:v>46192</x:v>
      </x:c>
      <x:c r="B175" s="66" t="str">
        <x:v>AC-0020</x:v>
      </x:c>
      <x:c r="C175" s="66" t="str">
        <x:v>거래0170</x:v>
      </x:c>
      <x:c r="D175" s="97" t="n">
        <x:v>0</x:v>
      </x:c>
      <x:c r="E175" s="85" t="n">
        <x:v>1290000</x:v>
      </x:c>
    </x:row>
    <x:row r="176">
      <x:c r="A176" s="91" t="n">
        <x:v>46193</x:v>
      </x:c>
      <x:c r="B176" s="66" t="str">
        <x:v>AC-0021</x:v>
      </x:c>
      <x:c r="C176" s="66" t="str">
        <x:v>거래0171</x:v>
      </x:c>
      <x:c r="D176" s="97" t="n">
        <x:v>1340000</x:v>
      </x:c>
      <x:c r="E176" s="85" t="n">
        <x:v>0</x:v>
      </x:c>
    </x:row>
    <x:row r="177">
      <x:c r="A177" s="91" t="n">
        <x:v>46194</x:v>
      </x:c>
      <x:c r="B177" s="66" t="str">
        <x:v>AC-0022</x:v>
      </x:c>
      <x:c r="C177" s="66" t="str">
        <x:v>거래0172</x:v>
      </x:c>
      <x:c r="D177" s="97" t="n">
        <x:v>0</x:v>
      </x:c>
      <x:c r="E177" s="85" t="n">
        <x:v>1200000</x:v>
      </x:c>
    </x:row>
    <x:row r="178">
      <x:c r="A178" s="91" t="n">
        <x:v>46195</x:v>
      </x:c>
      <x:c r="B178" s="66" t="str">
        <x:v>AC-0023</x:v>
      </x:c>
      <x:c r="C178" s="66" t="str">
        <x:v>거래0173</x:v>
      </x:c>
      <x:c r="D178" s="97" t="n">
        <x:v>1180000</x:v>
      </x:c>
      <x:c r="E178" s="85" t="n">
        <x:v>0</x:v>
      </x:c>
    </x:row>
    <x:row r="179">
      <x:c r="A179" s="91" t="n">
        <x:v>46196</x:v>
      </x:c>
      <x:c r="B179" s="66" t="str">
        <x:v>AC-0024</x:v>
      </x:c>
      <x:c r="C179" s="66" t="str">
        <x:v>거래0174</x:v>
      </x:c>
      <x:c r="D179" s="97" t="n">
        <x:v>0</x:v>
      </x:c>
      <x:c r="E179" s="85" t="n">
        <x:v>790000</x:v>
      </x:c>
    </x:row>
    <x:row r="180">
      <x:c r="A180" s="91" t="n">
        <x:v>46197</x:v>
      </x:c>
      <x:c r="B180" s="66" t="str">
        <x:v>AC-0025</x:v>
      </x:c>
      <x:c r="C180" s="66" t="str">
        <x:v>거래0175</x:v>
      </x:c>
      <x:c r="D180" s="97" t="n">
        <x:v>1290000</x:v>
      </x:c>
      <x:c r="E180" s="85" t="n">
        <x:v>0</x:v>
      </x:c>
    </x:row>
    <x:row r="181">
      <x:c r="A181" s="91" t="n">
        <x:v>46198</x:v>
      </x:c>
      <x:c r="B181" s="66" t="str">
        <x:v>AC-0026</x:v>
      </x:c>
      <x:c r="C181" s="66" t="str">
        <x:v>거래0176</x:v>
      </x:c>
      <x:c r="D181" s="97" t="n">
        <x:v>0</x:v>
      </x:c>
      <x:c r="E181" s="85" t="n">
        <x:v>1120000</x:v>
      </x:c>
    </x:row>
    <x:row r="182">
      <x:c r="A182" s="91" t="n">
        <x:v>46199</x:v>
      </x:c>
      <x:c r="B182" s="66" t="str">
        <x:v>AC-0027</x:v>
      </x:c>
      <x:c r="C182" s="66" t="str">
        <x:v>거래0177</x:v>
      </x:c>
      <x:c r="D182" s="97" t="n">
        <x:v>620000</x:v>
      </x:c>
      <x:c r="E182" s="85" t="n">
        <x:v>0</x:v>
      </x:c>
    </x:row>
    <x:row r="183">
      <x:c r="A183" s="91" t="n">
        <x:v>46200</x:v>
      </x:c>
      <x:c r="B183" s="66" t="str">
        <x:v>AC-0028</x:v>
      </x:c>
      <x:c r="C183" s="66" t="str">
        <x:v>거래0178</x:v>
      </x:c>
      <x:c r="D183" s="97" t="n">
        <x:v>0</x:v>
      </x:c>
      <x:c r="E183" s="85" t="n">
        <x:v>1070000</x:v>
      </x:c>
    </x:row>
    <x:row r="184">
      <x:c r="A184" s="91" t="n">
        <x:v>46201</x:v>
      </x:c>
      <x:c r="B184" s="66" t="str">
        <x:v>AC-0029</x:v>
      </x:c>
      <x:c r="C184" s="66" t="str">
        <x:v>거래0179</x:v>
      </x:c>
      <x:c r="D184" s="97" t="n">
        <x:v>1250000</x:v>
      </x:c>
      <x:c r="E184" s="85" t="n">
        <x:v>0</x:v>
      </x:c>
    </x:row>
    <x:row r="185">
      <x:c r="A185" s="91" t="n">
        <x:v>46202</x:v>
      </x:c>
      <x:c r="B185" s="66" t="str">
        <x:v>AC-0030</x:v>
      </x:c>
      <x:c r="C185" s="66" t="str">
        <x:v>거래0180</x:v>
      </x:c>
      <x:c r="D185" s="97" t="n">
        <x:v>0</x:v>
      </x:c>
      <x:c r="E185" s="85" t="n">
        <x:v>830000</x:v>
      </x:c>
    </x:row>
    <x:row r="186">
      <x:c r="A186" s="91" t="n">
        <x:v>46203</x:v>
      </x:c>
      <x:c r="B186" s="66" t="str">
        <x:v>AC-0031</x:v>
      </x:c>
      <x:c r="C186" s="66" t="str">
        <x:v>거래0181</x:v>
      </x:c>
      <x:c r="D186" s="97" t="n">
        <x:v>1400000</x:v>
      </x:c>
      <x:c r="E186" s="85" t="n">
        <x:v>0</x:v>
      </x:c>
    </x:row>
    <x:row r="187">
      <x:c r="A187" s="91" t="n">
        <x:v>46204</x:v>
      </x:c>
      <x:c r="B187" s="66" t="str">
        <x:v>AC-0032</x:v>
      </x:c>
      <x:c r="C187" s="66" t="str">
        <x:v>거래0182</x:v>
      </x:c>
      <x:c r="D187" s="97" t="n">
        <x:v>0</x:v>
      </x:c>
      <x:c r="E187" s="85" t="n">
        <x:v>1210000</x:v>
      </x:c>
    </x:row>
    <x:row r="188">
      <x:c r="A188" s="91" t="n">
        <x:v>46205</x:v>
      </x:c>
      <x:c r="B188" s="66" t="str">
        <x:v>AC-0033</x:v>
      </x:c>
      <x:c r="C188" s="66" t="str">
        <x:v>거래0183</x:v>
      </x:c>
      <x:c r="D188" s="97" t="n">
        <x:v>950000</x:v>
      </x:c>
      <x:c r="E188" s="85" t="n">
        <x:v>0</x:v>
      </x:c>
    </x:row>
    <x:row r="189">
      <x:c r="A189" s="91" t="n">
        <x:v>46206</x:v>
      </x:c>
      <x:c r="B189" s="66" t="str">
        <x:v>AC-0034</x:v>
      </x:c>
      <x:c r="C189" s="66" t="str">
        <x:v>거래0184</x:v>
      </x:c>
      <x:c r="D189" s="97" t="n">
        <x:v>0</x:v>
      </x:c>
      <x:c r="E189" s="85" t="n">
        <x:v>720000</x:v>
      </x:c>
    </x:row>
    <x:row r="190">
      <x:c r="A190" s="91" t="n">
        <x:v>46207</x:v>
      </x:c>
      <x:c r="B190" s="66" t="str">
        <x:v>AC-0035</x:v>
      </x:c>
      <x:c r="C190" s="66" t="str">
        <x:v>거래0185</x:v>
      </x:c>
      <x:c r="D190" s="97" t="n">
        <x:v>1160000</x:v>
      </x:c>
      <x:c r="E190" s="85" t="n">
        <x:v>0</x:v>
      </x:c>
    </x:row>
    <x:row r="191">
      <x:c r="A191" s="91" t="n">
        <x:v>46208</x:v>
      </x:c>
      <x:c r="B191" s="66" t="str">
        <x:v>AC-0036</x:v>
      </x:c>
      <x:c r="C191" s="66" t="str">
        <x:v>거래0186</x:v>
      </x:c>
      <x:c r="D191" s="97" t="n">
        <x:v>0</x:v>
      </x:c>
      <x:c r="E191" s="85" t="n">
        <x:v>1480000</x:v>
      </x:c>
    </x:row>
    <x:row r="192">
      <x:c r="A192" s="91" t="n">
        <x:v>46209</x:v>
      </x:c>
      <x:c r="B192" s="66" t="str">
        <x:v>AC-0037</x:v>
      </x:c>
      <x:c r="C192" s="66" t="str">
        <x:v>거래0187</x:v>
      </x:c>
      <x:c r="D192" s="97" t="n">
        <x:v>490000</x:v>
      </x:c>
      <x:c r="E192" s="85" t="n">
        <x:v>0</x:v>
      </x:c>
    </x:row>
    <x:row r="193">
      <x:c r="A193" s="91" t="n">
        <x:v>46210</x:v>
      </x:c>
      <x:c r="B193" s="66" t="str">
        <x:v>AC-0038</x:v>
      </x:c>
      <x:c r="C193" s="66" t="str">
        <x:v>거래0188</x:v>
      </x:c>
      <x:c r="D193" s="97" t="n">
        <x:v>0</x:v>
      </x:c>
      <x:c r="E193" s="85" t="n">
        <x:v>1100000</x:v>
      </x:c>
    </x:row>
    <x:row r="194">
      <x:c r="A194" s="91" t="n">
        <x:v>46211</x:v>
      </x:c>
      <x:c r="B194" s="66" t="str">
        <x:v>AC-0039</x:v>
      </x:c>
      <x:c r="C194" s="66" t="str">
        <x:v>거래0189</x:v>
      </x:c>
      <x:c r="D194" s="97" t="n">
        <x:v>160000</x:v>
      </x:c>
      <x:c r="E194" s="85" t="n">
        <x:v>0</x:v>
      </x:c>
    </x:row>
    <x:row r="195">
      <x:c r="A195" s="91" t="n">
        <x:v>46212</x:v>
      </x:c>
      <x:c r="B195" s="66" t="str">
        <x:v>AC-0040</x:v>
      </x:c>
      <x:c r="C195" s="66" t="str">
        <x:v>거래0190</x:v>
      </x:c>
      <x:c r="D195" s="97" t="n">
        <x:v>0</x:v>
      </x:c>
      <x:c r="E195" s="85" t="n">
        <x:v>100000</x:v>
      </x:c>
    </x:row>
    <x:row r="196">
      <x:c r="A196" s="91" t="n">
        <x:v>46213</x:v>
      </x:c>
      <x:c r="B196" s="66" t="str">
        <x:v>AC-0041</x:v>
      </x:c>
      <x:c r="C196" s="66" t="str">
        <x:v>거래0191</x:v>
      </x:c>
      <x:c r="D196" s="97" t="n">
        <x:v>1480000</x:v>
      </x:c>
      <x:c r="E196" s="85" t="n">
        <x:v>0</x:v>
      </x:c>
    </x:row>
    <x:row r="197">
      <x:c r="A197" s="91" t="n">
        <x:v>46214</x:v>
      </x:c>
      <x:c r="B197" s="66" t="str">
        <x:v>AC-0042</x:v>
      </x:c>
      <x:c r="C197" s="66" t="str">
        <x:v>거래0192</x:v>
      </x:c>
      <x:c r="D197" s="97" t="n">
        <x:v>0</x:v>
      </x:c>
      <x:c r="E197" s="85" t="n">
        <x:v>760000</x:v>
      </x:c>
    </x:row>
    <x:row r="198">
      <x:c r="A198" s="91" t="n">
        <x:v>46215</x:v>
      </x:c>
      <x:c r="B198" s="66" t="str">
        <x:v>AC-0043</x:v>
      </x:c>
      <x:c r="C198" s="66" t="str">
        <x:v>거래0193</x:v>
      </x:c>
      <x:c r="D198" s="97" t="n">
        <x:v>320000</x:v>
      </x:c>
      <x:c r="E198" s="85" t="n">
        <x:v>0</x:v>
      </x:c>
    </x:row>
    <x:row r="199">
      <x:c r="A199" s="91" t="n">
        <x:v>46216</x:v>
      </x:c>
      <x:c r="B199" s="66" t="str">
        <x:v>AC-0044</x:v>
      </x:c>
      <x:c r="C199" s="66" t="str">
        <x:v>거래0194</x:v>
      </x:c>
      <x:c r="D199" s="97" t="n">
        <x:v>0</x:v>
      </x:c>
      <x:c r="E199" s="85" t="n">
        <x:v>1290000</x:v>
      </x:c>
    </x:row>
    <x:row r="200">
      <x:c r="A200" s="91" t="n">
        <x:v>46217</x:v>
      </x:c>
      <x:c r="B200" s="66" t="str">
        <x:v>AC-0045</x:v>
      </x:c>
      <x:c r="C200" s="66" t="str">
        <x:v>거래0195</x:v>
      </x:c>
      <x:c r="D200" s="97" t="n">
        <x:v>950000</x:v>
      </x:c>
      <x:c r="E200" s="85" t="n">
        <x:v>0</x:v>
      </x:c>
    </x:row>
    <x:row r="201">
      <x:c r="A201" s="91" t="n">
        <x:v>46218</x:v>
      </x:c>
      <x:c r="B201" s="66" t="str">
        <x:v>AC-0046</x:v>
      </x:c>
      <x:c r="C201" s="66" t="str">
        <x:v>거래0196</x:v>
      </x:c>
      <x:c r="D201" s="97" t="n">
        <x:v>0</x:v>
      </x:c>
      <x:c r="E201" s="85" t="n">
        <x:v>350000</x:v>
      </x:c>
    </x:row>
    <x:row r="202">
      <x:c r="A202" s="91" t="n">
        <x:v>46219</x:v>
      </x:c>
      <x:c r="B202" s="66" t="str">
        <x:v>AC-0047</x:v>
      </x:c>
      <x:c r="C202" s="66" t="str">
        <x:v>거래0197</x:v>
      </x:c>
      <x:c r="D202" s="97" t="n">
        <x:v>610000</x:v>
      </x:c>
      <x:c r="E202" s="85" t="n">
        <x:v>0</x:v>
      </x:c>
    </x:row>
    <x:row r="203">
      <x:c r="A203" s="91" t="n">
        <x:v>46220</x:v>
      </x:c>
      <x:c r="B203" s="66" t="str">
        <x:v>AC-0048</x:v>
      </x:c>
      <x:c r="C203" s="66" t="str">
        <x:v>거래0198</x:v>
      </x:c>
      <x:c r="D203" s="97" t="n">
        <x:v>0</x:v>
      </x:c>
      <x:c r="E203" s="85" t="n">
        <x:v>880000</x:v>
      </x:c>
    </x:row>
    <x:row r="204">
      <x:c r="A204" s="91" t="n">
        <x:v>46221</x:v>
      </x:c>
      <x:c r="B204" s="66" t="str">
        <x:v>AC-0049</x:v>
      </x:c>
      <x:c r="C204" s="66" t="str">
        <x:v>거래0199</x:v>
      </x:c>
      <x:c r="D204" s="97" t="n">
        <x:v>240000</x:v>
      </x:c>
      <x:c r="E204" s="85" t="n">
        <x:v>0</x:v>
      </x:c>
    </x:row>
    <x:row r="205">
      <x:c r="A205" s="91" t="n">
        <x:v>46222</x:v>
      </x:c>
      <x:c r="B205" s="66" t="str">
        <x:v>AC-0050</x:v>
      </x:c>
      <x:c r="C205" s="66" t="str">
        <x:v>거래0200</x:v>
      </x:c>
      <x:c r="D205" s="97" t="n">
        <x:v>0</x:v>
      </x:c>
      <x:c r="E205" s="85" t="n">
        <x:v>490000</x:v>
      </x:c>
    </x:row>
    <x:row r="206">
      <x:c r="A206" s="91" t="n">
        <x:v>46223</x:v>
      </x:c>
      <x:c r="B206" s="66" t="str">
        <x:v>AC-0001</x:v>
      </x:c>
      <x:c r="C206" s="66" t="str">
        <x:v>거래0201</x:v>
      </x:c>
      <x:c r="D206" s="97" t="n">
        <x:v>650000</x:v>
      </x:c>
      <x:c r="E206" s="85" t="n">
        <x:v>0</x:v>
      </x:c>
    </x:row>
    <x:row r="207">
      <x:c r="A207" s="91" t="n">
        <x:v>46224</x:v>
      </x:c>
      <x:c r="B207" s="66" t="str">
        <x:v>AC-0002</x:v>
      </x:c>
      <x:c r="C207" s="66" t="str">
        <x:v>거래0202</x:v>
      </x:c>
      <x:c r="D207" s="97" t="n">
        <x:v>0</x:v>
      </x:c>
      <x:c r="E207" s="85" t="n">
        <x:v>1250000</x:v>
      </x:c>
    </x:row>
    <x:row r="208">
      <x:c r="A208" s="91" t="n">
        <x:v>46225</x:v>
      </x:c>
      <x:c r="B208" s="66" t="str">
        <x:v>AC-0003</x:v>
      </x:c>
      <x:c r="C208" s="66" t="str">
        <x:v>거래0203</x:v>
      </x:c>
      <x:c r="D208" s="97" t="n">
        <x:v>1360000</x:v>
      </x:c>
      <x:c r="E208" s="85" t="n">
        <x:v>0</x:v>
      </x:c>
    </x:row>
    <x:row r="209">
      <x:c r="A209" s="91" t="n">
        <x:v>46226</x:v>
      </x:c>
      <x:c r="B209" s="66" t="str">
        <x:v>AC-0004</x:v>
      </x:c>
      <x:c r="C209" s="66" t="str">
        <x:v>거래0204</x:v>
      </x:c>
      <x:c r="D209" s="97" t="n">
        <x:v>0</x:v>
      </x:c>
      <x:c r="E209" s="85" t="n">
        <x:v>950000</x:v>
      </x:c>
    </x:row>
    <x:row r="210">
      <x:c r="A210" s="91" t="n">
        <x:v>46227</x:v>
      </x:c>
      <x:c r="B210" s="66" t="str">
        <x:v>AC-0005</x:v>
      </x:c>
      <x:c r="C210" s="66" t="str">
        <x:v>거래0205</x:v>
      </x:c>
      <x:c r="D210" s="97" t="n">
        <x:v>1450000</x:v>
      </x:c>
      <x:c r="E210" s="85" t="n">
        <x:v>0</x:v>
      </x:c>
    </x:row>
    <x:row r="211">
      <x:c r="A211" s="91" t="n">
        <x:v>46228</x:v>
      </x:c>
      <x:c r="B211" s="66" t="str">
        <x:v>AC-0006</x:v>
      </x:c>
      <x:c r="C211" s="66" t="str">
        <x:v>거래0206</x:v>
      </x:c>
      <x:c r="D211" s="97" t="n">
        <x:v>0</x:v>
      </x:c>
      <x:c r="E211" s="85" t="n">
        <x:v>1410000</x:v>
      </x:c>
    </x:row>
    <x:row r="212">
      <x:c r="A212" s="91" t="n">
        <x:v>46229</x:v>
      </x:c>
      <x:c r="B212" s="66" t="str">
        <x:v>AC-0007</x:v>
      </x:c>
      <x:c r="C212" s="66" t="str">
        <x:v>거래0207</x:v>
      </x:c>
      <x:c r="D212" s="97" t="n">
        <x:v>600000</x:v>
      </x:c>
      <x:c r="E212" s="85" t="n">
        <x:v>0</x:v>
      </x:c>
    </x:row>
    <x:row r="213">
      <x:c r="A213" s="91" t="n">
        <x:v>46230</x:v>
      </x:c>
      <x:c r="B213" s="66" t="str">
        <x:v>AC-0008</x:v>
      </x:c>
      <x:c r="C213" s="66" t="str">
        <x:v>거래0208</x:v>
      </x:c>
      <x:c r="D213" s="97" t="n">
        <x:v>0</x:v>
      </x:c>
      <x:c r="E213" s="85" t="n">
        <x:v>1490000</x:v>
      </x:c>
    </x:row>
    <x:row r="214">
      <x:c r="A214" s="91" t="n">
        <x:v>46231</x:v>
      </x:c>
      <x:c r="B214" s="66" t="str">
        <x:v>AC-0009</x:v>
      </x:c>
      <x:c r="C214" s="66" t="str">
        <x:v>거래0209</x:v>
      </x:c>
      <x:c r="D214" s="97" t="n">
        <x:v>240000</x:v>
      </x:c>
      <x:c r="E214" s="85" t="n">
        <x:v>0</x:v>
      </x:c>
    </x:row>
    <x:row r="215">
      <x:c r="A215" s="91" t="n">
        <x:v>46232</x:v>
      </x:c>
      <x:c r="B215" s="66" t="str">
        <x:v>AC-0010</x:v>
      </x:c>
      <x:c r="C215" s="66" t="str">
        <x:v>거래0210</x:v>
      </x:c>
      <x:c r="D215" s="97" t="n">
        <x:v>0</x:v>
      </x:c>
      <x:c r="E215" s="85" t="n">
        <x:v>850000</x:v>
      </x:c>
    </x:row>
    <x:row r="216">
      <x:c r="A216" s="91" t="n">
        <x:v>46233</x:v>
      </x:c>
      <x:c r="B216" s="66" t="str">
        <x:v>AC-0011</x:v>
      </x:c>
      <x:c r="C216" s="66" t="str">
        <x:v>거래0211</x:v>
      </x:c>
      <x:c r="D216" s="97" t="n">
        <x:v>940000</x:v>
      </x:c>
      <x:c r="E216" s="85" t="n">
        <x:v>0</x:v>
      </x:c>
    </x:row>
    <x:row r="217">
      <x:c r="A217" s="91" t="n">
        <x:v>46234</x:v>
      </x:c>
      <x:c r="B217" s="66" t="str">
        <x:v>AC-0012</x:v>
      </x:c>
      <x:c r="C217" s="66" t="str">
        <x:v>거래0212</x:v>
      </x:c>
      <x:c r="D217" s="97" t="n">
        <x:v>0</x:v>
      </x:c>
      <x:c r="E217" s="85" t="n">
        <x:v>560000</x:v>
      </x:c>
    </x:row>
    <x:row r="218">
      <x:c r="A218" s="91" t="n">
        <x:v>46235</x:v>
      </x:c>
      <x:c r="B218" s="66" t="str">
        <x:v>AC-0013</x:v>
      </x:c>
      <x:c r="C218" s="66" t="str">
        <x:v>거래0213</x:v>
      </x:c>
      <x:c r="D218" s="97" t="n">
        <x:v>920000</x:v>
      </x:c>
      <x:c r="E218" s="85" t="n">
        <x:v>0</x:v>
      </x:c>
    </x:row>
    <x:row r="219">
      <x:c r="A219" s="91" t="n">
        <x:v>46236</x:v>
      </x:c>
      <x:c r="B219" s="66" t="str">
        <x:v>AC-0014</x:v>
      </x:c>
      <x:c r="C219" s="66" t="str">
        <x:v>거래0214</x:v>
      </x:c>
      <x:c r="D219" s="97" t="n">
        <x:v>0</x:v>
      </x:c>
      <x:c r="E219" s="85" t="n">
        <x:v>1410000</x:v>
      </x:c>
    </x:row>
    <x:row r="220">
      <x:c r="A220" s="91" t="n">
        <x:v>46237</x:v>
      </x:c>
      <x:c r="B220" s="66" t="str">
        <x:v>AC-0015</x:v>
      </x:c>
      <x:c r="C220" s="66" t="str">
        <x:v>거래0215</x:v>
      </x:c>
      <x:c r="D220" s="97" t="n">
        <x:v>310000</x:v>
      </x:c>
      <x:c r="E220" s="85" t="n">
        <x:v>0</x:v>
      </x:c>
    </x:row>
    <x:row r="221">
      <x:c r="A221" s="91" t="n">
        <x:v>46238</x:v>
      </x:c>
      <x:c r="B221" s="66" t="str">
        <x:v>AC-0016</x:v>
      </x:c>
      <x:c r="C221" s="66" t="str">
        <x:v>거래0216</x:v>
      </x:c>
      <x:c r="D221" s="97" t="n">
        <x:v>0</x:v>
      </x:c>
      <x:c r="E221" s="85" t="n">
        <x:v>1170000</x:v>
      </x:c>
    </x:row>
    <x:row r="222">
      <x:c r="A222" s="91" t="n">
        <x:v>46239</x:v>
      </x:c>
      <x:c r="B222" s="66" t="str">
        <x:v>AC-0017</x:v>
      </x:c>
      <x:c r="C222" s="66" t="str">
        <x:v>거래0217</x:v>
      </x:c>
      <x:c r="D222" s="97" t="n">
        <x:v>1440000</x:v>
      </x:c>
      <x:c r="E222" s="85" t="n">
        <x:v>0</x:v>
      </x:c>
    </x:row>
    <x:row r="223">
      <x:c r="A223" s="91" t="n">
        <x:v>46240</x:v>
      </x:c>
      <x:c r="B223" s="66" t="str">
        <x:v>AC-0018</x:v>
      </x:c>
      <x:c r="C223" s="66" t="str">
        <x:v>거래0218</x:v>
      </x:c>
      <x:c r="D223" s="97" t="n">
        <x:v>0</x:v>
      </x:c>
      <x:c r="E223" s="85" t="n">
        <x:v>370000</x:v>
      </x:c>
    </x:row>
    <x:row r="224">
      <x:c r="A224" s="91" t="n">
        <x:v>46241</x:v>
      </x:c>
      <x:c r="B224" s="66" t="str">
        <x:v>AC-0019</x:v>
      </x:c>
      <x:c r="C224" s="66" t="str">
        <x:v>거래0219</x:v>
      </x:c>
      <x:c r="D224" s="97" t="n">
        <x:v>570000</x:v>
      </x:c>
      <x:c r="E224" s="85" t="n">
        <x:v>0</x:v>
      </x:c>
    </x:row>
    <x:row r="225">
      <x:c r="A225" s="91" t="n">
        <x:v>46242</x:v>
      </x:c>
      <x:c r="B225" s="66" t="str">
        <x:v>AC-0020</x:v>
      </x:c>
      <x:c r="C225" s="66" t="str">
        <x:v>거래0220</x:v>
      </x:c>
      <x:c r="D225" s="97" t="n">
        <x:v>0</x:v>
      </x:c>
      <x:c r="E225" s="85" t="n">
        <x:v>740000</x:v>
      </x:c>
    </x:row>
    <x:row r="226">
      <x:c r="A226" s="91" t="n">
        <x:v>46243</x:v>
      </x:c>
      <x:c r="B226" s="66" t="str">
        <x:v>AC-0021</x:v>
      </x:c>
      <x:c r="C226" s="66" t="str">
        <x:v>거래0221</x:v>
      </x:c>
      <x:c r="D226" s="97" t="n">
        <x:v>980000</x:v>
      </x:c>
      <x:c r="E226" s="85" t="n">
        <x:v>0</x:v>
      </x:c>
    </x:row>
    <x:row r="227">
      <x:c r="A227" s="91" t="n">
        <x:v>46244</x:v>
      </x:c>
      <x:c r="B227" s="66" t="str">
        <x:v>AC-0022</x:v>
      </x:c>
      <x:c r="C227" s="66" t="str">
        <x:v>거래0222</x:v>
      </x:c>
      <x:c r="D227" s="97" t="n">
        <x:v>0</x:v>
      </x:c>
      <x:c r="E227" s="85" t="n">
        <x:v>1240000</x:v>
      </x:c>
    </x:row>
    <x:row r="228">
      <x:c r="A228" s="91" t="n">
        <x:v>46245</x:v>
      </x:c>
      <x:c r="B228" s="66" t="str">
        <x:v>AC-0023</x:v>
      </x:c>
      <x:c r="C228" s="66" t="str">
        <x:v>거래0223</x:v>
      </x:c>
      <x:c r="D228" s="97" t="n">
        <x:v>600000</x:v>
      </x:c>
      <x:c r="E228" s="85" t="n">
        <x:v>0</x:v>
      </x:c>
    </x:row>
    <x:row r="229">
      <x:c r="A229" s="91" t="n">
        <x:v>46246</x:v>
      </x:c>
      <x:c r="B229" s="66" t="str">
        <x:v>AC-0024</x:v>
      </x:c>
      <x:c r="C229" s="66" t="str">
        <x:v>거래0224</x:v>
      </x:c>
      <x:c r="D229" s="97" t="n">
        <x:v>0</x:v>
      </x:c>
      <x:c r="E229" s="85" t="n">
        <x:v>1480000</x:v>
      </x:c>
    </x:row>
    <x:row r="230">
      <x:c r="A230" s="91" t="n">
        <x:v>46247</x:v>
      </x:c>
      <x:c r="B230" s="66" t="str">
        <x:v>AC-0025</x:v>
      </x:c>
      <x:c r="C230" s="66" t="str">
        <x:v>거래0225</x:v>
      </x:c>
      <x:c r="D230" s="97" t="n">
        <x:v>520000</x:v>
      </x:c>
      <x:c r="E230" s="85" t="n">
        <x:v>0</x:v>
      </x:c>
    </x:row>
    <x:row r="231">
      <x:c r="A231" s="91" t="n">
        <x:v>46248</x:v>
      </x:c>
      <x:c r="B231" s="66" t="str">
        <x:v>AC-0026</x:v>
      </x:c>
      <x:c r="C231" s="66" t="str">
        <x:v>거래0226</x:v>
      </x:c>
      <x:c r="D231" s="97" t="n">
        <x:v>0</x:v>
      </x:c>
      <x:c r="E231" s="85" t="n">
        <x:v>1090000</x:v>
      </x:c>
    </x:row>
    <x:row r="232">
      <x:c r="A232" s="91" t="n">
        <x:v>46249</x:v>
      </x:c>
      <x:c r="B232" s="66" t="str">
        <x:v>AC-0027</x:v>
      </x:c>
      <x:c r="C232" s="66" t="str">
        <x:v>거래0227</x:v>
      </x:c>
      <x:c r="D232" s="97" t="n">
        <x:v>360000</x:v>
      </x:c>
      <x:c r="E232" s="85" t="n">
        <x:v>0</x:v>
      </x:c>
    </x:row>
    <x:row r="233">
      <x:c r="A233" s="91" t="n">
        <x:v>46250</x:v>
      </x:c>
      <x:c r="B233" s="66" t="str">
        <x:v>AC-0028</x:v>
      </x:c>
      <x:c r="C233" s="66" t="str">
        <x:v>거래0228</x:v>
      </x:c>
      <x:c r="D233" s="97" t="n">
        <x:v>0</x:v>
      </x:c>
      <x:c r="E233" s="85" t="n">
        <x:v>1500000</x:v>
      </x:c>
    </x:row>
    <x:row r="234">
      <x:c r="A234" s="91" t="n">
        <x:v>46251</x:v>
      </x:c>
      <x:c r="B234" s="66" t="str">
        <x:v>AC-0029</x:v>
      </x:c>
      <x:c r="C234" s="66" t="str">
        <x:v>거래0229</x:v>
      </x:c>
      <x:c r="D234" s="97" t="n">
        <x:v>1400000</x:v>
      </x:c>
      <x:c r="E234" s="85" t="n">
        <x:v>0</x:v>
      </x:c>
    </x:row>
    <x:row r="235">
      <x:c r="A235" s="91" t="n">
        <x:v>46252</x:v>
      </x:c>
      <x:c r="B235" s="66" t="str">
        <x:v>AC-0030</x:v>
      </x:c>
      <x:c r="C235" s="66" t="str">
        <x:v>거래0230</x:v>
      </x:c>
      <x:c r="D235" s="97" t="n">
        <x:v>0</x:v>
      </x:c>
      <x:c r="E235" s="85" t="n">
        <x:v>1110000</x:v>
      </x:c>
    </x:row>
    <x:row r="236">
      <x:c r="A236" s="91" t="n">
        <x:v>46253</x:v>
      </x:c>
      <x:c r="B236" s="66" t="str">
        <x:v>AC-0031</x:v>
      </x:c>
      <x:c r="C236" s="66" t="str">
        <x:v>거래0231</x:v>
      </x:c>
      <x:c r="D236" s="97" t="n">
        <x:v>430000</x:v>
      </x:c>
      <x:c r="E236" s="85" t="n">
        <x:v>0</x:v>
      </x:c>
    </x:row>
    <x:row r="237">
      <x:c r="A237" s="91" t="n">
        <x:v>46254</x:v>
      </x:c>
      <x:c r="B237" s="66" t="str">
        <x:v>AC-0032</x:v>
      </x:c>
      <x:c r="C237" s="66" t="str">
        <x:v>거래0232</x:v>
      </x:c>
      <x:c r="D237" s="97" t="n">
        <x:v>0</x:v>
      </x:c>
      <x:c r="E237" s="85" t="n">
        <x:v>1090000</x:v>
      </x:c>
    </x:row>
    <x:row r="238">
      <x:c r="A238" s="91" t="n">
        <x:v>46255</x:v>
      </x:c>
      <x:c r="B238" s="66" t="str">
        <x:v>AC-0033</x:v>
      </x:c>
      <x:c r="C238" s="66" t="str">
        <x:v>거래0233</x:v>
      </x:c>
      <x:c r="D238" s="97" t="n">
        <x:v>1250000</x:v>
      </x:c>
      <x:c r="E238" s="85" t="n">
        <x:v>0</x:v>
      </x:c>
    </x:row>
    <x:row r="239">
      <x:c r="A239" s="91" t="n">
        <x:v>46256</x:v>
      </x:c>
      <x:c r="B239" s="66" t="str">
        <x:v>AC-0034</x:v>
      </x:c>
      <x:c r="C239" s="66" t="str">
        <x:v>거래0234</x:v>
      </x:c>
      <x:c r="D239" s="97" t="n">
        <x:v>0</x:v>
      </x:c>
      <x:c r="E239" s="85" t="n">
        <x:v>1050000</x:v>
      </x:c>
    </x:row>
    <x:row r="240">
      <x:c r="A240" s="91" t="n">
        <x:v>46257</x:v>
      </x:c>
      <x:c r="B240" s="66" t="str">
        <x:v>AC-0035</x:v>
      </x:c>
      <x:c r="C240" s="66" t="str">
        <x:v>거래0235</x:v>
      </x:c>
      <x:c r="D240" s="97" t="n">
        <x:v>1000000</x:v>
      </x:c>
      <x:c r="E240" s="85" t="n">
        <x:v>0</x:v>
      </x:c>
    </x:row>
    <x:row r="241">
      <x:c r="A241" s="91" t="n">
        <x:v>46258</x:v>
      </x:c>
      <x:c r="B241" s="66" t="str">
        <x:v>AC-0036</x:v>
      </x:c>
      <x:c r="C241" s="66" t="str">
        <x:v>거래0236</x:v>
      </x:c>
      <x:c r="D241" s="97" t="n">
        <x:v>0</x:v>
      </x:c>
      <x:c r="E241" s="85" t="n">
        <x:v>1450000</x:v>
      </x:c>
    </x:row>
    <x:row r="242">
      <x:c r="A242" s="91" t="n">
        <x:v>46259</x:v>
      </x:c>
      <x:c r="B242" s="66" t="str">
        <x:v>AC-0037</x:v>
      </x:c>
      <x:c r="C242" s="66" t="str">
        <x:v>거래0237</x:v>
      </x:c>
      <x:c r="D242" s="97" t="n">
        <x:v>330000</x:v>
      </x:c>
      <x:c r="E242" s="85" t="n">
        <x:v>0</x:v>
      </x:c>
    </x:row>
    <x:row r="243">
      <x:c r="A243" s="91" t="n">
        <x:v>46260</x:v>
      </x:c>
      <x:c r="B243" s="66" t="str">
        <x:v>AC-0038</x:v>
      </x:c>
      <x:c r="C243" s="66" t="str">
        <x:v>거래0238</x:v>
      </x:c>
      <x:c r="D243" s="97" t="n">
        <x:v>0</x:v>
      </x:c>
      <x:c r="E243" s="85" t="n">
        <x:v>910000</x:v>
      </x:c>
    </x:row>
    <x:row r="244">
      <x:c r="A244" s="91" t="n">
        <x:v>46261</x:v>
      </x:c>
      <x:c r="B244" s="66" t="str">
        <x:v>AC-0039</x:v>
      </x:c>
      <x:c r="C244" s="66" t="str">
        <x:v>거래0239</x:v>
      </x:c>
      <x:c r="D244" s="97" t="n">
        <x:v>290000</x:v>
      </x:c>
      <x:c r="E244" s="85" t="n">
        <x:v>0</x:v>
      </x:c>
    </x:row>
    <x:row r="245">
      <x:c r="A245" s="91" t="n">
        <x:v>46262</x:v>
      </x:c>
      <x:c r="B245" s="66" t="str">
        <x:v>AC-0040</x:v>
      </x:c>
      <x:c r="C245" s="66" t="str">
        <x:v>거래0240</x:v>
      </x:c>
      <x:c r="D245" s="97" t="n">
        <x:v>0</x:v>
      </x:c>
      <x:c r="E245" s="85" t="n">
        <x:v>420000</x:v>
      </x:c>
    </x:row>
    <x:row r="246">
      <x:c r="A246" s="91" t="n">
        <x:v>46023</x:v>
      </x:c>
      <x:c r="B246" s="66" t="str">
        <x:v>AC-0041</x:v>
      </x:c>
      <x:c r="C246" s="66" t="str">
        <x:v>거래0241</x:v>
      </x:c>
      <x:c r="D246" s="97" t="n">
        <x:v>240000</x:v>
      </x:c>
      <x:c r="E246" s="85" t="n">
        <x:v>0</x:v>
      </x:c>
    </x:row>
    <x:row r="247">
      <x:c r="A247" s="91" t="n">
        <x:v>46024</x:v>
      </x:c>
      <x:c r="B247" s="66" t="str">
        <x:v>AC-0042</x:v>
      </x:c>
      <x:c r="C247" s="66" t="str">
        <x:v>거래0242</x:v>
      </x:c>
      <x:c r="D247" s="97" t="n">
        <x:v>0</x:v>
      </x:c>
      <x:c r="E247" s="85" t="n">
        <x:v>480000</x:v>
      </x:c>
    </x:row>
    <x:row r="248">
      <x:c r="A248" s="91" t="n">
        <x:v>46025</x:v>
      </x:c>
      <x:c r="B248" s="66" t="str">
        <x:v>AC-0043</x:v>
      </x:c>
      <x:c r="C248" s="66" t="str">
        <x:v>거래0243</x:v>
      </x:c>
      <x:c r="D248" s="97" t="n">
        <x:v>750000</x:v>
      </x:c>
      <x:c r="E248" s="85" t="n">
        <x:v>0</x:v>
      </x:c>
    </x:row>
    <x:row r="249">
      <x:c r="A249" s="91" t="n">
        <x:v>46026</x:v>
      </x:c>
      <x:c r="B249" s="66" t="str">
        <x:v>AC-0044</x:v>
      </x:c>
      <x:c r="C249" s="66" t="str">
        <x:v>거래0244</x:v>
      </x:c>
      <x:c r="D249" s="97" t="n">
        <x:v>0</x:v>
      </x:c>
      <x:c r="E249" s="85" t="n">
        <x:v>220000</x:v>
      </x:c>
    </x:row>
    <x:row r="250">
      <x:c r="A250" s="91" t="n">
        <x:v>46027</x:v>
      </x:c>
      <x:c r="B250" s="66" t="str">
        <x:v>AC-0045</x:v>
      </x:c>
      <x:c r="C250" s="66" t="str">
        <x:v>거래0245</x:v>
      </x:c>
      <x:c r="D250" s="97" t="n">
        <x:v>1000000</x:v>
      </x:c>
      <x:c r="E250" s="85" t="n">
        <x:v>0</x:v>
      </x:c>
    </x:row>
    <x:row r="251">
      <x:c r="A251" s="91" t="n">
        <x:v>46028</x:v>
      </x:c>
      <x:c r="B251" s="66" t="str">
        <x:v>AC-0046</x:v>
      </x:c>
      <x:c r="C251" s="66" t="str">
        <x:v>거래0246</x:v>
      </x:c>
      <x:c r="D251" s="97" t="n">
        <x:v>0</x:v>
      </x:c>
      <x:c r="E251" s="85" t="n">
        <x:v>230000</x:v>
      </x:c>
    </x:row>
    <x:row r="252">
      <x:c r="A252" s="91" t="n">
        <x:v>46029</x:v>
      </x:c>
      <x:c r="B252" s="66" t="str">
        <x:v>AC-0047</x:v>
      </x:c>
      <x:c r="C252" s="66" t="str">
        <x:v>거래0247</x:v>
      </x:c>
      <x:c r="D252" s="97" t="n">
        <x:v>1240000</x:v>
      </x:c>
      <x:c r="E252" s="85" t="n">
        <x:v>0</x:v>
      </x:c>
    </x:row>
    <x:row r="253">
      <x:c r="A253" s="91" t="n">
        <x:v>46030</x:v>
      </x:c>
      <x:c r="B253" s="66" t="str">
        <x:v>AC-0048</x:v>
      </x:c>
      <x:c r="C253" s="66" t="str">
        <x:v>거래0248</x:v>
      </x:c>
      <x:c r="D253" s="97" t="n">
        <x:v>0</x:v>
      </x:c>
      <x:c r="E253" s="85" t="n">
        <x:v>1070000</x:v>
      </x:c>
    </x:row>
    <x:row r="254">
      <x:c r="A254" s="91" t="n">
        <x:v>46031</x:v>
      </x:c>
      <x:c r="B254" s="66" t="str">
        <x:v>AC-0049</x:v>
      </x:c>
      <x:c r="C254" s="66" t="str">
        <x:v>거래0249</x:v>
      </x:c>
      <x:c r="D254" s="97" t="n">
        <x:v>1440000</x:v>
      </x:c>
      <x:c r="E254" s="85" t="n">
        <x:v>0</x:v>
      </x:c>
    </x:row>
    <x:row r="255">
      <x:c r="A255" s="91" t="n">
        <x:v>46032</x:v>
      </x:c>
      <x:c r="B255" s="66" t="str">
        <x:v>AC-0050</x:v>
      </x:c>
      <x:c r="C255" s="66" t="str">
        <x:v>거래0250</x:v>
      </x:c>
      <x:c r="D255" s="97" t="n">
        <x:v>0</x:v>
      </x:c>
      <x:c r="E255" s="85" t="n">
        <x:v>1190000</x:v>
      </x:c>
    </x:row>
    <x:row r="256">
      <x:c r="A256" s="91" t="n">
        <x:v>46033</x:v>
      </x:c>
      <x:c r="B256" s="66" t="str">
        <x:v>AC-0001</x:v>
      </x:c>
      <x:c r="C256" s="66" t="str">
        <x:v>거래0251</x:v>
      </x:c>
      <x:c r="D256" s="97" t="n">
        <x:v>110000</x:v>
      </x:c>
      <x:c r="E256" s="85" t="n">
        <x:v>0</x:v>
      </x:c>
    </x:row>
    <x:row r="257">
      <x:c r="A257" s="91" t="n">
        <x:v>46034</x:v>
      </x:c>
      <x:c r="B257" s="66" t="str">
        <x:v>AC-0002</x:v>
      </x:c>
      <x:c r="C257" s="66" t="str">
        <x:v>거래0252</x:v>
      </x:c>
      <x:c r="D257" s="97" t="n">
        <x:v>0</x:v>
      </x:c>
      <x:c r="E257" s="85" t="n">
        <x:v>300000</x:v>
      </x:c>
    </x:row>
    <x:row r="258">
      <x:c r="A258" s="91" t="n">
        <x:v>46035</x:v>
      </x:c>
      <x:c r="B258" s="66" t="str">
        <x:v>AC-0003</x:v>
      </x:c>
      <x:c r="C258" s="66" t="str">
        <x:v>거래0253</x:v>
      </x:c>
      <x:c r="D258" s="97" t="n">
        <x:v>1460000</x:v>
      </x:c>
      <x:c r="E258" s="85" t="n">
        <x:v>0</x:v>
      </x:c>
    </x:row>
    <x:row r="259">
      <x:c r="A259" s="91" t="n">
        <x:v>46036</x:v>
      </x:c>
      <x:c r="B259" s="66" t="str">
        <x:v>AC-0004</x:v>
      </x:c>
      <x:c r="C259" s="66" t="str">
        <x:v>거래0254</x:v>
      </x:c>
      <x:c r="D259" s="97" t="n">
        <x:v>0</x:v>
      </x:c>
      <x:c r="E259" s="85" t="n">
        <x:v>710000</x:v>
      </x:c>
    </x:row>
    <x:row r="260">
      <x:c r="A260" s="91" t="n">
        <x:v>46037</x:v>
      </x:c>
      <x:c r="B260" s="66" t="str">
        <x:v>AC-0005</x:v>
      </x:c>
      <x:c r="C260" s="66" t="str">
        <x:v>거래0255</x:v>
      </x:c>
      <x:c r="D260" s="97" t="n">
        <x:v>520000</x:v>
      </x:c>
      <x:c r="E260" s="85" t="n">
        <x:v>0</x:v>
      </x:c>
    </x:row>
    <x:row r="261">
      <x:c r="A261" s="91" t="n">
        <x:v>46038</x:v>
      </x:c>
      <x:c r="B261" s="66" t="str">
        <x:v>AC-0006</x:v>
      </x:c>
      <x:c r="C261" s="66" t="str">
        <x:v>거래0256</x:v>
      </x:c>
      <x:c r="D261" s="97" t="n">
        <x:v>0</x:v>
      </x:c>
      <x:c r="E261" s="85" t="n">
        <x:v>1180000</x:v>
      </x:c>
    </x:row>
    <x:row r="262">
      <x:c r="A262" s="91" t="n">
        <x:v>46039</x:v>
      </x:c>
      <x:c r="B262" s="66" t="str">
        <x:v>AC-0007</x:v>
      </x:c>
      <x:c r="C262" s="66" t="str">
        <x:v>거래0257</x:v>
      </x:c>
      <x:c r="D262" s="97" t="n">
        <x:v>330000</x:v>
      </x:c>
      <x:c r="E262" s="85" t="n">
        <x:v>0</x:v>
      </x:c>
    </x:row>
    <x:row r="263">
      <x:c r="A263" s="91" t="n">
        <x:v>46040</x:v>
      </x:c>
      <x:c r="B263" s="66" t="str">
        <x:v>AC-0008</x:v>
      </x:c>
      <x:c r="C263" s="66" t="str">
        <x:v>거래0258</x:v>
      </x:c>
      <x:c r="D263" s="97" t="n">
        <x:v>0</x:v>
      </x:c>
      <x:c r="E263" s="85" t="n">
        <x:v>1140000</x:v>
      </x:c>
    </x:row>
    <x:row r="264">
      <x:c r="A264" s="91" t="n">
        <x:v>46041</x:v>
      </x:c>
      <x:c r="B264" s="66" t="str">
        <x:v>AC-0009</x:v>
      </x:c>
      <x:c r="C264" s="66" t="str">
        <x:v>거래0259</x:v>
      </x:c>
      <x:c r="D264" s="97" t="n">
        <x:v>810000</x:v>
      </x:c>
      <x:c r="E264" s="85" t="n">
        <x:v>0</x:v>
      </x:c>
    </x:row>
    <x:row r="265">
      <x:c r="A265" s="91" t="n">
        <x:v>46042</x:v>
      </x:c>
      <x:c r="B265" s="66" t="str">
        <x:v>AC-0010</x:v>
      </x:c>
      <x:c r="C265" s="66" t="str">
        <x:v>거래0260</x:v>
      </x:c>
      <x:c r="D265" s="97" t="n">
        <x:v>0</x:v>
      </x:c>
      <x:c r="E265" s="85" t="n">
        <x:v>260000</x:v>
      </x:c>
    </x:row>
    <x:row r="266">
      <x:c r="A266" s="91" t="n">
        <x:v>46043</x:v>
      </x:c>
      <x:c r="B266" s="66" t="str">
        <x:v>AC-0011</x:v>
      </x:c>
      <x:c r="C266" s="66" t="str">
        <x:v>거래0261</x:v>
      </x:c>
      <x:c r="D266" s="97" t="n">
        <x:v>1400000</x:v>
      </x:c>
      <x:c r="E266" s="85" t="n">
        <x:v>0</x:v>
      </x:c>
    </x:row>
    <x:row r="267">
      <x:c r="A267" s="91" t="n">
        <x:v>46044</x:v>
      </x:c>
      <x:c r="B267" s="66" t="str">
        <x:v>AC-0012</x:v>
      </x:c>
      <x:c r="C267" s="66" t="str">
        <x:v>거래0262</x:v>
      </x:c>
      <x:c r="D267" s="97" t="n">
        <x:v>0</x:v>
      </x:c>
      <x:c r="E267" s="85" t="n">
        <x:v>1400000</x:v>
      </x:c>
    </x:row>
    <x:row r="268">
      <x:c r="A268" s="91" t="n">
        <x:v>46045</x:v>
      </x:c>
      <x:c r="B268" s="66" t="str">
        <x:v>AC-0013</x:v>
      </x:c>
      <x:c r="C268" s="66" t="str">
        <x:v>거래0263</x:v>
      </x:c>
      <x:c r="D268" s="97" t="n">
        <x:v>490000</x:v>
      </x:c>
      <x:c r="E268" s="85" t="n">
        <x:v>0</x:v>
      </x:c>
    </x:row>
    <x:row r="269">
      <x:c r="A269" s="91" t="n">
        <x:v>46046</x:v>
      </x:c>
      <x:c r="B269" s="66" t="str">
        <x:v>AC-0014</x:v>
      </x:c>
      <x:c r="C269" s="66" t="str">
        <x:v>거래0264</x:v>
      </x:c>
      <x:c r="D269" s="97" t="n">
        <x:v>0</x:v>
      </x:c>
      <x:c r="E269" s="85" t="n">
        <x:v>1280000</x:v>
      </x:c>
    </x:row>
    <x:row r="270">
      <x:c r="A270" s="91" t="n">
        <x:v>46047</x:v>
      </x:c>
      <x:c r="B270" s="66" t="str">
        <x:v>AC-0015</x:v>
      </x:c>
      <x:c r="C270" s="66" t="str">
        <x:v>거래0265</x:v>
      </x:c>
      <x:c r="D270" s="97" t="n">
        <x:v>1470000</x:v>
      </x:c>
      <x:c r="E270" s="85" t="n">
        <x:v>0</x:v>
      </x:c>
    </x:row>
    <x:row r="271">
      <x:c r="A271" s="91" t="n">
        <x:v>46048</x:v>
      </x:c>
      <x:c r="B271" s="66" t="str">
        <x:v>AC-0016</x:v>
      </x:c>
      <x:c r="C271" s="66" t="str">
        <x:v>거래0266</x:v>
      </x:c>
      <x:c r="D271" s="97" t="n">
        <x:v>0</x:v>
      </x:c>
      <x:c r="E271" s="85" t="n">
        <x:v>630000</x:v>
      </x:c>
    </x:row>
    <x:row r="272">
      <x:c r="A272" s="91" t="n">
        <x:v>46049</x:v>
      </x:c>
      <x:c r="B272" s="66" t="str">
        <x:v>AC-0017</x:v>
      </x:c>
      <x:c r="C272" s="66" t="str">
        <x:v>거래0267</x:v>
      </x:c>
      <x:c r="D272" s="97" t="n">
        <x:v>1400000</x:v>
      </x:c>
      <x:c r="E272" s="85" t="n">
        <x:v>0</x:v>
      </x:c>
    </x:row>
    <x:row r="273">
      <x:c r="A273" s="91" t="n">
        <x:v>46050</x:v>
      </x:c>
      <x:c r="B273" s="66" t="str">
        <x:v>AC-0018</x:v>
      </x:c>
      <x:c r="C273" s="66" t="str">
        <x:v>거래0268</x:v>
      </x:c>
      <x:c r="D273" s="97" t="n">
        <x:v>0</x:v>
      </x:c>
      <x:c r="E273" s="85" t="n">
        <x:v>1430000</x:v>
      </x:c>
    </x:row>
    <x:row r="274">
      <x:c r="A274" s="91" t="n">
        <x:v>46051</x:v>
      </x:c>
      <x:c r="B274" s="66" t="str">
        <x:v>AC-0019</x:v>
      </x:c>
      <x:c r="C274" s="66" t="str">
        <x:v>거래0269</x:v>
      </x:c>
      <x:c r="D274" s="97" t="n">
        <x:v>530000</x:v>
      </x:c>
      <x:c r="E274" s="85" t="n">
        <x:v>0</x:v>
      </x:c>
    </x:row>
    <x:row r="275">
      <x:c r="A275" s="91" t="n">
        <x:v>46052</x:v>
      </x:c>
      <x:c r="B275" s="66" t="str">
        <x:v>AC-0020</x:v>
      </x:c>
      <x:c r="C275" s="66" t="str">
        <x:v>거래0270</x:v>
      </x:c>
      <x:c r="D275" s="97" t="n">
        <x:v>0</x:v>
      </x:c>
      <x:c r="E275" s="85" t="n">
        <x:v>510000</x:v>
      </x:c>
    </x:row>
    <x:row r="276">
      <x:c r="A276" s="91" t="n">
        <x:v>46053</x:v>
      </x:c>
      <x:c r="B276" s="66" t="str">
        <x:v>AC-0021</x:v>
      </x:c>
      <x:c r="C276" s="66" t="str">
        <x:v>거래0271</x:v>
      </x:c>
      <x:c r="D276" s="97" t="n">
        <x:v>880000</x:v>
      </x:c>
      <x:c r="E276" s="85" t="n">
        <x:v>0</x:v>
      </x:c>
    </x:row>
    <x:row r="277">
      <x:c r="A277" s="91" t="n">
        <x:v>46054</x:v>
      </x:c>
      <x:c r="B277" s="66" t="str">
        <x:v>AC-0022</x:v>
      </x:c>
      <x:c r="C277" s="66" t="str">
        <x:v>거래0272</x:v>
      </x:c>
      <x:c r="D277" s="97" t="n">
        <x:v>0</x:v>
      </x:c>
      <x:c r="E277" s="85" t="n">
        <x:v>200000</x:v>
      </x:c>
    </x:row>
    <x:row r="278">
      <x:c r="A278" s="91" t="n">
        <x:v>46055</x:v>
      </x:c>
      <x:c r="B278" s="66" t="str">
        <x:v>AC-0023</x:v>
      </x:c>
      <x:c r="C278" s="66" t="str">
        <x:v>거래0273</x:v>
      </x:c>
      <x:c r="D278" s="97" t="n">
        <x:v>110000</x:v>
      </x:c>
      <x:c r="E278" s="85" t="n">
        <x:v>0</x:v>
      </x:c>
    </x:row>
    <x:row r="279">
      <x:c r="A279" s="91" t="n">
        <x:v>46056</x:v>
      </x:c>
      <x:c r="B279" s="66" t="str">
        <x:v>AC-0024</x:v>
      </x:c>
      <x:c r="C279" s="66" t="str">
        <x:v>거래0274</x:v>
      </x:c>
      <x:c r="D279" s="97" t="n">
        <x:v>0</x:v>
      </x:c>
      <x:c r="E279" s="85" t="n">
        <x:v>490000</x:v>
      </x:c>
    </x:row>
    <x:row r="280">
      <x:c r="A280" s="91" t="n">
        <x:v>46057</x:v>
      </x:c>
      <x:c r="B280" s="66" t="str">
        <x:v>AC-0025</x:v>
      </x:c>
      <x:c r="C280" s="66" t="str">
        <x:v>거래0275</x:v>
      </x:c>
      <x:c r="D280" s="97" t="n">
        <x:v>1180000</x:v>
      </x:c>
      <x:c r="E280" s="85" t="n">
        <x:v>0</x:v>
      </x:c>
    </x:row>
    <x:row r="281">
      <x:c r="A281" s="91" t="n">
        <x:v>46058</x:v>
      </x:c>
      <x:c r="B281" s="66" t="str">
        <x:v>AC-0026</x:v>
      </x:c>
      <x:c r="C281" s="66" t="str">
        <x:v>거래0276</x:v>
      </x:c>
      <x:c r="D281" s="97" t="n">
        <x:v>0</x:v>
      </x:c>
      <x:c r="E281" s="85" t="n">
        <x:v>210000</x:v>
      </x:c>
    </x:row>
    <x:row r="282">
      <x:c r="A282" s="91" t="n">
        <x:v>46059</x:v>
      </x:c>
      <x:c r="B282" s="66" t="str">
        <x:v>AC-0027</x:v>
      </x:c>
      <x:c r="C282" s="66" t="str">
        <x:v>거래0277</x:v>
      </x:c>
      <x:c r="D282" s="97" t="n">
        <x:v>370000</x:v>
      </x:c>
      <x:c r="E282" s="85" t="n">
        <x:v>0</x:v>
      </x:c>
    </x:row>
    <x:row r="283">
      <x:c r="A283" s="91" t="n">
        <x:v>46060</x:v>
      </x:c>
      <x:c r="B283" s="66" t="str">
        <x:v>AC-0028</x:v>
      </x:c>
      <x:c r="C283" s="66" t="str">
        <x:v>거래0278</x:v>
      </x:c>
      <x:c r="D283" s="97" t="n">
        <x:v>0</x:v>
      </x:c>
      <x:c r="E283" s="85" t="n">
        <x:v>940000</x:v>
      </x:c>
    </x:row>
    <x:row r="284">
      <x:c r="A284" s="91" t="n">
        <x:v>46061</x:v>
      </x:c>
      <x:c r="B284" s="66" t="str">
        <x:v>AC-0029</x:v>
      </x:c>
      <x:c r="C284" s="66" t="str">
        <x:v>거래0279</x:v>
      </x:c>
      <x:c r="D284" s="97" t="n">
        <x:v>1170000</x:v>
      </x:c>
      <x:c r="E284" s="85" t="n">
        <x:v>0</x:v>
      </x:c>
    </x:row>
    <x:row r="285">
      <x:c r="A285" s="91" t="n">
        <x:v>46062</x:v>
      </x:c>
      <x:c r="B285" s="66" t="str">
        <x:v>AC-0030</x:v>
      </x:c>
      <x:c r="C285" s="66" t="str">
        <x:v>거래0280</x:v>
      </x:c>
      <x:c r="D285" s="97" t="n">
        <x:v>0</x:v>
      </x:c>
      <x:c r="E285" s="85" t="n">
        <x:v>990000</x:v>
      </x:c>
    </x:row>
    <x:row r="286">
      <x:c r="A286" s="91" t="n">
        <x:v>46063</x:v>
      </x:c>
      <x:c r="B286" s="66" t="str">
        <x:v>AC-0031</x:v>
      </x:c>
      <x:c r="C286" s="66" t="str">
        <x:v>거래0281</x:v>
      </x:c>
      <x:c r="D286" s="97" t="n">
        <x:v>750000</x:v>
      </x:c>
      <x:c r="E286" s="85" t="n">
        <x:v>0</x:v>
      </x:c>
    </x:row>
    <x:row r="287">
      <x:c r="A287" s="91" t="n">
        <x:v>46064</x:v>
      </x:c>
      <x:c r="B287" s="66" t="str">
        <x:v>AC-0032</x:v>
      </x:c>
      <x:c r="C287" s="66" t="str">
        <x:v>거래0282</x:v>
      </x:c>
      <x:c r="D287" s="97" t="n">
        <x:v>0</x:v>
      </x:c>
      <x:c r="E287" s="85" t="n">
        <x:v>1360000</x:v>
      </x:c>
    </x:row>
    <x:row r="288">
      <x:c r="A288" s="91" t="n">
        <x:v>46065</x:v>
      </x:c>
      <x:c r="B288" s="66" t="str">
        <x:v>AC-0033</x:v>
      </x:c>
      <x:c r="C288" s="66" t="str">
        <x:v>거래0283</x:v>
      </x:c>
      <x:c r="D288" s="97" t="n">
        <x:v>510000</x:v>
      </x:c>
      <x:c r="E288" s="85" t="n">
        <x:v>0</x:v>
      </x:c>
    </x:row>
    <x:row r="289">
      <x:c r="A289" s="91" t="n">
        <x:v>46066</x:v>
      </x:c>
      <x:c r="B289" s="66" t="str">
        <x:v>AC-0034</x:v>
      </x:c>
      <x:c r="C289" s="66" t="str">
        <x:v>거래0284</x:v>
      </x:c>
      <x:c r="D289" s="97" t="n">
        <x:v>0</x:v>
      </x:c>
      <x:c r="E289" s="85" t="n">
        <x:v>650000</x:v>
      </x:c>
    </x:row>
    <x:row r="290">
      <x:c r="A290" s="91" t="n">
        <x:v>46067</x:v>
      </x:c>
      <x:c r="B290" s="66" t="str">
        <x:v>AC-0035</x:v>
      </x:c>
      <x:c r="C290" s="66" t="str">
        <x:v>거래0285</x:v>
      </x:c>
      <x:c r="D290" s="97" t="n">
        <x:v>730000</x:v>
      </x:c>
      <x:c r="E290" s="85" t="n">
        <x:v>0</x:v>
      </x:c>
    </x:row>
    <x:row r="291">
      <x:c r="A291" s="91" t="n">
        <x:v>46068</x:v>
      </x:c>
      <x:c r="B291" s="66" t="str">
        <x:v>AC-0036</x:v>
      </x:c>
      <x:c r="C291" s="66" t="str">
        <x:v>거래0286</x:v>
      </x:c>
      <x:c r="D291" s="97" t="n">
        <x:v>0</x:v>
      </x:c>
      <x:c r="E291" s="85" t="n">
        <x:v>690000</x:v>
      </x:c>
    </x:row>
    <x:row r="292">
      <x:c r="A292" s="91" t="n">
        <x:v>46069</x:v>
      </x:c>
      <x:c r="B292" s="66" t="str">
        <x:v>AC-0037</x:v>
      </x:c>
      <x:c r="C292" s="66" t="str">
        <x:v>거래0287</x:v>
      </x:c>
      <x:c r="D292" s="97" t="n">
        <x:v>620000</x:v>
      </x:c>
      <x:c r="E292" s="85" t="n">
        <x:v>0</x:v>
      </x:c>
    </x:row>
    <x:row r="293">
      <x:c r="A293" s="91" t="n">
        <x:v>46070</x:v>
      </x:c>
      <x:c r="B293" s="66" t="str">
        <x:v>AC-0038</x:v>
      </x:c>
      <x:c r="C293" s="66" t="str">
        <x:v>거래0288</x:v>
      </x:c>
      <x:c r="D293" s="97" t="n">
        <x:v>0</x:v>
      </x:c>
      <x:c r="E293" s="85" t="n">
        <x:v>960000</x:v>
      </x:c>
    </x:row>
    <x:row r="294">
      <x:c r="A294" s="91" t="n">
        <x:v>46071</x:v>
      </x:c>
      <x:c r="B294" s="66" t="str">
        <x:v>AC-0039</x:v>
      </x:c>
      <x:c r="C294" s="66" t="str">
        <x:v>거래0289</x:v>
      </x:c>
      <x:c r="D294" s="97" t="n">
        <x:v>990000</x:v>
      </x:c>
      <x:c r="E294" s="85" t="n">
        <x:v>0</x:v>
      </x:c>
    </x:row>
    <x:row r="295">
      <x:c r="A295" s="91" t="n">
        <x:v>46072</x:v>
      </x:c>
      <x:c r="B295" s="66" t="str">
        <x:v>AC-0040</x:v>
      </x:c>
      <x:c r="C295" s="66" t="str">
        <x:v>거래0290</x:v>
      </x:c>
      <x:c r="D295" s="97" t="n">
        <x:v>0</x:v>
      </x:c>
      <x:c r="E295" s="85" t="n">
        <x:v>1170000</x:v>
      </x:c>
    </x:row>
    <x:row r="296">
      <x:c r="A296" s="91" t="n">
        <x:v>46073</x:v>
      </x:c>
      <x:c r="B296" s="66" t="str">
        <x:v>AC-0041</x:v>
      </x:c>
      <x:c r="C296" s="66" t="str">
        <x:v>거래0291</x:v>
      </x:c>
      <x:c r="D296" s="97" t="n">
        <x:v>480000</x:v>
      </x:c>
      <x:c r="E296" s="85" t="n">
        <x:v>0</x:v>
      </x:c>
    </x:row>
    <x:row r="297">
      <x:c r="A297" s="91" t="n">
        <x:v>46074</x:v>
      </x:c>
      <x:c r="B297" s="66" t="str">
        <x:v>AC-0042</x:v>
      </x:c>
      <x:c r="C297" s="66" t="str">
        <x:v>거래0292</x:v>
      </x:c>
      <x:c r="D297" s="97" t="n">
        <x:v>0</x:v>
      </x:c>
      <x:c r="E297" s="85" t="n">
        <x:v>1040000</x:v>
      </x:c>
    </x:row>
    <x:row r="298">
      <x:c r="A298" s="91" t="n">
        <x:v>46075</x:v>
      </x:c>
      <x:c r="B298" s="66" t="str">
        <x:v>AC-0043</x:v>
      </x:c>
      <x:c r="C298" s="66" t="str">
        <x:v>거래0293</x:v>
      </x:c>
      <x:c r="D298" s="97" t="n">
        <x:v>120000</x:v>
      </x:c>
      <x:c r="E298" s="85" t="n">
        <x:v>0</x:v>
      </x:c>
    </x:row>
    <x:row r="299">
      <x:c r="A299" s="91" t="n">
        <x:v>46076</x:v>
      </x:c>
      <x:c r="B299" s="66" t="str">
        <x:v>AC-0044</x:v>
      </x:c>
      <x:c r="C299" s="66" t="str">
        <x:v>거래0294</x:v>
      </x:c>
      <x:c r="D299" s="97" t="n">
        <x:v>0</x:v>
      </x:c>
      <x:c r="E299" s="85" t="n">
        <x:v>240000</x:v>
      </x:c>
    </x:row>
    <x:row r="300">
      <x:c r="A300" s="91" t="n">
        <x:v>46077</x:v>
      </x:c>
      <x:c r="B300" s="66" t="str">
        <x:v>AC-0045</x:v>
      </x:c>
      <x:c r="C300" s="66" t="str">
        <x:v>거래0295</x:v>
      </x:c>
      <x:c r="D300" s="97" t="n">
        <x:v>160000</x:v>
      </x:c>
      <x:c r="E300" s="85" t="n">
        <x:v>0</x:v>
      </x:c>
    </x:row>
    <x:row r="301">
      <x:c r="A301" s="91" t="n">
        <x:v>46078</x:v>
      </x:c>
      <x:c r="B301" s="66" t="str">
        <x:v>AC-0046</x:v>
      </x:c>
      <x:c r="C301" s="66" t="str">
        <x:v>거래0296</x:v>
      </x:c>
      <x:c r="D301" s="97" t="n">
        <x:v>0</x:v>
      </x:c>
      <x:c r="E301" s="85" t="n">
        <x:v>910000</x:v>
      </x:c>
    </x:row>
    <x:row r="302">
      <x:c r="A302" s="91" t="n">
        <x:v>46079</x:v>
      </x:c>
      <x:c r="B302" s="66" t="str">
        <x:v>AC-0047</x:v>
      </x:c>
      <x:c r="C302" s="66" t="str">
        <x:v>거래0297</x:v>
      </x:c>
      <x:c r="D302" s="97" t="n">
        <x:v>1500000</x:v>
      </x:c>
      <x:c r="E302" s="85" t="n">
        <x:v>0</x:v>
      </x:c>
    </x:row>
    <x:row r="303">
      <x:c r="A303" s="91" t="n">
        <x:v>46080</x:v>
      </x:c>
      <x:c r="B303" s="66" t="str">
        <x:v>AC-0048</x:v>
      </x:c>
      <x:c r="C303" s="66" t="str">
        <x:v>거래0298</x:v>
      </x:c>
      <x:c r="D303" s="97" t="n">
        <x:v>0</x:v>
      </x:c>
      <x:c r="E303" s="85" t="n">
        <x:v>500000</x:v>
      </x:c>
    </x:row>
    <x:row r="304">
      <x:c r="A304" s="91" t="n">
        <x:v>46081</x:v>
      </x:c>
      <x:c r="B304" s="66" t="str">
        <x:v>AC-0049</x:v>
      </x:c>
      <x:c r="C304" s="66" t="str">
        <x:v>거래0299</x:v>
      </x:c>
      <x:c r="D304" s="97" t="n">
        <x:v>1070000</x:v>
      </x:c>
      <x:c r="E304" s="85" t="n">
        <x:v>0</x:v>
      </x:c>
    </x:row>
    <x:row r="305">
      <x:c r="A305" s="92" t="n">
        <x:v>46082</x:v>
      </x:c>
      <x:c r="B305" s="73" t="str">
        <x:v>AC-0050</x:v>
      </x:c>
      <x:c r="C305" s="73" t="str">
        <x:v>거래0300</x:v>
      </x:c>
      <x:c r="D305" s="98" t="n">
        <x:v>0</x:v>
      </x:c>
      <x:c r="E305" s="86" t="n">
        <x:v>200000</x:v>
      </x:c>
    </x:row>
  </x:sheetData>
  <x:mergeCells>
    <x:mergeCell ref="A1:E1"/>
    <x:mergeCell ref="A2:E2"/>
    <x:mergeCell ref="A3:E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5" hidden="0" customWidth="1"/>
    <x:col min="3" max="3" width="22" hidden="0" customWidth="1"/>
    <x:col min="4" max="4" width="15" hidden="0" customWidth="1"/>
    <x:col min="5" max="5" width="15" hidden="0" customWidth="1"/>
  </x:cols>
  <x:sheetData>
    <x:row r="1" ht="30" customHeight="1">
      <x:c r="A1" s="5" t="str">
        <x:v>보조부</x:v>
      </x:c>
      <x:c r="B1" s="5"/>
      <x:c r="C1" s="5"/>
      <x:c r="D1" s="5"/>
      <x:c r="E1" s="5"/>
    </x:row>
    <x:row r="2" ht="24" customHeight="1">
      <x:c r="A2" s="12" t="str">
        <x:v>합성 보조부 거래 데이터</x:v>
      </x:c>
      <x:c r="B2" s="12"/>
      <x:c r="C2" s="12"/>
      <x:c r="D2" s="12"/>
      <x:c r="E2" s="12"/>
    </x:row>
    <x:row r="3">
      <x:c r="A3" s="18" t="str">
        <x:v>M4-C 추가 교정용 합성 데이터입니다. 노란색은 입력, 파란색은 계산 영역입니다.</x:v>
      </x:c>
      <x:c r="B3" s="18"/>
      <x:c r="C3" s="18"/>
      <x:c r="D3" s="18"/>
      <x:c r="E3" s="18"/>
    </x:row>
    <x:row r="5" ht="28" customHeight="1">
      <x:c r="A5" s="30" t="str">
        <x:v>일자</x:v>
      </x:c>
      <x:c r="B5" s="61" t="str">
        <x:v>계정코드</x:v>
      </x:c>
      <x:c r="C5" s="61" t="str">
        <x:v>적요</x:v>
      </x:c>
      <x:c r="D5" s="61" t="str">
        <x:v>차변</x:v>
      </x:c>
      <x:c r="E5" s="31" t="str">
        <x:v>대변</x:v>
      </x:c>
    </x:row>
    <x:row r="6">
      <x:c r="A6" s="90" t="n">
        <x:v>46023</x:v>
      </x:c>
      <x:c r="B6" s="68" t="str">
        <x:v>AC-0001</x:v>
      </x:c>
      <x:c r="C6" s="68" t="str">
        <x:v>거래0001</x:v>
      </x:c>
      <x:c r="D6" s="96" t="n">
        <x:v>292000</x:v>
      </x:c>
      <x:c r="E6" s="84" t="n">
        <x:v>0</x:v>
      </x:c>
    </x:row>
    <x:row r="7">
      <x:c r="A7" s="91" t="n">
        <x:v>46024</x:v>
      </x:c>
      <x:c r="B7" s="66" t="str">
        <x:v>AC-0002</x:v>
      </x:c>
      <x:c r="C7" s="66" t="str">
        <x:v>거래0002</x:v>
      </x:c>
      <x:c r="D7" s="97" t="n">
        <x:v>0</x:v>
      </x:c>
      <x:c r="E7" s="85" t="n">
        <x:v>860000</x:v>
      </x:c>
    </x:row>
    <x:row r="8">
      <x:c r="A8" s="91" t="n">
        <x:v>46025</x:v>
      </x:c>
      <x:c r="B8" s="66" t="str">
        <x:v>AC-0003</x:v>
      </x:c>
      <x:c r="C8" s="66" t="str">
        <x:v>거래0003</x:v>
      </x:c>
      <x:c r="D8" s="97" t="n">
        <x:v>1020000</x:v>
      </x:c>
      <x:c r="E8" s="85" t="n">
        <x:v>0</x:v>
      </x:c>
    </x:row>
    <x:row r="9">
      <x:c r="A9" s="91" t="n">
        <x:v>46026</x:v>
      </x:c>
      <x:c r="B9" s="66" t="str">
        <x:v>AC-0004</x:v>
      </x:c>
      <x:c r="C9" s="66" t="str">
        <x:v>거래0004</x:v>
      </x:c>
      <x:c r="D9" s="97" t="n">
        <x:v>0</x:v>
      </x:c>
      <x:c r="E9" s="85" t="n">
        <x:v>670000</x:v>
      </x:c>
    </x:row>
    <x:row r="10">
      <x:c r="A10" s="91" t="n">
        <x:v>46027</x:v>
      </x:c>
      <x:c r="B10" s="66" t="str">
        <x:v>AC-0005</x:v>
      </x:c>
      <x:c r="C10" s="66" t="str">
        <x:v>거래0005</x:v>
      </x:c>
      <x:c r="D10" s="97" t="n">
        <x:v>480000</x:v>
      </x:c>
      <x:c r="E10" s="85" t="n">
        <x:v>0</x:v>
      </x:c>
    </x:row>
    <x:row r="11">
      <x:c r="A11" s="91" t="n">
        <x:v>46028</x:v>
      </x:c>
      <x:c r="B11" s="66" t="str">
        <x:v>AC-0006</x:v>
      </x:c>
      <x:c r="C11" s="66" t="str">
        <x:v>거래0006</x:v>
      </x:c>
      <x:c r="D11" s="97" t="n">
        <x:v>0</x:v>
      </x:c>
      <x:c r="E11" s="85" t="n">
        <x:v>1170000</x:v>
      </x:c>
    </x:row>
    <x:row r="12">
      <x:c r="A12" s="91" t="n">
        <x:v>46029</x:v>
      </x:c>
      <x:c r="B12" s="66" t="str">
        <x:v>AC-0007</x:v>
      </x:c>
      <x:c r="C12" s="66" t="str">
        <x:v>거래0007</x:v>
      </x:c>
      <x:c r="D12" s="97" t="n">
        <x:v>1030000</x:v>
      </x:c>
      <x:c r="E12" s="85" t="n">
        <x:v>0</x:v>
      </x:c>
    </x:row>
    <x:row r="13">
      <x:c r="A13" s="91" t="n">
        <x:v>46030</x:v>
      </x:c>
      <x:c r="B13" s="66" t="str">
        <x:v>AC-0008</x:v>
      </x:c>
      <x:c r="C13" s="66" t="str">
        <x:v>거래0008</x:v>
      </x:c>
      <x:c r="D13" s="97" t="n">
        <x:v>0</x:v>
      </x:c>
      <x:c r="E13" s="85" t="n">
        <x:v>1260000</x:v>
      </x:c>
    </x:row>
    <x:row r="14">
      <x:c r="A14" s="91" t="n">
        <x:v>46031</x:v>
      </x:c>
      <x:c r="B14" s="66" t="str">
        <x:v>AC-0009</x:v>
      </x:c>
      <x:c r="C14" s="66" t="str">
        <x:v>거래0009</x:v>
      </x:c>
      <x:c r="D14" s="97" t="n">
        <x:v>190000</x:v>
      </x:c>
      <x:c r="E14" s="85" t="n">
        <x:v>0</x:v>
      </x:c>
    </x:row>
    <x:row r="15">
      <x:c r="A15" s="91" t="n">
        <x:v>46032</x:v>
      </x:c>
      <x:c r="B15" s="66" t="str">
        <x:v>AC-0010</x:v>
      </x:c>
      <x:c r="C15" s="66" t="str">
        <x:v>거래0010</x:v>
      </x:c>
      <x:c r="D15" s="97" t="n">
        <x:v>0</x:v>
      </x:c>
      <x:c r="E15" s="85" t="n">
        <x:v>830000</x:v>
      </x:c>
    </x:row>
    <x:row r="16">
      <x:c r="A16" s="91" t="n">
        <x:v>46033</x:v>
      </x:c>
      <x:c r="B16" s="66" t="str">
        <x:v>AC-0011</x:v>
      </x:c>
      <x:c r="C16" s="66" t="str">
        <x:v>거래0011</x:v>
      </x:c>
      <x:c r="D16" s="97" t="n">
        <x:v>900000</x:v>
      </x:c>
      <x:c r="E16" s="85" t="n">
        <x:v>0</x:v>
      </x:c>
    </x:row>
    <x:row r="17">
      <x:c r="A17" s="91" t="n">
        <x:v>46034</x:v>
      </x:c>
      <x:c r="B17" s="66" t="str">
        <x:v>AC-0012</x:v>
      </x:c>
      <x:c r="C17" s="66" t="str">
        <x:v>거래0012</x:v>
      </x:c>
      <x:c r="D17" s="97" t="n">
        <x:v>0</x:v>
      </x:c>
      <x:c r="E17" s="85" t="n">
        <x:v>260000</x:v>
      </x:c>
    </x:row>
    <x:row r="18">
      <x:c r="A18" s="91" t="n">
        <x:v>46035</x:v>
      </x:c>
      <x:c r="B18" s="66" t="str">
        <x:v>AC-0013</x:v>
      </x:c>
      <x:c r="C18" s="66" t="str">
        <x:v>거래0013</x:v>
      </x:c>
      <x:c r="D18" s="97" t="n">
        <x:v>270000</x:v>
      </x:c>
      <x:c r="E18" s="85" t="n">
        <x:v>0</x:v>
      </x:c>
    </x:row>
    <x:row r="19">
      <x:c r="A19" s="91" t="n">
        <x:v>46036</x:v>
      </x:c>
      <x:c r="B19" s="66" t="str">
        <x:v>AC-0014</x:v>
      </x:c>
      <x:c r="C19" s="66" t="str">
        <x:v>거래0014</x:v>
      </x:c>
      <x:c r="D19" s="97" t="n">
        <x:v>0</x:v>
      </x:c>
      <x:c r="E19" s="85" t="n">
        <x:v>1060000</x:v>
      </x:c>
    </x:row>
    <x:row r="20">
      <x:c r="A20" s="91" t="n">
        <x:v>46037</x:v>
      </x:c>
      <x:c r="B20" s="66" t="str">
        <x:v>AC-0015</x:v>
      </x:c>
      <x:c r="C20" s="66" t="str">
        <x:v>거래0015</x:v>
      </x:c>
      <x:c r="D20" s="97" t="n">
        <x:v>1080000</x:v>
      </x:c>
      <x:c r="E20" s="85" t="n">
        <x:v>0</x:v>
      </x:c>
    </x:row>
    <x:row r="21">
      <x:c r="A21" s="91" t="n">
        <x:v>46038</x:v>
      </x:c>
      <x:c r="B21" s="66" t="str">
        <x:v>AC-0016</x:v>
      </x:c>
      <x:c r="C21" s="66" t="str">
        <x:v>거래0016</x:v>
      </x:c>
      <x:c r="D21" s="97" t="n">
        <x:v>0</x:v>
      </x:c>
      <x:c r="E21" s="85" t="n">
        <x:v>810000</x:v>
      </x:c>
    </x:row>
    <x:row r="22">
      <x:c r="A22" s="91" t="n">
        <x:v>46039</x:v>
      </x:c>
      <x:c r="B22" s="66" t="str">
        <x:v>AC-0017</x:v>
      </x:c>
      <x:c r="C22" s="66" t="str">
        <x:v>거래0017</x:v>
      </x:c>
      <x:c r="D22" s="97" t="n">
        <x:v>370000</x:v>
      </x:c>
      <x:c r="E22" s="85" t="n">
        <x:v>0</x:v>
      </x:c>
    </x:row>
    <x:row r="23">
      <x:c r="A23" s="91" t="n">
        <x:v>46040</x:v>
      </x:c>
      <x:c r="B23" s="66" t="str">
        <x:v>AC-0018</x:v>
      </x:c>
      <x:c r="C23" s="66" t="str">
        <x:v>거래0018</x:v>
      </x:c>
      <x:c r="D23" s="97" t="n">
        <x:v>0</x:v>
      </x:c>
      <x:c r="E23" s="85" t="n">
        <x:v>1020000</x:v>
      </x:c>
    </x:row>
    <x:row r="24">
      <x:c r="A24" s="91" t="n">
        <x:v>46041</x:v>
      </x:c>
      <x:c r="B24" s="66" t="str">
        <x:v>AC-0019</x:v>
      </x:c>
      <x:c r="C24" s="66" t="str">
        <x:v>거래0019</x:v>
      </x:c>
      <x:c r="D24" s="97" t="n">
        <x:v>400000</x:v>
      </x:c>
      <x:c r="E24" s="85" t="n">
        <x:v>0</x:v>
      </x:c>
    </x:row>
    <x:row r="25">
      <x:c r="A25" s="91" t="n">
        <x:v>46042</x:v>
      </x:c>
      <x:c r="B25" s="66" t="str">
        <x:v>AC-0020</x:v>
      </x:c>
      <x:c r="C25" s="66" t="str">
        <x:v>거래0020</x:v>
      </x:c>
      <x:c r="D25" s="97" t="n">
        <x:v>0</x:v>
      </x:c>
      <x:c r="E25" s="85" t="n">
        <x:v>1430000</x:v>
      </x:c>
    </x:row>
    <x:row r="26">
      <x:c r="A26" s="91" t="n">
        <x:v>46043</x:v>
      </x:c>
      <x:c r="B26" s="66" t="str">
        <x:v>AC-0021</x:v>
      </x:c>
      <x:c r="C26" s="66" t="str">
        <x:v>거래0021</x:v>
      </x:c>
      <x:c r="D26" s="97" t="n">
        <x:v>910000</x:v>
      </x:c>
      <x:c r="E26" s="85" t="n">
        <x:v>0</x:v>
      </x:c>
    </x:row>
    <x:row r="27">
      <x:c r="A27" s="91" t="n">
        <x:v>46044</x:v>
      </x:c>
      <x:c r="B27" s="66" t="str">
        <x:v>AC-0022</x:v>
      </x:c>
      <x:c r="C27" s="66" t="str">
        <x:v>거래0022</x:v>
      </x:c>
      <x:c r="D27" s="97" t="n">
        <x:v>0</x:v>
      </x:c>
      <x:c r="E27" s="85" t="n">
        <x:v>220000</x:v>
      </x:c>
    </x:row>
    <x:row r="28">
      <x:c r="A28" s="91" t="n">
        <x:v>46045</x:v>
      </x:c>
      <x:c r="B28" s="66" t="str">
        <x:v>AC-0023</x:v>
      </x:c>
      <x:c r="C28" s="66" t="str">
        <x:v>거래0023</x:v>
      </x:c>
      <x:c r="D28" s="97" t="n">
        <x:v>820000</x:v>
      </x:c>
      <x:c r="E28" s="85" t="n">
        <x:v>0</x:v>
      </x:c>
    </x:row>
    <x:row r="29">
      <x:c r="A29" s="91" t="n">
        <x:v>46046</x:v>
      </x:c>
      <x:c r="B29" s="66" t="str">
        <x:v>AC-0024</x:v>
      </x:c>
      <x:c r="C29" s="66" t="str">
        <x:v>거래0024</x:v>
      </x:c>
      <x:c r="D29" s="97" t="n">
        <x:v>0</x:v>
      </x:c>
      <x:c r="E29" s="85" t="n">
        <x:v>520000</x:v>
      </x:c>
    </x:row>
    <x:row r="30">
      <x:c r="A30" s="91" t="n">
        <x:v>46047</x:v>
      </x:c>
      <x:c r="B30" s="66" t="str">
        <x:v>AC-0025</x:v>
      </x:c>
      <x:c r="C30" s="66" t="str">
        <x:v>거래0025</x:v>
      </x:c>
      <x:c r="D30" s="97" t="n">
        <x:v>1390000</x:v>
      </x:c>
      <x:c r="E30" s="85" t="n">
        <x:v>0</x:v>
      </x:c>
    </x:row>
    <x:row r="31">
      <x:c r="A31" s="91" t="n">
        <x:v>46048</x:v>
      </x:c>
      <x:c r="B31" s="66" t="str">
        <x:v>AC-0026</x:v>
      </x:c>
      <x:c r="C31" s="66" t="str">
        <x:v>거래0026</x:v>
      </x:c>
      <x:c r="D31" s="97" t="n">
        <x:v>0</x:v>
      </x:c>
      <x:c r="E31" s="85" t="n">
        <x:v>1500000</x:v>
      </x:c>
    </x:row>
    <x:row r="32">
      <x:c r="A32" s="91" t="n">
        <x:v>46049</x:v>
      </x:c>
      <x:c r="B32" s="66" t="str">
        <x:v>AC-0027</x:v>
      </x:c>
      <x:c r="C32" s="66" t="str">
        <x:v>거래0027</x:v>
      </x:c>
      <x:c r="D32" s="97" t="n">
        <x:v>1200000</x:v>
      </x:c>
      <x:c r="E32" s="85" t="n">
        <x:v>0</x:v>
      </x:c>
    </x:row>
    <x:row r="33">
      <x:c r="A33" s="91" t="n">
        <x:v>46050</x:v>
      </x:c>
      <x:c r="B33" s="66" t="str">
        <x:v>AC-0028</x:v>
      </x:c>
      <x:c r="C33" s="66" t="str">
        <x:v>거래0028</x:v>
      </x:c>
      <x:c r="D33" s="97" t="n">
        <x:v>0</x:v>
      </x:c>
      <x:c r="E33" s="85" t="n">
        <x:v>700000</x:v>
      </x:c>
    </x:row>
    <x:row r="34">
      <x:c r="A34" s="91" t="n">
        <x:v>46051</x:v>
      </x:c>
      <x:c r="B34" s="66" t="str">
        <x:v>AC-0029</x:v>
      </x:c>
      <x:c r="C34" s="66" t="str">
        <x:v>거래0029</x:v>
      </x:c>
      <x:c r="D34" s="97" t="n">
        <x:v>900000</x:v>
      </x:c>
      <x:c r="E34" s="85" t="n">
        <x:v>0</x:v>
      </x:c>
    </x:row>
    <x:row r="35">
      <x:c r="A35" s="91" t="n">
        <x:v>46052</x:v>
      </x:c>
      <x:c r="B35" s="66" t="str">
        <x:v>AC-0030</x:v>
      </x:c>
      <x:c r="C35" s="66" t="str">
        <x:v>거래0030</x:v>
      </x:c>
      <x:c r="D35" s="97" t="n">
        <x:v>0</x:v>
      </x:c>
      <x:c r="E35" s="85" t="n">
        <x:v>160000</x:v>
      </x:c>
    </x:row>
    <x:row r="36">
      <x:c r="A36" s="91" t="n">
        <x:v>46053</x:v>
      </x:c>
      <x:c r="B36" s="66" t="str">
        <x:v>AC-0031</x:v>
      </x:c>
      <x:c r="C36" s="66" t="str">
        <x:v>거래0031</x:v>
      </x:c>
      <x:c r="D36" s="97" t="n">
        <x:v>1280000</x:v>
      </x:c>
      <x:c r="E36" s="85" t="n">
        <x:v>0</x:v>
      </x:c>
    </x:row>
    <x:row r="37">
      <x:c r="A37" s="91" t="n">
        <x:v>46054</x:v>
      </x:c>
      <x:c r="B37" s="66" t="str">
        <x:v>AC-0032</x:v>
      </x:c>
      <x:c r="C37" s="66" t="str">
        <x:v>거래0032</x:v>
      </x:c>
      <x:c r="D37" s="97" t="n">
        <x:v>0</x:v>
      </x:c>
      <x:c r="E37" s="85" t="n">
        <x:v>480000</x:v>
      </x:c>
    </x:row>
    <x:row r="38">
      <x:c r="A38" s="91" t="n">
        <x:v>46055</x:v>
      </x:c>
      <x:c r="B38" s="66" t="str">
        <x:v>AC-0033</x:v>
      </x:c>
      <x:c r="C38" s="66" t="str">
        <x:v>거래0033</x:v>
      </x:c>
      <x:c r="D38" s="97" t="n">
        <x:v>610000</x:v>
      </x:c>
      <x:c r="E38" s="85" t="n">
        <x:v>0</x:v>
      </x:c>
    </x:row>
    <x:row r="39">
      <x:c r="A39" s="91" t="n">
        <x:v>46056</x:v>
      </x:c>
      <x:c r="B39" s="66" t="str">
        <x:v>AC-0034</x:v>
      </x:c>
      <x:c r="C39" s="66" t="str">
        <x:v>거래0034</x:v>
      </x:c>
      <x:c r="D39" s="97" t="n">
        <x:v>0</x:v>
      </x:c>
      <x:c r="E39" s="85" t="n">
        <x:v>1280000</x:v>
      </x:c>
    </x:row>
    <x:row r="40">
      <x:c r="A40" s="91" t="n">
        <x:v>46057</x:v>
      </x:c>
      <x:c r="B40" s="66" t="str">
        <x:v>AC-0035</x:v>
      </x:c>
      <x:c r="C40" s="66" t="str">
        <x:v>거래0035</x:v>
      </x:c>
      <x:c r="D40" s="97" t="n">
        <x:v>1060000</x:v>
      </x:c>
      <x:c r="E40" s="85" t="n">
        <x:v>0</x:v>
      </x:c>
    </x:row>
    <x:row r="41">
      <x:c r="A41" s="91" t="n">
        <x:v>46058</x:v>
      </x:c>
      <x:c r="B41" s="66" t="str">
        <x:v>AC-0036</x:v>
      </x:c>
      <x:c r="C41" s="66" t="str">
        <x:v>거래0036</x:v>
      </x:c>
      <x:c r="D41" s="97" t="n">
        <x:v>0</x:v>
      </x:c>
      <x:c r="E41" s="85" t="n">
        <x:v>1210000</x:v>
      </x:c>
    </x:row>
    <x:row r="42">
      <x:c r="A42" s="91" t="n">
        <x:v>46059</x:v>
      </x:c>
      <x:c r="B42" s="66" t="str">
        <x:v>AC-0037</x:v>
      </x:c>
      <x:c r="C42" s="66" t="str">
        <x:v>거래0037</x:v>
      </x:c>
      <x:c r="D42" s="97" t="n">
        <x:v>650000</x:v>
      </x:c>
      <x:c r="E42" s="85" t="n">
        <x:v>0</x:v>
      </x:c>
    </x:row>
    <x:row r="43">
      <x:c r="A43" s="91" t="n">
        <x:v>46060</x:v>
      </x:c>
      <x:c r="B43" s="66" t="str">
        <x:v>AC-0038</x:v>
      </x:c>
      <x:c r="C43" s="66" t="str">
        <x:v>거래0038</x:v>
      </x:c>
      <x:c r="D43" s="97" t="n">
        <x:v>0</x:v>
      </x:c>
      <x:c r="E43" s="85" t="n">
        <x:v>950000</x:v>
      </x:c>
    </x:row>
    <x:row r="44">
      <x:c r="A44" s="91" t="n">
        <x:v>46061</x:v>
      </x:c>
      <x:c r="B44" s="66" t="str">
        <x:v>AC-0039</x:v>
      </x:c>
      <x:c r="C44" s="66" t="str">
        <x:v>거래0039</x:v>
      </x:c>
      <x:c r="D44" s="97" t="n">
        <x:v>1480000</x:v>
      </x:c>
      <x:c r="E44" s="85" t="n">
        <x:v>0</x:v>
      </x:c>
    </x:row>
    <x:row r="45">
      <x:c r="A45" s="91" t="n">
        <x:v>46062</x:v>
      </x:c>
      <x:c r="B45" s="66" t="str">
        <x:v>AC-0040</x:v>
      </x:c>
      <x:c r="C45" s="66" t="str">
        <x:v>거래0040</x:v>
      </x:c>
      <x:c r="D45" s="97" t="n">
        <x:v>0</x:v>
      </x:c>
      <x:c r="E45" s="85" t="n">
        <x:v>400000</x:v>
      </x:c>
    </x:row>
    <x:row r="46">
      <x:c r="A46" s="91" t="n">
        <x:v>46063</x:v>
      </x:c>
      <x:c r="B46" s="66" t="str">
        <x:v>AC-0041</x:v>
      </x:c>
      <x:c r="C46" s="66" t="str">
        <x:v>거래0041</x:v>
      </x:c>
      <x:c r="D46" s="97" t="n">
        <x:v>910000</x:v>
      </x:c>
      <x:c r="E46" s="85" t="n">
        <x:v>0</x:v>
      </x:c>
    </x:row>
    <x:row r="47">
      <x:c r="A47" s="91" t="n">
        <x:v>46064</x:v>
      </x:c>
      <x:c r="B47" s="66" t="str">
        <x:v>AC-0042</x:v>
      </x:c>
      <x:c r="C47" s="66" t="str">
        <x:v>거래0042</x:v>
      </x:c>
      <x:c r="D47" s="97" t="n">
        <x:v>0</x:v>
      </x:c>
      <x:c r="E47" s="85" t="n">
        <x:v>1370000</x:v>
      </x:c>
    </x:row>
    <x:row r="48">
      <x:c r="A48" s="91" t="n">
        <x:v>46065</x:v>
      </x:c>
      <x:c r="B48" s="66" t="str">
        <x:v>AC-0043</x:v>
      </x:c>
      <x:c r="C48" s="66" t="str">
        <x:v>거래0043</x:v>
      </x:c>
      <x:c r="D48" s="97" t="n">
        <x:v>920000</x:v>
      </x:c>
      <x:c r="E48" s="85" t="n">
        <x:v>0</x:v>
      </x:c>
    </x:row>
    <x:row r="49">
      <x:c r="A49" s="91" t="n">
        <x:v>46066</x:v>
      </x:c>
      <x:c r="B49" s="66" t="str">
        <x:v>AC-0044</x:v>
      </x:c>
      <x:c r="C49" s="66" t="str">
        <x:v>거래0044</x:v>
      </x:c>
      <x:c r="D49" s="97" t="n">
        <x:v>0</x:v>
      </x:c>
      <x:c r="E49" s="85" t="n">
        <x:v>1310000</x:v>
      </x:c>
    </x:row>
    <x:row r="50">
      <x:c r="A50" s="91" t="n">
        <x:v>46067</x:v>
      </x:c>
      <x:c r="B50" s="66" t="str">
        <x:v>AC-0045</x:v>
      </x:c>
      <x:c r="C50" s="66" t="str">
        <x:v>거래0045</x:v>
      </x:c>
      <x:c r="D50" s="97" t="n">
        <x:v>730000</x:v>
      </x:c>
      <x:c r="E50" s="85" t="n">
        <x:v>0</x:v>
      </x:c>
    </x:row>
    <x:row r="51">
      <x:c r="A51" s="91" t="n">
        <x:v>46068</x:v>
      </x:c>
      <x:c r="B51" s="66" t="str">
        <x:v>AC-0046</x:v>
      </x:c>
      <x:c r="C51" s="66" t="str">
        <x:v>거래0046</x:v>
      </x:c>
      <x:c r="D51" s="97" t="n">
        <x:v>0</x:v>
      </x:c>
      <x:c r="E51" s="85" t="n">
        <x:v>1140000</x:v>
      </x:c>
    </x:row>
    <x:row r="52">
      <x:c r="A52" s="91" t="n">
        <x:v>46069</x:v>
      </x:c>
      <x:c r="B52" s="66" t="str">
        <x:v>AC-0047</x:v>
      </x:c>
      <x:c r="C52" s="66" t="str">
        <x:v>거래0047</x:v>
      </x:c>
      <x:c r="D52" s="97" t="n">
        <x:v>660000</x:v>
      </x:c>
      <x:c r="E52" s="85" t="n">
        <x:v>0</x:v>
      </x:c>
    </x:row>
    <x:row r="53">
      <x:c r="A53" s="91" t="n">
        <x:v>46070</x:v>
      </x:c>
      <x:c r="B53" s="66" t="str">
        <x:v>AC-0048</x:v>
      </x:c>
      <x:c r="C53" s="66" t="str">
        <x:v>거래0048</x:v>
      </x:c>
      <x:c r="D53" s="97" t="n">
        <x:v>2000</x:v>
      </x:c>
      <x:c r="E53" s="85" t="n">
        <x:v>370000</x:v>
      </x:c>
    </x:row>
    <x:row r="54">
      <x:c r="A54" s="91" t="n">
        <x:v>46071</x:v>
      </x:c>
      <x:c r="B54" s="66" t="str">
        <x:v>AC-0049</x:v>
      </x:c>
      <x:c r="C54" s="66" t="str">
        <x:v>거래0049</x:v>
      </x:c>
      <x:c r="D54" s="97" t="n">
        <x:v>890000</x:v>
      </x:c>
      <x:c r="E54" s="85" t="n">
        <x:v>0</x:v>
      </x:c>
    </x:row>
    <x:row r="55">
      <x:c r="A55" s="91" t="n">
        <x:v>46072</x:v>
      </x:c>
      <x:c r="B55" s="66" t="str">
        <x:v>AC-0050</x:v>
      </x:c>
      <x:c r="C55" s="66" t="str">
        <x:v>거래0050</x:v>
      </x:c>
      <x:c r="D55" s="97" t="n">
        <x:v>0</x:v>
      </x:c>
      <x:c r="E55" s="85" t="n">
        <x:v>230000</x:v>
      </x:c>
    </x:row>
    <x:row r="56">
      <x:c r="A56" s="91" t="n">
        <x:v>46073</x:v>
      </x:c>
      <x:c r="B56" s="66" t="str">
        <x:v>AC-0001</x:v>
      </x:c>
      <x:c r="C56" s="66" t="str">
        <x:v>거래0051</x:v>
      </x:c>
      <x:c r="D56" s="97" t="n">
        <x:v>780000</x:v>
      </x:c>
      <x:c r="E56" s="85" t="n">
        <x:v>0</x:v>
      </x:c>
    </x:row>
    <x:row r="57">
      <x:c r="A57" s="91" t="n">
        <x:v>46074</x:v>
      </x:c>
      <x:c r="B57" s="66" t="str">
        <x:v>AC-0002</x:v>
      </x:c>
      <x:c r="C57" s="66" t="str">
        <x:v>거래0052</x:v>
      </x:c>
      <x:c r="D57" s="97" t="n">
        <x:v>0</x:v>
      </x:c>
      <x:c r="E57" s="85" t="n">
        <x:v>1460000</x:v>
      </x:c>
    </x:row>
    <x:row r="58">
      <x:c r="A58" s="91" t="n">
        <x:v>46075</x:v>
      </x:c>
      <x:c r="B58" s="66" t="str">
        <x:v>AC-0003</x:v>
      </x:c>
      <x:c r="C58" s="66" t="str">
        <x:v>거래0053</x:v>
      </x:c>
      <x:c r="D58" s="97" t="n">
        <x:v>1430000</x:v>
      </x:c>
      <x:c r="E58" s="85" t="n">
        <x:v>0</x:v>
      </x:c>
    </x:row>
    <x:row r="59">
      <x:c r="A59" s="91" t="n">
        <x:v>46076</x:v>
      </x:c>
      <x:c r="B59" s="66" t="str">
        <x:v>AC-0004</x:v>
      </x:c>
      <x:c r="C59" s="66" t="str">
        <x:v>거래0054</x:v>
      </x:c>
      <x:c r="D59" s="97" t="n">
        <x:v>0</x:v>
      </x:c>
      <x:c r="E59" s="85" t="n">
        <x:v>460000</x:v>
      </x:c>
    </x:row>
    <x:row r="60">
      <x:c r="A60" s="91" t="n">
        <x:v>46077</x:v>
      </x:c>
      <x:c r="B60" s="66" t="str">
        <x:v>AC-0005</x:v>
      </x:c>
      <x:c r="C60" s="66" t="str">
        <x:v>거래0055</x:v>
      </x:c>
      <x:c r="D60" s="97" t="n">
        <x:v>1090000</x:v>
      </x:c>
      <x:c r="E60" s="85" t="n">
        <x:v>0</x:v>
      </x:c>
    </x:row>
    <x:row r="61">
      <x:c r="A61" s="91" t="n">
        <x:v>46078</x:v>
      </x:c>
      <x:c r="B61" s="66" t="str">
        <x:v>AC-0006</x:v>
      </x:c>
      <x:c r="C61" s="66" t="str">
        <x:v>거래0056</x:v>
      </x:c>
      <x:c r="D61" s="97" t="n">
        <x:v>0</x:v>
      </x:c>
      <x:c r="E61" s="85" t="n">
        <x:v>470000</x:v>
      </x:c>
    </x:row>
    <x:row r="62">
      <x:c r="A62" s="91" t="n">
        <x:v>46079</x:v>
      </x:c>
      <x:c r="B62" s="66" t="str">
        <x:v>AC-0007</x:v>
      </x:c>
      <x:c r="C62" s="66" t="str">
        <x:v>거래0057</x:v>
      </x:c>
      <x:c r="D62" s="97" t="n">
        <x:v>400000</x:v>
      </x:c>
      <x:c r="E62" s="85" t="n">
        <x:v>0</x:v>
      </x:c>
    </x:row>
    <x:row r="63">
      <x:c r="A63" s="91" t="n">
        <x:v>46080</x:v>
      </x:c>
      <x:c r="B63" s="66" t="str">
        <x:v>AC-0008</x:v>
      </x:c>
      <x:c r="C63" s="66" t="str">
        <x:v>거래0058</x:v>
      </x:c>
      <x:c r="D63" s="97" t="n">
        <x:v>0</x:v>
      </x:c>
      <x:c r="E63" s="85" t="n">
        <x:v>1140000</x:v>
      </x:c>
    </x:row>
    <x:row r="64">
      <x:c r="A64" s="91" t="n">
        <x:v>46081</x:v>
      </x:c>
      <x:c r="B64" s="66" t="str">
        <x:v>AC-0009</x:v>
      </x:c>
      <x:c r="C64" s="66" t="str">
        <x:v>거래0059</x:v>
      </x:c>
      <x:c r="D64" s="97" t="n">
        <x:v>1080000</x:v>
      </x:c>
      <x:c r="E64" s="85" t="n">
        <x:v>0</x:v>
      </x:c>
    </x:row>
    <x:row r="65">
      <x:c r="A65" s="91" t="n">
        <x:v>46082</x:v>
      </x:c>
      <x:c r="B65" s="66" t="str">
        <x:v>AC-0010</x:v>
      </x:c>
      <x:c r="C65" s="66" t="str">
        <x:v>거래0060</x:v>
      </x:c>
      <x:c r="D65" s="97" t="n">
        <x:v>0</x:v>
      </x:c>
      <x:c r="E65" s="85" t="n">
        <x:v>130000</x:v>
      </x:c>
    </x:row>
    <x:row r="66">
      <x:c r="A66" s="91" t="n">
        <x:v>46083</x:v>
      </x:c>
      <x:c r="B66" s="66" t="str">
        <x:v>AC-0011</x:v>
      </x:c>
      <x:c r="C66" s="66" t="str">
        <x:v>거래0061</x:v>
      </x:c>
      <x:c r="D66" s="97" t="n">
        <x:v>620000</x:v>
      </x:c>
      <x:c r="E66" s="85" t="n">
        <x:v>0</x:v>
      </x:c>
    </x:row>
    <x:row r="67">
      <x:c r="A67" s="91" t="n">
        <x:v>46084</x:v>
      </x:c>
      <x:c r="B67" s="66" t="str">
        <x:v>AC-0012</x:v>
      </x:c>
      <x:c r="C67" s="66" t="str">
        <x:v>거래0062</x:v>
      </x:c>
      <x:c r="D67" s="97" t="n">
        <x:v>0</x:v>
      </x:c>
      <x:c r="E67" s="85" t="n">
        <x:v>1260000</x:v>
      </x:c>
    </x:row>
    <x:row r="68">
      <x:c r="A68" s="91" t="n">
        <x:v>46085</x:v>
      </x:c>
      <x:c r="B68" s="66" t="str">
        <x:v>AC-0013</x:v>
      </x:c>
      <x:c r="C68" s="66" t="str">
        <x:v>거래0063</x:v>
      </x:c>
      <x:c r="D68" s="97" t="n">
        <x:v>370000</x:v>
      </x:c>
      <x:c r="E68" s="85" t="n">
        <x:v>0</x:v>
      </x:c>
    </x:row>
    <x:row r="69">
      <x:c r="A69" s="91" t="n">
        <x:v>46086</x:v>
      </x:c>
      <x:c r="B69" s="66" t="str">
        <x:v>AC-0014</x:v>
      </x:c>
      <x:c r="C69" s="66" t="str">
        <x:v>거래0064</x:v>
      </x:c>
      <x:c r="D69" s="97" t="n">
        <x:v>0</x:v>
      </x:c>
      <x:c r="E69" s="85" t="n">
        <x:v>680000</x:v>
      </x:c>
    </x:row>
    <x:row r="70">
      <x:c r="A70" s="91" t="n">
        <x:v>46087</x:v>
      </x:c>
      <x:c r="B70" s="66" t="str">
        <x:v>AC-0015</x:v>
      </x:c>
      <x:c r="C70" s="66" t="str">
        <x:v>거래0065</x:v>
      </x:c>
      <x:c r="D70" s="97" t="n">
        <x:v>1190000</x:v>
      </x:c>
      <x:c r="E70" s="85" t="n">
        <x:v>0</x:v>
      </x:c>
    </x:row>
    <x:row r="71">
      <x:c r="A71" s="91" t="n">
        <x:v>46088</x:v>
      </x:c>
      <x:c r="B71" s="66" t="str">
        <x:v>AC-0016</x:v>
      </x:c>
      <x:c r="C71" s="66" t="str">
        <x:v>거래0066</x:v>
      </x:c>
      <x:c r="D71" s="97" t="n">
        <x:v>0</x:v>
      </x:c>
      <x:c r="E71" s="85" t="n">
        <x:v>840000</x:v>
      </x:c>
    </x:row>
    <x:row r="72">
      <x:c r="A72" s="91" t="n">
        <x:v>46089</x:v>
      </x:c>
      <x:c r="B72" s="66" t="str">
        <x:v>AC-0017</x:v>
      </x:c>
      <x:c r="C72" s="66" t="str">
        <x:v>거래0067</x:v>
      </x:c>
      <x:c r="D72" s="97" t="n">
        <x:v>1150000</x:v>
      </x:c>
      <x:c r="E72" s="85" t="n">
        <x:v>0</x:v>
      </x:c>
    </x:row>
    <x:row r="73">
      <x:c r="A73" s="91" t="n">
        <x:v>46090</x:v>
      </x:c>
      <x:c r="B73" s="66" t="str">
        <x:v>AC-0018</x:v>
      </x:c>
      <x:c r="C73" s="66" t="str">
        <x:v>거래0068</x:v>
      </x:c>
      <x:c r="D73" s="97" t="n">
        <x:v>0</x:v>
      </x:c>
      <x:c r="E73" s="85" t="n">
        <x:v>1390000</x:v>
      </x:c>
    </x:row>
    <x:row r="74">
      <x:c r="A74" s="91" t="n">
        <x:v>46091</x:v>
      </x:c>
      <x:c r="B74" s="66" t="str">
        <x:v>AC-0019</x:v>
      </x:c>
      <x:c r="C74" s="66" t="str">
        <x:v>거래0069</x:v>
      </x:c>
      <x:c r="D74" s="97" t="n">
        <x:v>860000</x:v>
      </x:c>
      <x:c r="E74" s="85" t="n">
        <x:v>0</x:v>
      </x:c>
    </x:row>
    <x:row r="75">
      <x:c r="A75" s="91" t="n">
        <x:v>46092</x:v>
      </x:c>
      <x:c r="B75" s="66" t="str">
        <x:v>AC-0020</x:v>
      </x:c>
      <x:c r="C75" s="66" t="str">
        <x:v>거래0070</x:v>
      </x:c>
      <x:c r="D75" s="97" t="n">
        <x:v>0</x:v>
      </x:c>
      <x:c r="E75" s="85" t="n">
        <x:v>470000</x:v>
      </x:c>
    </x:row>
    <x:row r="76">
      <x:c r="A76" s="91" t="n">
        <x:v>46093</x:v>
      </x:c>
      <x:c r="B76" s="66" t="str">
        <x:v>AC-0021</x:v>
      </x:c>
      <x:c r="C76" s="66" t="str">
        <x:v>거래0071</x:v>
      </x:c>
      <x:c r="D76" s="97" t="n">
        <x:v>1090000</x:v>
      </x:c>
      <x:c r="E76" s="85" t="n">
        <x:v>0</x:v>
      </x:c>
    </x:row>
    <x:row r="77">
      <x:c r="A77" s="91" t="n">
        <x:v>46094</x:v>
      </x:c>
      <x:c r="B77" s="66" t="str">
        <x:v>AC-0022</x:v>
      </x:c>
      <x:c r="C77" s="66" t="str">
        <x:v>거래0072</x:v>
      </x:c>
      <x:c r="D77" s="97" t="n">
        <x:v>0</x:v>
      </x:c>
      <x:c r="E77" s="85" t="n">
        <x:v>1210000</x:v>
      </x:c>
    </x:row>
    <x:row r="78">
      <x:c r="A78" s="91" t="n">
        <x:v>46095</x:v>
      </x:c>
      <x:c r="B78" s="66" t="str">
        <x:v>AC-0023</x:v>
      </x:c>
      <x:c r="C78" s="66" t="str">
        <x:v>거래0073</x:v>
      </x:c>
      <x:c r="D78" s="97" t="n">
        <x:v>1400000</x:v>
      </x:c>
      <x:c r="E78" s="85" t="n">
        <x:v>0</x:v>
      </x:c>
    </x:row>
    <x:row r="79">
      <x:c r="A79" s="91" t="n">
        <x:v>46096</x:v>
      </x:c>
      <x:c r="B79" s="66" t="str">
        <x:v>AC-0024</x:v>
      </x:c>
      <x:c r="C79" s="66" t="str">
        <x:v>거래0074</x:v>
      </x:c>
      <x:c r="D79" s="97" t="n">
        <x:v>0</x:v>
      </x:c>
      <x:c r="E79" s="85" t="n">
        <x:v>190000</x:v>
      </x:c>
    </x:row>
    <x:row r="80">
      <x:c r="A80" s="91" t="n">
        <x:v>46097</x:v>
      </x:c>
      <x:c r="B80" s="66" t="str">
        <x:v>AC-0025</x:v>
      </x:c>
      <x:c r="C80" s="66" t="str">
        <x:v>거래0075</x:v>
      </x:c>
      <x:c r="D80" s="97" t="n">
        <x:v>510000</x:v>
      </x:c>
      <x:c r="E80" s="85" t="n">
        <x:v>0</x:v>
      </x:c>
    </x:row>
    <x:row r="81">
      <x:c r="A81" s="91" t="n">
        <x:v>46098</x:v>
      </x:c>
      <x:c r="B81" s="66" t="str">
        <x:v>AC-0026</x:v>
      </x:c>
      <x:c r="C81" s="66" t="str">
        <x:v>거래0076</x:v>
      </x:c>
      <x:c r="D81" s="97" t="n">
        <x:v>0</x:v>
      </x:c>
      <x:c r="E81" s="85" t="n">
        <x:v>720000</x:v>
      </x:c>
    </x:row>
    <x:row r="82">
      <x:c r="A82" s="91" t="n">
        <x:v>46099</x:v>
      </x:c>
      <x:c r="B82" s="66" t="str">
        <x:v>AC-0027</x:v>
      </x:c>
      <x:c r="C82" s="66" t="str">
        <x:v>거래0077</x:v>
      </x:c>
      <x:c r="D82" s="97" t="n">
        <x:v>560000</x:v>
      </x:c>
      <x:c r="E82" s="85" t="n">
        <x:v>0</x:v>
      </x:c>
    </x:row>
    <x:row r="83">
      <x:c r="A83" s="91" t="n">
        <x:v>46100</x:v>
      </x:c>
      <x:c r="B83" s="66" t="str">
        <x:v>AC-0028</x:v>
      </x:c>
      <x:c r="C83" s="66" t="str">
        <x:v>거래0078</x:v>
      </x:c>
      <x:c r="D83" s="97" t="n">
        <x:v>0</x:v>
      </x:c>
      <x:c r="E83" s="85" t="n">
        <x:v>860000</x:v>
      </x:c>
    </x:row>
    <x:row r="84">
      <x:c r="A84" s="91" t="n">
        <x:v>46101</x:v>
      </x:c>
      <x:c r="B84" s="66" t="str">
        <x:v>AC-0029</x:v>
      </x:c>
      <x:c r="C84" s="66" t="str">
        <x:v>거래0079</x:v>
      </x:c>
      <x:c r="D84" s="97" t="n">
        <x:v>520000</x:v>
      </x:c>
      <x:c r="E84" s="85" t="n">
        <x:v>0</x:v>
      </x:c>
    </x:row>
    <x:row r="85">
      <x:c r="A85" s="91" t="n">
        <x:v>46102</x:v>
      </x:c>
      <x:c r="B85" s="66" t="str">
        <x:v>AC-0030</x:v>
      </x:c>
      <x:c r="C85" s="66" t="str">
        <x:v>거래0080</x:v>
      </x:c>
      <x:c r="D85" s="97" t="n">
        <x:v>0</x:v>
      </x:c>
      <x:c r="E85" s="85" t="n">
        <x:v>460000</x:v>
      </x:c>
    </x:row>
    <x:row r="86">
      <x:c r="A86" s="91" t="n">
        <x:v>46103</x:v>
      </x:c>
      <x:c r="B86" s="66" t="str">
        <x:v>AC-0031</x:v>
      </x:c>
      <x:c r="C86" s="66" t="str">
        <x:v>거래0081</x:v>
      </x:c>
      <x:c r="D86" s="97" t="n">
        <x:v>650000</x:v>
      </x:c>
      <x:c r="E86" s="85" t="n">
        <x:v>0</x:v>
      </x:c>
    </x:row>
    <x:row r="87">
      <x:c r="A87" s="91" t="n">
        <x:v>46104</x:v>
      </x:c>
      <x:c r="B87" s="66" t="str">
        <x:v>AC-0032</x:v>
      </x:c>
      <x:c r="C87" s="66" t="str">
        <x:v>거래0082</x:v>
      </x:c>
      <x:c r="D87" s="97" t="n">
        <x:v>0</x:v>
      </x:c>
      <x:c r="E87" s="85" t="n">
        <x:v>220000</x:v>
      </x:c>
    </x:row>
    <x:row r="88">
      <x:c r="A88" s="91" t="n">
        <x:v>46105</x:v>
      </x:c>
      <x:c r="B88" s="66" t="str">
        <x:v>AC-0033</x:v>
      </x:c>
      <x:c r="C88" s="66" t="str">
        <x:v>거래0083</x:v>
      </x:c>
      <x:c r="D88" s="97" t="n">
        <x:v>1450000</x:v>
      </x:c>
      <x:c r="E88" s="85" t="n">
        <x:v>0</x:v>
      </x:c>
    </x:row>
    <x:row r="89">
      <x:c r="A89" s="91" t="n">
        <x:v>46106</x:v>
      </x:c>
      <x:c r="B89" s="66" t="str">
        <x:v>AC-0034</x:v>
      </x:c>
      <x:c r="C89" s="66" t="str">
        <x:v>거래0084</x:v>
      </x:c>
      <x:c r="D89" s="97" t="n">
        <x:v>0</x:v>
      </x:c>
      <x:c r="E89" s="85" t="n">
        <x:v>400000</x:v>
      </x:c>
    </x:row>
    <x:row r="90">
      <x:c r="A90" s="91" t="n">
        <x:v>46107</x:v>
      </x:c>
      <x:c r="B90" s="66" t="str">
        <x:v>AC-0035</x:v>
      </x:c>
      <x:c r="C90" s="66" t="str">
        <x:v>거래0085</x:v>
      </x:c>
      <x:c r="D90" s="97" t="n">
        <x:v>730000</x:v>
      </x:c>
      <x:c r="E90" s="85" t="n">
        <x:v>0</x:v>
      </x:c>
    </x:row>
    <x:row r="91">
      <x:c r="A91" s="91" t="n">
        <x:v>46108</x:v>
      </x:c>
      <x:c r="B91" s="66" t="str">
        <x:v>AC-0036</x:v>
      </x:c>
      <x:c r="C91" s="66" t="str">
        <x:v>거래0086</x:v>
      </x:c>
      <x:c r="D91" s="97" t="n">
        <x:v>0</x:v>
      </x:c>
      <x:c r="E91" s="85" t="n">
        <x:v>480000</x:v>
      </x:c>
    </x:row>
    <x:row r="92">
      <x:c r="A92" s="91" t="n">
        <x:v>46109</x:v>
      </x:c>
      <x:c r="B92" s="66" t="str">
        <x:v>AC-0037</x:v>
      </x:c>
      <x:c r="C92" s="66" t="str">
        <x:v>거래0087</x:v>
      </x:c>
      <x:c r="D92" s="97" t="n">
        <x:v>170000</x:v>
      </x:c>
      <x:c r="E92" s="85" t="n">
        <x:v>0</x:v>
      </x:c>
    </x:row>
    <x:row r="93">
      <x:c r="A93" s="91" t="n">
        <x:v>46110</x:v>
      </x:c>
      <x:c r="B93" s="66" t="str">
        <x:v>AC-0038</x:v>
      </x:c>
      <x:c r="C93" s="66" t="str">
        <x:v>거래0088</x:v>
      </x:c>
      <x:c r="D93" s="97" t="n">
        <x:v>0</x:v>
      </x:c>
      <x:c r="E93" s="85" t="n">
        <x:v>600000</x:v>
      </x:c>
    </x:row>
    <x:row r="94">
      <x:c r="A94" s="91" t="n">
        <x:v>46111</x:v>
      </x:c>
      <x:c r="B94" s="66" t="str">
        <x:v>AC-0039</x:v>
      </x:c>
      <x:c r="C94" s="66" t="str">
        <x:v>거래0089</x:v>
      </x:c>
      <x:c r="D94" s="97" t="n">
        <x:v>540000</x:v>
      </x:c>
      <x:c r="E94" s="85" t="n">
        <x:v>0</x:v>
      </x:c>
    </x:row>
    <x:row r="95">
      <x:c r="A95" s="91" t="n">
        <x:v>46112</x:v>
      </x:c>
      <x:c r="B95" s="66" t="str">
        <x:v>AC-0040</x:v>
      </x:c>
      <x:c r="C95" s="66" t="str">
        <x:v>거래0090</x:v>
      </x:c>
      <x:c r="D95" s="97" t="n">
        <x:v>0</x:v>
      </x:c>
      <x:c r="E95" s="85" t="n">
        <x:v>750000</x:v>
      </x:c>
    </x:row>
    <x:row r="96">
      <x:c r="A96" s="91" t="n">
        <x:v>46113</x:v>
      </x:c>
      <x:c r="B96" s="66" t="str">
        <x:v>AC-0041</x:v>
      </x:c>
      <x:c r="C96" s="66" t="str">
        <x:v>거래0091</x:v>
      </x:c>
      <x:c r="D96" s="97" t="n">
        <x:v>250000</x:v>
      </x:c>
      <x:c r="E96" s="85" t="n">
        <x:v>0</x:v>
      </x:c>
    </x:row>
    <x:row r="97">
      <x:c r="A97" s="91" t="n">
        <x:v>46114</x:v>
      </x:c>
      <x:c r="B97" s="66" t="str">
        <x:v>AC-0042</x:v>
      </x:c>
      <x:c r="C97" s="66" t="str">
        <x:v>거래0092</x:v>
      </x:c>
      <x:c r="D97" s="97" t="n">
        <x:v>0</x:v>
      </x:c>
      <x:c r="E97" s="85" t="n">
        <x:v>540000</x:v>
      </x:c>
    </x:row>
    <x:row r="98">
      <x:c r="A98" s="91" t="n">
        <x:v>46115</x:v>
      </x:c>
      <x:c r="B98" s="66" t="str">
        <x:v>AC-0043</x:v>
      </x:c>
      <x:c r="C98" s="66" t="str">
        <x:v>거래0093</x:v>
      </x:c>
      <x:c r="D98" s="97" t="n">
        <x:v>1220000</x:v>
      </x:c>
      <x:c r="E98" s="85" t="n">
        <x:v>0</x:v>
      </x:c>
    </x:row>
    <x:row r="99">
      <x:c r="A99" s="91" t="n">
        <x:v>46116</x:v>
      </x:c>
      <x:c r="B99" s="66" t="str">
        <x:v>AC-0044</x:v>
      </x:c>
      <x:c r="C99" s="66" t="str">
        <x:v>거래0094</x:v>
      </x:c>
      <x:c r="D99" s="97" t="n">
        <x:v>0</x:v>
      </x:c>
      <x:c r="E99" s="85" t="n">
        <x:v>1450000</x:v>
      </x:c>
    </x:row>
    <x:row r="100">
      <x:c r="A100" s="91" t="n">
        <x:v>46117</x:v>
      </x:c>
      <x:c r="B100" s="66" t="str">
        <x:v>AC-0045</x:v>
      </x:c>
      <x:c r="C100" s="66" t="str">
        <x:v>거래0095</x:v>
      </x:c>
      <x:c r="D100" s="97" t="n">
        <x:v>322000</x:v>
      </x:c>
      <x:c r="E100" s="85" t="n">
        <x:v>0</x:v>
      </x:c>
    </x:row>
    <x:row r="101">
      <x:c r="A101" s="91" t="n">
        <x:v>46118</x:v>
      </x:c>
      <x:c r="B101" s="66" t="str">
        <x:v>AC-0046</x:v>
      </x:c>
      <x:c r="C101" s="66" t="str">
        <x:v>거래0096</x:v>
      </x:c>
      <x:c r="D101" s="97" t="n">
        <x:v>0</x:v>
      </x:c>
      <x:c r="E101" s="85" t="n">
        <x:v>760000</x:v>
      </x:c>
    </x:row>
    <x:row r="102">
      <x:c r="A102" s="91" t="n">
        <x:v>46119</x:v>
      </x:c>
      <x:c r="B102" s="66" t="str">
        <x:v>AC-0047</x:v>
      </x:c>
      <x:c r="C102" s="66" t="str">
        <x:v>거래0097</x:v>
      </x:c>
      <x:c r="D102" s="97" t="n">
        <x:v>1370000</x:v>
      </x:c>
      <x:c r="E102" s="85" t="n">
        <x:v>0</x:v>
      </x:c>
    </x:row>
    <x:row r="103">
      <x:c r="A103" s="91" t="n">
        <x:v>46120</x:v>
      </x:c>
      <x:c r="B103" s="66" t="str">
        <x:v>AC-0048</x:v>
      </x:c>
      <x:c r="C103" s="66" t="str">
        <x:v>거래0098</x:v>
      </x:c>
      <x:c r="D103" s="97" t="n">
        <x:v>0</x:v>
      </x:c>
      <x:c r="E103" s="85" t="n">
        <x:v>1490000</x:v>
      </x:c>
    </x:row>
    <x:row r="104">
      <x:c r="A104" s="91" t="n">
        <x:v>46121</x:v>
      </x:c>
      <x:c r="B104" s="66" t="str">
        <x:v>AC-0049</x:v>
      </x:c>
      <x:c r="C104" s="66" t="str">
        <x:v>거래0099</x:v>
      </x:c>
      <x:c r="D104" s="97" t="n">
        <x:v>550000</x:v>
      </x:c>
      <x:c r="E104" s="85" t="n">
        <x:v>0</x:v>
      </x:c>
    </x:row>
    <x:row r="105">
      <x:c r="A105" s="91" t="n">
        <x:v>46122</x:v>
      </x:c>
      <x:c r="B105" s="66" t="str">
        <x:v>AC-0050</x:v>
      </x:c>
      <x:c r="C105" s="66" t="str">
        <x:v>거래0100</x:v>
      </x:c>
      <x:c r="D105" s="97" t="n">
        <x:v>0</x:v>
      </x:c>
      <x:c r="E105" s="85" t="n">
        <x:v>690000</x:v>
      </x:c>
    </x:row>
    <x:row r="106">
      <x:c r="A106" s="91" t="n">
        <x:v>46123</x:v>
      </x:c>
      <x:c r="B106" s="66" t="str">
        <x:v>AC-0001</x:v>
      </x:c>
      <x:c r="C106" s="66" t="str">
        <x:v>거래0101</x:v>
      </x:c>
      <x:c r="D106" s="97" t="n">
        <x:v>1090000</x:v>
      </x:c>
      <x:c r="E106" s="85" t="n">
        <x:v>0</x:v>
      </x:c>
    </x:row>
    <x:row r="107">
      <x:c r="A107" s="91" t="n">
        <x:v>46124</x:v>
      </x:c>
      <x:c r="B107" s="66" t="str">
        <x:v>AC-0002</x:v>
      </x:c>
      <x:c r="C107" s="66" t="str">
        <x:v>거래0102</x:v>
      </x:c>
      <x:c r="D107" s="97" t="n">
        <x:v>0</x:v>
      </x:c>
      <x:c r="E107" s="85" t="n">
        <x:v>320000</x:v>
      </x:c>
    </x:row>
    <x:row r="108">
      <x:c r="A108" s="91" t="n">
        <x:v>46125</x:v>
      </x:c>
      <x:c r="B108" s="66" t="str">
        <x:v>AC-0003</x:v>
      </x:c>
      <x:c r="C108" s="66" t="str">
        <x:v>거래0103</x:v>
      </x:c>
      <x:c r="D108" s="97" t="n">
        <x:v>780000</x:v>
      </x:c>
      <x:c r="E108" s="85" t="n">
        <x:v>0</x:v>
      </x:c>
    </x:row>
    <x:row r="109">
      <x:c r="A109" s="91" t="n">
        <x:v>46126</x:v>
      </x:c>
      <x:c r="B109" s="66" t="str">
        <x:v>AC-0004</x:v>
      </x:c>
      <x:c r="C109" s="66" t="str">
        <x:v>거래0104</x:v>
      </x:c>
      <x:c r="D109" s="97" t="n">
        <x:v>0</x:v>
      </x:c>
      <x:c r="E109" s="85" t="n">
        <x:v>930000</x:v>
      </x:c>
    </x:row>
    <x:row r="110">
      <x:c r="A110" s="91" t="n">
        <x:v>46127</x:v>
      </x:c>
      <x:c r="B110" s="66" t="str">
        <x:v>AC-0005</x:v>
      </x:c>
      <x:c r="C110" s="66" t="str">
        <x:v>거래0105</x:v>
      </x:c>
      <x:c r="D110" s="97" t="n">
        <x:v>1260000</x:v>
      </x:c>
      <x:c r="E110" s="85" t="n">
        <x:v>0</x:v>
      </x:c>
    </x:row>
    <x:row r="111">
      <x:c r="A111" s="91" t="n">
        <x:v>46128</x:v>
      </x:c>
      <x:c r="B111" s="66" t="str">
        <x:v>AC-0006</x:v>
      </x:c>
      <x:c r="C111" s="66" t="str">
        <x:v>거래0106</x:v>
      </x:c>
      <x:c r="D111" s="97" t="n">
        <x:v>0</x:v>
      </x:c>
      <x:c r="E111" s="85" t="n">
        <x:v>870000</x:v>
      </x:c>
    </x:row>
    <x:row r="112">
      <x:c r="A112" s="91" t="n">
        <x:v>46129</x:v>
      </x:c>
      <x:c r="B112" s="66" t="str">
        <x:v>AC-0007</x:v>
      </x:c>
      <x:c r="C112" s="66" t="str">
        <x:v>거래0107</x:v>
      </x:c>
      <x:c r="D112" s="97" t="n">
        <x:v>240000</x:v>
      </x:c>
      <x:c r="E112" s="85" t="n">
        <x:v>0</x:v>
      </x:c>
    </x:row>
    <x:row r="113">
      <x:c r="A113" s="91" t="n">
        <x:v>46130</x:v>
      </x:c>
      <x:c r="B113" s="66" t="str">
        <x:v>AC-0008</x:v>
      </x:c>
      <x:c r="C113" s="66" t="str">
        <x:v>거래0108</x:v>
      </x:c>
      <x:c r="D113" s="97" t="n">
        <x:v>0</x:v>
      </x:c>
      <x:c r="E113" s="85" t="n">
        <x:v>550000</x:v>
      </x:c>
    </x:row>
    <x:row r="114">
      <x:c r="A114" s="91" t="n">
        <x:v>46131</x:v>
      </x:c>
      <x:c r="B114" s="66" t="str">
        <x:v>AC-0009</x:v>
      </x:c>
      <x:c r="C114" s="66" t="str">
        <x:v>거래0109</x:v>
      </x:c>
      <x:c r="D114" s="97" t="n">
        <x:v>1020000</x:v>
      </x:c>
      <x:c r="E114" s="85" t="n">
        <x:v>0</x:v>
      </x:c>
    </x:row>
    <x:row r="115">
      <x:c r="A115" s="91" t="n">
        <x:v>46132</x:v>
      </x:c>
      <x:c r="B115" s="66" t="str">
        <x:v>AC-0010</x:v>
      </x:c>
      <x:c r="C115" s="66" t="str">
        <x:v>거래0110</x:v>
      </x:c>
      <x:c r="D115" s="97" t="n">
        <x:v>0</x:v>
      </x:c>
      <x:c r="E115" s="85" t="n">
        <x:v>310000</x:v>
      </x:c>
    </x:row>
    <x:row r="116">
      <x:c r="A116" s="91" t="n">
        <x:v>46133</x:v>
      </x:c>
      <x:c r="B116" s="66" t="str">
        <x:v>AC-0011</x:v>
      </x:c>
      <x:c r="C116" s="66" t="str">
        <x:v>거래0111</x:v>
      </x:c>
      <x:c r="D116" s="97" t="n">
        <x:v>980000</x:v>
      </x:c>
      <x:c r="E116" s="85" t="n">
        <x:v>0</x:v>
      </x:c>
    </x:row>
    <x:row r="117">
      <x:c r="A117" s="91" t="n">
        <x:v>46134</x:v>
      </x:c>
      <x:c r="B117" s="66" t="str">
        <x:v>AC-0012</x:v>
      </x:c>
      <x:c r="C117" s="66" t="str">
        <x:v>거래0112</x:v>
      </x:c>
      <x:c r="D117" s="97" t="n">
        <x:v>0</x:v>
      </x:c>
      <x:c r="E117" s="85" t="n">
        <x:v>460000</x:v>
      </x:c>
    </x:row>
    <x:row r="118">
      <x:c r="A118" s="91" t="n">
        <x:v>46135</x:v>
      </x:c>
      <x:c r="B118" s="66" t="str">
        <x:v>AC-0013</x:v>
      </x:c>
      <x:c r="C118" s="66" t="str">
        <x:v>거래0113</x:v>
      </x:c>
      <x:c r="D118" s="97" t="n">
        <x:v>780000</x:v>
      </x:c>
      <x:c r="E118" s="85" t="n">
        <x:v>0</x:v>
      </x:c>
    </x:row>
    <x:row r="119">
      <x:c r="A119" s="91" t="n">
        <x:v>46136</x:v>
      </x:c>
      <x:c r="B119" s="66" t="str">
        <x:v>AC-0014</x:v>
      </x:c>
      <x:c r="C119" s="66" t="str">
        <x:v>거래0114</x:v>
      </x:c>
      <x:c r="D119" s="97" t="n">
        <x:v>0</x:v>
      </x:c>
      <x:c r="E119" s="85" t="n">
        <x:v>1410000</x:v>
      </x:c>
    </x:row>
    <x:row r="120">
      <x:c r="A120" s="91" t="n">
        <x:v>46137</x:v>
      </x:c>
      <x:c r="B120" s="66" t="str">
        <x:v>AC-0015</x:v>
      </x:c>
      <x:c r="C120" s="66" t="str">
        <x:v>거래0115</x:v>
      </x:c>
      <x:c r="D120" s="97" t="n">
        <x:v>1260000</x:v>
      </x:c>
      <x:c r="E120" s="85" t="n">
        <x:v>0</x:v>
      </x:c>
    </x:row>
    <x:row r="121">
      <x:c r="A121" s="91" t="n">
        <x:v>46138</x:v>
      </x:c>
      <x:c r="B121" s="66" t="str">
        <x:v>AC-0016</x:v>
      </x:c>
      <x:c r="C121" s="66" t="str">
        <x:v>거래0116</x:v>
      </x:c>
      <x:c r="D121" s="97" t="n">
        <x:v>0</x:v>
      </x:c>
      <x:c r="E121" s="85" t="n">
        <x:v>1350000</x:v>
      </x:c>
    </x:row>
    <x:row r="122">
      <x:c r="A122" s="91" t="n">
        <x:v>46139</x:v>
      </x:c>
      <x:c r="B122" s="66" t="str">
        <x:v>AC-0017</x:v>
      </x:c>
      <x:c r="C122" s="66" t="str">
        <x:v>거래0117</x:v>
      </x:c>
      <x:c r="D122" s="97" t="n">
        <x:v>540000</x:v>
      </x:c>
      <x:c r="E122" s="85" t="n">
        <x:v>0</x:v>
      </x:c>
    </x:row>
    <x:row r="123">
      <x:c r="A123" s="91" t="n">
        <x:v>46140</x:v>
      </x:c>
      <x:c r="B123" s="66" t="str">
        <x:v>AC-0018</x:v>
      </x:c>
      <x:c r="C123" s="66" t="str">
        <x:v>거래0118</x:v>
      </x:c>
      <x:c r="D123" s="97" t="n">
        <x:v>0</x:v>
      </x:c>
      <x:c r="E123" s="85" t="n">
        <x:v>190000</x:v>
      </x:c>
    </x:row>
    <x:row r="124">
      <x:c r="A124" s="91" t="n">
        <x:v>46141</x:v>
      </x:c>
      <x:c r="B124" s="66" t="str">
        <x:v>AC-0019</x:v>
      </x:c>
      <x:c r="C124" s="66" t="str">
        <x:v>거래0119</x:v>
      </x:c>
      <x:c r="D124" s="97" t="n">
        <x:v>820000</x:v>
      </x:c>
      <x:c r="E124" s="85" t="n">
        <x:v>0</x:v>
      </x:c>
    </x:row>
    <x:row r="125">
      <x:c r="A125" s="91" t="n">
        <x:v>46142</x:v>
      </x:c>
      <x:c r="B125" s="66" t="str">
        <x:v>AC-0020</x:v>
      </x:c>
      <x:c r="C125" s="66" t="str">
        <x:v>거래0120</x:v>
      </x:c>
      <x:c r="D125" s="97" t="n">
        <x:v>0</x:v>
      </x:c>
      <x:c r="E125" s="85" t="n">
        <x:v>1490000</x:v>
      </x:c>
    </x:row>
    <x:row r="126">
      <x:c r="A126" s="91" t="n">
        <x:v>46143</x:v>
      </x:c>
      <x:c r="B126" s="66" t="str">
        <x:v>AC-0021</x:v>
      </x:c>
      <x:c r="C126" s="66" t="str">
        <x:v>거래0121</x:v>
      </x:c>
      <x:c r="D126" s="97" t="n">
        <x:v>830000</x:v>
      </x:c>
      <x:c r="E126" s="85" t="n">
        <x:v>0</x:v>
      </x:c>
    </x:row>
    <x:row r="127">
      <x:c r="A127" s="91" t="n">
        <x:v>46144</x:v>
      </x:c>
      <x:c r="B127" s="66" t="str">
        <x:v>AC-0022</x:v>
      </x:c>
      <x:c r="C127" s="66" t="str">
        <x:v>거래0122</x:v>
      </x:c>
      <x:c r="D127" s="97" t="n">
        <x:v>0</x:v>
      </x:c>
      <x:c r="E127" s="85" t="n">
        <x:v>530000</x:v>
      </x:c>
    </x:row>
    <x:row r="128">
      <x:c r="A128" s="91" t="n">
        <x:v>46145</x:v>
      </x:c>
      <x:c r="B128" s="66" t="str">
        <x:v>AC-0023</x:v>
      </x:c>
      <x:c r="C128" s="66" t="str">
        <x:v>거래0123</x:v>
      </x:c>
      <x:c r="D128" s="97" t="n">
        <x:v>1040000</x:v>
      </x:c>
      <x:c r="E128" s="85" t="n">
        <x:v>0</x:v>
      </x:c>
    </x:row>
    <x:row r="129">
      <x:c r="A129" s="91" t="n">
        <x:v>46146</x:v>
      </x:c>
      <x:c r="B129" s="66" t="str">
        <x:v>AC-0024</x:v>
      </x:c>
      <x:c r="C129" s="66" t="str">
        <x:v>거래0124</x:v>
      </x:c>
      <x:c r="D129" s="97" t="n">
        <x:v>0</x:v>
      </x:c>
      <x:c r="E129" s="85" t="n">
        <x:v>170000</x:v>
      </x:c>
    </x:row>
    <x:row r="130">
      <x:c r="A130" s="91" t="n">
        <x:v>46147</x:v>
      </x:c>
      <x:c r="B130" s="66" t="str">
        <x:v>AC-0025</x:v>
      </x:c>
      <x:c r="C130" s="66" t="str">
        <x:v>거래0125</x:v>
      </x:c>
      <x:c r="D130" s="97" t="n">
        <x:v>1190000</x:v>
      </x:c>
      <x:c r="E130" s="85" t="n">
        <x:v>0</x:v>
      </x:c>
    </x:row>
    <x:row r="131">
      <x:c r="A131" s="91" t="n">
        <x:v>46148</x:v>
      </x:c>
      <x:c r="B131" s="66" t="str">
        <x:v>AC-0026</x:v>
      </x:c>
      <x:c r="C131" s="66" t="str">
        <x:v>거래0126</x:v>
      </x:c>
      <x:c r="D131" s="97" t="n">
        <x:v>0</x:v>
      </x:c>
      <x:c r="E131" s="85" t="n">
        <x:v>1020000</x:v>
      </x:c>
    </x:row>
    <x:row r="132">
      <x:c r="A132" s="91" t="n">
        <x:v>46149</x:v>
      </x:c>
      <x:c r="B132" s="66" t="str">
        <x:v>AC-0027</x:v>
      </x:c>
      <x:c r="C132" s="66" t="str">
        <x:v>거래0127</x:v>
      </x:c>
      <x:c r="D132" s="97" t="n">
        <x:v>270000</x:v>
      </x:c>
      <x:c r="E132" s="85" t="n">
        <x:v>0</x:v>
      </x:c>
    </x:row>
    <x:row r="133">
      <x:c r="A133" s="91" t="n">
        <x:v>46150</x:v>
      </x:c>
      <x:c r="B133" s="66" t="str">
        <x:v>AC-0028</x:v>
      </x:c>
      <x:c r="C133" s="66" t="str">
        <x:v>거래0128</x:v>
      </x:c>
      <x:c r="D133" s="97" t="n">
        <x:v>0</x:v>
      </x:c>
      <x:c r="E133" s="85" t="n">
        <x:v>470000</x:v>
      </x:c>
    </x:row>
    <x:row r="134">
      <x:c r="A134" s="91" t="n">
        <x:v>46151</x:v>
      </x:c>
      <x:c r="B134" s="66" t="str">
        <x:v>AC-0029</x:v>
      </x:c>
      <x:c r="C134" s="66" t="str">
        <x:v>거래0129</x:v>
      </x:c>
      <x:c r="D134" s="97" t="n">
        <x:v>450000</x:v>
      </x:c>
      <x:c r="E134" s="85" t="n">
        <x:v>0</x:v>
      </x:c>
    </x:row>
    <x:row r="135">
      <x:c r="A135" s="91" t="n">
        <x:v>46152</x:v>
      </x:c>
      <x:c r="B135" s="66" t="str">
        <x:v>AC-0030</x:v>
      </x:c>
      <x:c r="C135" s="66" t="str">
        <x:v>거래0130</x:v>
      </x:c>
      <x:c r="D135" s="97" t="n">
        <x:v>0</x:v>
      </x:c>
      <x:c r="E135" s="85" t="n">
        <x:v>360000</x:v>
      </x:c>
    </x:row>
    <x:row r="136">
      <x:c r="A136" s="91" t="n">
        <x:v>46153</x:v>
      </x:c>
      <x:c r="B136" s="66" t="str">
        <x:v>AC-0031</x:v>
      </x:c>
      <x:c r="C136" s="66" t="str">
        <x:v>거래0131</x:v>
      </x:c>
      <x:c r="D136" s="97" t="n">
        <x:v>240000</x:v>
      </x:c>
      <x:c r="E136" s="85" t="n">
        <x:v>0</x:v>
      </x:c>
    </x:row>
    <x:row r="137">
      <x:c r="A137" s="91" t="n">
        <x:v>46154</x:v>
      </x:c>
      <x:c r="B137" s="66" t="str">
        <x:v>AC-0032</x:v>
      </x:c>
      <x:c r="C137" s="66" t="str">
        <x:v>거래0132</x:v>
      </x:c>
      <x:c r="D137" s="97" t="n">
        <x:v>0</x:v>
      </x:c>
      <x:c r="E137" s="85" t="n">
        <x:v>270000</x:v>
      </x:c>
    </x:row>
    <x:row r="138">
      <x:c r="A138" s="91" t="n">
        <x:v>46155</x:v>
      </x:c>
      <x:c r="B138" s="66" t="str">
        <x:v>AC-0033</x:v>
      </x:c>
      <x:c r="C138" s="66" t="str">
        <x:v>거래0133</x:v>
      </x:c>
      <x:c r="D138" s="97" t="n">
        <x:v>1430000</x:v>
      </x:c>
      <x:c r="E138" s="85" t="n">
        <x:v>0</x:v>
      </x:c>
    </x:row>
    <x:row r="139">
      <x:c r="A139" s="91" t="n">
        <x:v>46156</x:v>
      </x:c>
      <x:c r="B139" s="66" t="str">
        <x:v>AC-0034</x:v>
      </x:c>
      <x:c r="C139" s="66" t="str">
        <x:v>거래0134</x:v>
      </x:c>
      <x:c r="D139" s="97" t="n">
        <x:v>0</x:v>
      </x:c>
      <x:c r="E139" s="85" t="n">
        <x:v>1300000</x:v>
      </x:c>
    </x:row>
    <x:row r="140">
      <x:c r="A140" s="91" t="n">
        <x:v>46157</x:v>
      </x:c>
      <x:c r="B140" s="66" t="str">
        <x:v>AC-0035</x:v>
      </x:c>
      <x:c r="C140" s="66" t="str">
        <x:v>거래0135</x:v>
      </x:c>
      <x:c r="D140" s="97" t="n">
        <x:v>410000</x:v>
      </x:c>
      <x:c r="E140" s="85" t="n">
        <x:v>0</x:v>
      </x:c>
    </x:row>
    <x:row r="141">
      <x:c r="A141" s="91" t="n">
        <x:v>46158</x:v>
      </x:c>
      <x:c r="B141" s="66" t="str">
        <x:v>AC-0036</x:v>
      </x:c>
      <x:c r="C141" s="66" t="str">
        <x:v>거래0136</x:v>
      </x:c>
      <x:c r="D141" s="97" t="n">
        <x:v>0</x:v>
      </x:c>
      <x:c r="E141" s="85" t="n">
        <x:v>1260000</x:v>
      </x:c>
    </x:row>
    <x:row r="142">
      <x:c r="A142" s="91" t="n">
        <x:v>46159</x:v>
      </x:c>
      <x:c r="B142" s="66" t="str">
        <x:v>AC-0037</x:v>
      </x:c>
      <x:c r="C142" s="66" t="str">
        <x:v>거래0137</x:v>
      </x:c>
      <x:c r="D142" s="97" t="n">
        <x:v>160000</x:v>
      </x:c>
      <x:c r="E142" s="85" t="n">
        <x:v>0</x:v>
      </x:c>
    </x:row>
    <x:row r="143">
      <x:c r="A143" s="91" t="n">
        <x:v>46160</x:v>
      </x:c>
      <x:c r="B143" s="66" t="str">
        <x:v>AC-0038</x:v>
      </x:c>
      <x:c r="C143" s="66" t="str">
        <x:v>거래0138</x:v>
      </x:c>
      <x:c r="D143" s="97" t="n">
        <x:v>0</x:v>
      </x:c>
      <x:c r="E143" s="85" t="n">
        <x:v>380000</x:v>
      </x:c>
    </x:row>
    <x:row r="144">
      <x:c r="A144" s="91" t="n">
        <x:v>46161</x:v>
      </x:c>
      <x:c r="B144" s="66" t="str">
        <x:v>AC-0039</x:v>
      </x:c>
      <x:c r="C144" s="66" t="str">
        <x:v>거래0139</x:v>
      </x:c>
      <x:c r="D144" s="97" t="n">
        <x:v>550000</x:v>
      </x:c>
      <x:c r="E144" s="85" t="n">
        <x:v>0</x:v>
      </x:c>
    </x:row>
    <x:row r="145">
      <x:c r="A145" s="91" t="n">
        <x:v>46162</x:v>
      </x:c>
      <x:c r="B145" s="66" t="str">
        <x:v>AC-0040</x:v>
      </x:c>
      <x:c r="C145" s="66" t="str">
        <x:v>거래0140</x:v>
      </x:c>
      <x:c r="D145" s="97" t="n">
        <x:v>0</x:v>
      </x:c>
      <x:c r="E145" s="85" t="n">
        <x:v>1310000</x:v>
      </x:c>
    </x:row>
    <x:row r="146">
      <x:c r="A146" s="91" t="n">
        <x:v>46163</x:v>
      </x:c>
      <x:c r="B146" s="66" t="str">
        <x:v>AC-0041</x:v>
      </x:c>
      <x:c r="C146" s="66" t="str">
        <x:v>거래0141</x:v>
      </x:c>
      <x:c r="D146" s="97" t="n">
        <x:v>380000</x:v>
      </x:c>
      <x:c r="E146" s="85" t="n">
        <x:v>0</x:v>
      </x:c>
    </x:row>
    <x:row r="147">
      <x:c r="A147" s="91" t="n">
        <x:v>46164</x:v>
      </x:c>
      <x:c r="B147" s="66" t="str">
        <x:v>AC-0042</x:v>
      </x:c>
      <x:c r="C147" s="66" t="str">
        <x:v>거래0142</x:v>
      </x:c>
      <x:c r="D147" s="97" t="n">
        <x:v>2000</x:v>
      </x:c>
      <x:c r="E147" s="85" t="n">
        <x:v>810000</x:v>
      </x:c>
    </x:row>
    <x:row r="148">
      <x:c r="A148" s="91" t="n">
        <x:v>46165</x:v>
      </x:c>
      <x:c r="B148" s="66" t="str">
        <x:v>AC-0043</x:v>
      </x:c>
      <x:c r="C148" s="66" t="str">
        <x:v>거래0143</x:v>
      </x:c>
      <x:c r="D148" s="97" t="n">
        <x:v>160000</x:v>
      </x:c>
      <x:c r="E148" s="85" t="n">
        <x:v>0</x:v>
      </x:c>
    </x:row>
    <x:row r="149">
      <x:c r="A149" s="91" t="n">
        <x:v>46166</x:v>
      </x:c>
      <x:c r="B149" s="66" t="str">
        <x:v>AC-0044</x:v>
      </x:c>
      <x:c r="C149" s="66" t="str">
        <x:v>거래0144</x:v>
      </x:c>
      <x:c r="D149" s="97" t="n">
        <x:v>0</x:v>
      </x:c>
      <x:c r="E149" s="85" t="n">
        <x:v>330000</x:v>
      </x:c>
    </x:row>
    <x:row r="150">
      <x:c r="A150" s="91" t="n">
        <x:v>46167</x:v>
      </x:c>
      <x:c r="B150" s="66" t="str">
        <x:v>AC-0045</x:v>
      </x:c>
      <x:c r="C150" s="66" t="str">
        <x:v>거래0145</x:v>
      </x:c>
      <x:c r="D150" s="97" t="n">
        <x:v>270000</x:v>
      </x:c>
      <x:c r="E150" s="85" t="n">
        <x:v>0</x:v>
      </x:c>
    </x:row>
    <x:row r="151">
      <x:c r="A151" s="91" t="n">
        <x:v>46168</x:v>
      </x:c>
      <x:c r="B151" s="66" t="str">
        <x:v>AC-0046</x:v>
      </x:c>
      <x:c r="C151" s="66" t="str">
        <x:v>거래0146</x:v>
      </x:c>
      <x:c r="D151" s="97" t="n">
        <x:v>0</x:v>
      </x:c>
      <x:c r="E151" s="85" t="n">
        <x:v>710000</x:v>
      </x:c>
    </x:row>
    <x:row r="152">
      <x:c r="A152" s="91" t="n">
        <x:v>46169</x:v>
      </x:c>
      <x:c r="B152" s="66" t="str">
        <x:v>AC-0047</x:v>
      </x:c>
      <x:c r="C152" s="66" t="str">
        <x:v>거래0147</x:v>
      </x:c>
      <x:c r="D152" s="97" t="n">
        <x:v>720000</x:v>
      </x:c>
      <x:c r="E152" s="85" t="n">
        <x:v>0</x:v>
      </x:c>
    </x:row>
    <x:row r="153">
      <x:c r="A153" s="91" t="n">
        <x:v>46170</x:v>
      </x:c>
      <x:c r="B153" s="66" t="str">
        <x:v>AC-0048</x:v>
      </x:c>
      <x:c r="C153" s="66" t="str">
        <x:v>거래0148</x:v>
      </x:c>
      <x:c r="D153" s="97" t="n">
        <x:v>0</x:v>
      </x:c>
      <x:c r="E153" s="85" t="n">
        <x:v>1080000</x:v>
      </x:c>
    </x:row>
    <x:row r="154">
      <x:c r="A154" s="91" t="n">
        <x:v>46171</x:v>
      </x:c>
      <x:c r="B154" s="66" t="str">
        <x:v>AC-0049</x:v>
      </x:c>
      <x:c r="C154" s="66" t="str">
        <x:v>거래0149</x:v>
      </x:c>
      <x:c r="D154" s="97" t="n">
        <x:v>170000</x:v>
      </x:c>
      <x:c r="E154" s="85" t="n">
        <x:v>0</x:v>
      </x:c>
    </x:row>
    <x:row r="155">
      <x:c r="A155" s="91" t="n">
        <x:v>46172</x:v>
      </x:c>
      <x:c r="B155" s="66" t="str">
        <x:v>AC-0050</x:v>
      </x:c>
      <x:c r="C155" s="66" t="str">
        <x:v>거래0150</x:v>
      </x:c>
      <x:c r="D155" s="97" t="n">
        <x:v>0</x:v>
      </x:c>
      <x:c r="E155" s="85" t="n">
        <x:v>900000</x:v>
      </x:c>
    </x:row>
    <x:row r="156">
      <x:c r="A156" s="91" t="n">
        <x:v>46173</x:v>
      </x:c>
      <x:c r="B156" s="66" t="str">
        <x:v>AC-0001</x:v>
      </x:c>
      <x:c r="C156" s="66" t="str">
        <x:v>거래0151</x:v>
      </x:c>
      <x:c r="D156" s="97" t="n">
        <x:v>150000</x:v>
      </x:c>
      <x:c r="E156" s="85" t="n">
        <x:v>0</x:v>
      </x:c>
    </x:row>
    <x:row r="157">
      <x:c r="A157" s="91" t="n">
        <x:v>46174</x:v>
      </x:c>
      <x:c r="B157" s="66" t="str">
        <x:v>AC-0002</x:v>
      </x:c>
      <x:c r="C157" s="66" t="str">
        <x:v>거래0152</x:v>
      </x:c>
      <x:c r="D157" s="97" t="n">
        <x:v>0</x:v>
      </x:c>
      <x:c r="E157" s="85" t="n">
        <x:v>1460000</x:v>
      </x:c>
    </x:row>
    <x:row r="158">
      <x:c r="A158" s="91" t="n">
        <x:v>46175</x:v>
      </x:c>
      <x:c r="B158" s="66" t="str">
        <x:v>AC-0003</x:v>
      </x:c>
      <x:c r="C158" s="66" t="str">
        <x:v>거래0153</x:v>
      </x:c>
      <x:c r="D158" s="97" t="n">
        <x:v>480000</x:v>
      </x:c>
      <x:c r="E158" s="85" t="n">
        <x:v>0</x:v>
      </x:c>
    </x:row>
    <x:row r="159">
      <x:c r="A159" s="91" t="n">
        <x:v>46176</x:v>
      </x:c>
      <x:c r="B159" s="66" t="str">
        <x:v>AC-0004</x:v>
      </x:c>
      <x:c r="C159" s="66" t="str">
        <x:v>거래0154</x:v>
      </x:c>
      <x:c r="D159" s="97" t="n">
        <x:v>0</x:v>
      </x:c>
      <x:c r="E159" s="85" t="n">
        <x:v>370000</x:v>
      </x:c>
    </x:row>
    <x:row r="160">
      <x:c r="A160" s="91" t="n">
        <x:v>46177</x:v>
      </x:c>
      <x:c r="B160" s="66" t="str">
        <x:v>AC-0005</x:v>
      </x:c>
      <x:c r="C160" s="66" t="str">
        <x:v>거래0155</x:v>
      </x:c>
      <x:c r="D160" s="97" t="n">
        <x:v>1440000</x:v>
      </x:c>
      <x:c r="E160" s="85" t="n">
        <x:v>0</x:v>
      </x:c>
    </x:row>
    <x:row r="161">
      <x:c r="A161" s="91" t="n">
        <x:v>46178</x:v>
      </x:c>
      <x:c r="B161" s="66" t="str">
        <x:v>AC-0006</x:v>
      </x:c>
      <x:c r="C161" s="66" t="str">
        <x:v>거래0156</x:v>
      </x:c>
      <x:c r="D161" s="97" t="n">
        <x:v>0</x:v>
      </x:c>
      <x:c r="E161" s="85" t="n">
        <x:v>780000</x:v>
      </x:c>
    </x:row>
    <x:row r="162">
      <x:c r="A162" s="91" t="n">
        <x:v>46179</x:v>
      </x:c>
      <x:c r="B162" s="66" t="str">
        <x:v>AC-0007</x:v>
      </x:c>
      <x:c r="C162" s="66" t="str">
        <x:v>거래0157</x:v>
      </x:c>
      <x:c r="D162" s="97" t="n">
        <x:v>1250000</x:v>
      </x:c>
      <x:c r="E162" s="85" t="n">
        <x:v>0</x:v>
      </x:c>
    </x:row>
    <x:row r="163">
      <x:c r="A163" s="91" t="n">
        <x:v>46180</x:v>
      </x:c>
      <x:c r="B163" s="66" t="str">
        <x:v>AC-0008</x:v>
      </x:c>
      <x:c r="C163" s="66" t="str">
        <x:v>거래0158</x:v>
      </x:c>
      <x:c r="D163" s="97" t="n">
        <x:v>0</x:v>
      </x:c>
      <x:c r="E163" s="85" t="n">
        <x:v>1340000</x:v>
      </x:c>
    </x:row>
    <x:row r="164">
      <x:c r="A164" s="91" t="n">
        <x:v>46181</x:v>
      </x:c>
      <x:c r="B164" s="66" t="str">
        <x:v>AC-0009</x:v>
      </x:c>
      <x:c r="C164" s="66" t="str">
        <x:v>거래0159</x:v>
      </x:c>
      <x:c r="D164" s="97" t="n">
        <x:v>470000</x:v>
      </x:c>
      <x:c r="E164" s="85" t="n">
        <x:v>0</x:v>
      </x:c>
    </x:row>
    <x:row r="165">
      <x:c r="A165" s="91" t="n">
        <x:v>46182</x:v>
      </x:c>
      <x:c r="B165" s="66" t="str">
        <x:v>AC-0010</x:v>
      </x:c>
      <x:c r="C165" s="66" t="str">
        <x:v>거래0160</x:v>
      </x:c>
      <x:c r="D165" s="97" t="n">
        <x:v>0</x:v>
      </x:c>
      <x:c r="E165" s="85" t="n">
        <x:v>750000</x:v>
      </x:c>
    </x:row>
    <x:row r="166">
      <x:c r="A166" s="91" t="n">
        <x:v>46183</x:v>
      </x:c>
      <x:c r="B166" s="66" t="str">
        <x:v>AC-0011</x:v>
      </x:c>
      <x:c r="C166" s="66" t="str">
        <x:v>거래0161</x:v>
      </x:c>
      <x:c r="D166" s="97" t="n">
        <x:v>970000</x:v>
      </x:c>
      <x:c r="E166" s="85" t="n">
        <x:v>0</x:v>
      </x:c>
    </x:row>
    <x:row r="167">
      <x:c r="A167" s="91" t="n">
        <x:v>46184</x:v>
      </x:c>
      <x:c r="B167" s="66" t="str">
        <x:v>AC-0012</x:v>
      </x:c>
      <x:c r="C167" s="66" t="str">
        <x:v>거래0162</x:v>
      </x:c>
      <x:c r="D167" s="97" t="n">
        <x:v>0</x:v>
      </x:c>
      <x:c r="E167" s="85" t="n">
        <x:v>690000</x:v>
      </x:c>
    </x:row>
    <x:row r="168">
      <x:c r="A168" s="91" t="n">
        <x:v>46185</x:v>
      </x:c>
      <x:c r="B168" s="66" t="str">
        <x:v>AC-0013</x:v>
      </x:c>
      <x:c r="C168" s="66" t="str">
        <x:v>거래0163</x:v>
      </x:c>
      <x:c r="D168" s="97" t="n">
        <x:v>1380000</x:v>
      </x:c>
      <x:c r="E168" s="85" t="n">
        <x:v>0</x:v>
      </x:c>
    </x:row>
    <x:row r="169">
      <x:c r="A169" s="91" t="n">
        <x:v>46186</x:v>
      </x:c>
      <x:c r="B169" s="66" t="str">
        <x:v>AC-0014</x:v>
      </x:c>
      <x:c r="C169" s="66" t="str">
        <x:v>거래0164</x:v>
      </x:c>
      <x:c r="D169" s="97" t="n">
        <x:v>0</x:v>
      </x:c>
      <x:c r="E169" s="85" t="n">
        <x:v>1130000</x:v>
      </x:c>
    </x:row>
    <x:row r="170">
      <x:c r="A170" s="91" t="n">
        <x:v>46187</x:v>
      </x:c>
      <x:c r="B170" s="66" t="str">
        <x:v>AC-0015</x:v>
      </x:c>
      <x:c r="C170" s="66" t="str">
        <x:v>거래0165</x:v>
      </x:c>
      <x:c r="D170" s="97" t="n">
        <x:v>1450000</x:v>
      </x:c>
      <x:c r="E170" s="85" t="n">
        <x:v>0</x:v>
      </x:c>
    </x:row>
    <x:row r="171">
      <x:c r="A171" s="91" t="n">
        <x:v>46188</x:v>
      </x:c>
      <x:c r="B171" s="66" t="str">
        <x:v>AC-0016</x:v>
      </x:c>
      <x:c r="C171" s="66" t="str">
        <x:v>거래0166</x:v>
      </x:c>
      <x:c r="D171" s="97" t="n">
        <x:v>0</x:v>
      </x:c>
      <x:c r="E171" s="85" t="n">
        <x:v>670000</x:v>
      </x:c>
    </x:row>
    <x:row r="172">
      <x:c r="A172" s="91" t="n">
        <x:v>46189</x:v>
      </x:c>
      <x:c r="B172" s="66" t="str">
        <x:v>AC-0017</x:v>
      </x:c>
      <x:c r="C172" s="66" t="str">
        <x:v>거래0167</x:v>
      </x:c>
      <x:c r="D172" s="97" t="n">
        <x:v>1290000</x:v>
      </x:c>
      <x:c r="E172" s="85" t="n">
        <x:v>0</x:v>
      </x:c>
    </x:row>
    <x:row r="173">
      <x:c r="A173" s="91" t="n">
        <x:v>46190</x:v>
      </x:c>
      <x:c r="B173" s="66" t="str">
        <x:v>AC-0018</x:v>
      </x:c>
      <x:c r="C173" s="66" t="str">
        <x:v>거래0168</x:v>
      </x:c>
      <x:c r="D173" s="97" t="n">
        <x:v>0</x:v>
      </x:c>
      <x:c r="E173" s="85" t="n">
        <x:v>980000</x:v>
      </x:c>
    </x:row>
    <x:row r="174">
      <x:c r="A174" s="91" t="n">
        <x:v>46191</x:v>
      </x:c>
      <x:c r="B174" s="66" t="str">
        <x:v>AC-0019</x:v>
      </x:c>
      <x:c r="C174" s="66" t="str">
        <x:v>거래0169</x:v>
      </x:c>
      <x:c r="D174" s="97" t="n">
        <x:v>1050000</x:v>
      </x:c>
      <x:c r="E174" s="85" t="n">
        <x:v>0</x:v>
      </x:c>
    </x:row>
    <x:row r="175">
      <x:c r="A175" s="91" t="n">
        <x:v>46192</x:v>
      </x:c>
      <x:c r="B175" s="66" t="str">
        <x:v>AC-0020</x:v>
      </x:c>
      <x:c r="C175" s="66" t="str">
        <x:v>거래0170</x:v>
      </x:c>
      <x:c r="D175" s="97" t="n">
        <x:v>0</x:v>
      </x:c>
      <x:c r="E175" s="85" t="n">
        <x:v>210000</x:v>
      </x:c>
    </x:row>
    <x:row r="176">
      <x:c r="A176" s="91" t="n">
        <x:v>46193</x:v>
      </x:c>
      <x:c r="B176" s="66" t="str">
        <x:v>AC-0021</x:v>
      </x:c>
      <x:c r="C176" s="66" t="str">
        <x:v>거래0171</x:v>
      </x:c>
      <x:c r="D176" s="97" t="n">
        <x:v>130000</x:v>
      </x:c>
      <x:c r="E176" s="85" t="n">
        <x:v>0</x:v>
      </x:c>
    </x:row>
    <x:row r="177">
      <x:c r="A177" s="91" t="n">
        <x:v>46194</x:v>
      </x:c>
      <x:c r="B177" s="66" t="str">
        <x:v>AC-0022</x:v>
      </x:c>
      <x:c r="C177" s="66" t="str">
        <x:v>거래0172</x:v>
      </x:c>
      <x:c r="D177" s="97" t="n">
        <x:v>0</x:v>
      </x:c>
      <x:c r="E177" s="85" t="n">
        <x:v>780000</x:v>
      </x:c>
    </x:row>
    <x:row r="178">
      <x:c r="A178" s="91" t="n">
        <x:v>46195</x:v>
      </x:c>
      <x:c r="B178" s="66" t="str">
        <x:v>AC-0023</x:v>
      </x:c>
      <x:c r="C178" s="66" t="str">
        <x:v>거래0173</x:v>
      </x:c>
      <x:c r="D178" s="97" t="n">
        <x:v>830000</x:v>
      </x:c>
      <x:c r="E178" s="85" t="n">
        <x:v>0</x:v>
      </x:c>
    </x:row>
    <x:row r="179">
      <x:c r="A179" s="91" t="n">
        <x:v>46196</x:v>
      </x:c>
      <x:c r="B179" s="66" t="str">
        <x:v>AC-0024</x:v>
      </x:c>
      <x:c r="C179" s="66" t="str">
        <x:v>거래0174</x:v>
      </x:c>
      <x:c r="D179" s="97" t="n">
        <x:v>0</x:v>
      </x:c>
      <x:c r="E179" s="85" t="n">
        <x:v>1340000</x:v>
      </x:c>
    </x:row>
    <x:row r="180">
      <x:c r="A180" s="91" t="n">
        <x:v>46197</x:v>
      </x:c>
      <x:c r="B180" s="66" t="str">
        <x:v>AC-0025</x:v>
      </x:c>
      <x:c r="C180" s="66" t="str">
        <x:v>거래0175</x:v>
      </x:c>
      <x:c r="D180" s="97" t="n">
        <x:v>490000</x:v>
      </x:c>
      <x:c r="E180" s="85" t="n">
        <x:v>0</x:v>
      </x:c>
    </x:row>
    <x:row r="181">
      <x:c r="A181" s="91" t="n">
        <x:v>46198</x:v>
      </x:c>
      <x:c r="B181" s="66" t="str">
        <x:v>AC-0026</x:v>
      </x:c>
      <x:c r="C181" s="66" t="str">
        <x:v>거래0176</x:v>
      </x:c>
      <x:c r="D181" s="97" t="n">
        <x:v>0</x:v>
      </x:c>
      <x:c r="E181" s="85" t="n">
        <x:v>1160000</x:v>
      </x:c>
    </x:row>
    <x:row r="182">
      <x:c r="A182" s="91" t="n">
        <x:v>46199</x:v>
      </x:c>
      <x:c r="B182" s="66" t="str">
        <x:v>AC-0027</x:v>
      </x:c>
      <x:c r="C182" s="66" t="str">
        <x:v>거래0177</x:v>
      </x:c>
      <x:c r="D182" s="97" t="n">
        <x:v>1410000</x:v>
      </x:c>
      <x:c r="E182" s="85" t="n">
        <x:v>0</x:v>
      </x:c>
    </x:row>
    <x:row r="183">
      <x:c r="A183" s="91" t="n">
        <x:v>46200</x:v>
      </x:c>
      <x:c r="B183" s="66" t="str">
        <x:v>AC-0028</x:v>
      </x:c>
      <x:c r="C183" s="66" t="str">
        <x:v>거래0178</x:v>
      </x:c>
      <x:c r="D183" s="97" t="n">
        <x:v>0</x:v>
      </x:c>
      <x:c r="E183" s="85" t="n">
        <x:v>600000</x:v>
      </x:c>
    </x:row>
    <x:row r="184">
      <x:c r="A184" s="91" t="n">
        <x:v>46201</x:v>
      </x:c>
      <x:c r="B184" s="66" t="str">
        <x:v>AC-0029</x:v>
      </x:c>
      <x:c r="C184" s="66" t="str">
        <x:v>거래0179</x:v>
      </x:c>
      <x:c r="D184" s="97" t="n">
        <x:v>630000</x:v>
      </x:c>
      <x:c r="E184" s="85" t="n">
        <x:v>0</x:v>
      </x:c>
    </x:row>
    <x:row r="185">
      <x:c r="A185" s="91" t="n">
        <x:v>46202</x:v>
      </x:c>
      <x:c r="B185" s="66" t="str">
        <x:v>AC-0030</x:v>
      </x:c>
      <x:c r="C185" s="66" t="str">
        <x:v>거래0180</x:v>
      </x:c>
      <x:c r="D185" s="97" t="n">
        <x:v>0</x:v>
      </x:c>
      <x:c r="E185" s="85" t="n">
        <x:v>750000</x:v>
      </x:c>
    </x:row>
    <x:row r="186">
      <x:c r="A186" s="91" t="n">
        <x:v>46203</x:v>
      </x:c>
      <x:c r="B186" s="66" t="str">
        <x:v>AC-0031</x:v>
      </x:c>
      <x:c r="C186" s="66" t="str">
        <x:v>거래0181</x:v>
      </x:c>
      <x:c r="D186" s="97" t="n">
        <x:v>1290000</x:v>
      </x:c>
      <x:c r="E186" s="85" t="n">
        <x:v>0</x:v>
      </x:c>
    </x:row>
    <x:row r="187">
      <x:c r="A187" s="91" t="n">
        <x:v>46204</x:v>
      </x:c>
      <x:c r="B187" s="66" t="str">
        <x:v>AC-0032</x:v>
      </x:c>
      <x:c r="C187" s="66" t="str">
        <x:v>거래0182</x:v>
      </x:c>
      <x:c r="D187" s="97" t="n">
        <x:v>0</x:v>
      </x:c>
      <x:c r="E187" s="85" t="n">
        <x:v>480000</x:v>
      </x:c>
    </x:row>
    <x:row r="188">
      <x:c r="A188" s="91" t="n">
        <x:v>46205</x:v>
      </x:c>
      <x:c r="B188" s="66" t="str">
        <x:v>AC-0033</x:v>
      </x:c>
      <x:c r="C188" s="66" t="str">
        <x:v>거래0183</x:v>
      </x:c>
      <x:c r="D188" s="97" t="n">
        <x:v>320000</x:v>
      </x:c>
      <x:c r="E188" s="85" t="n">
        <x:v>0</x:v>
      </x:c>
    </x:row>
    <x:row r="189">
      <x:c r="A189" s="91" t="n">
        <x:v>46206</x:v>
      </x:c>
      <x:c r="B189" s="66" t="str">
        <x:v>AC-0034</x:v>
      </x:c>
      <x:c r="C189" s="66" t="str">
        <x:v>거래0184</x:v>
      </x:c>
      <x:c r="D189" s="97" t="n">
        <x:v>0</x:v>
      </x:c>
      <x:c r="E189" s="85" t="n">
        <x:v>1360000</x:v>
      </x:c>
    </x:row>
    <x:row r="190">
      <x:c r="A190" s="91" t="n">
        <x:v>46207</x:v>
      </x:c>
      <x:c r="B190" s="66" t="str">
        <x:v>AC-0035</x:v>
      </x:c>
      <x:c r="C190" s="66" t="str">
        <x:v>거래0185</x:v>
      </x:c>
      <x:c r="D190" s="97" t="n">
        <x:v>940000</x:v>
      </x:c>
      <x:c r="E190" s="85" t="n">
        <x:v>0</x:v>
      </x:c>
    </x:row>
    <x:row r="191">
      <x:c r="A191" s="91" t="n">
        <x:v>46208</x:v>
      </x:c>
      <x:c r="B191" s="66" t="str">
        <x:v>AC-0036</x:v>
      </x:c>
      <x:c r="C191" s="66" t="str">
        <x:v>거래0186</x:v>
      </x:c>
      <x:c r="D191" s="97" t="n">
        <x:v>0</x:v>
      </x:c>
      <x:c r="E191" s="85" t="n">
        <x:v>430000</x:v>
      </x:c>
    </x:row>
    <x:row r="192">
      <x:c r="A192" s="91" t="n">
        <x:v>46209</x:v>
      </x:c>
      <x:c r="B192" s="66" t="str">
        <x:v>AC-0037</x:v>
      </x:c>
      <x:c r="C192" s="66" t="str">
        <x:v>거래0187</x:v>
      </x:c>
      <x:c r="D192" s="97" t="n">
        <x:v>270000</x:v>
      </x:c>
      <x:c r="E192" s="85" t="n">
        <x:v>0</x:v>
      </x:c>
    </x:row>
    <x:row r="193">
      <x:c r="A193" s="91" t="n">
        <x:v>46210</x:v>
      </x:c>
      <x:c r="B193" s="66" t="str">
        <x:v>AC-0038</x:v>
      </x:c>
      <x:c r="C193" s="66" t="str">
        <x:v>거래0188</x:v>
      </x:c>
      <x:c r="D193" s="97" t="n">
        <x:v>0</x:v>
      </x:c>
      <x:c r="E193" s="85" t="n">
        <x:v>760000</x:v>
      </x:c>
    </x:row>
    <x:row r="194">
      <x:c r="A194" s="91" t="n">
        <x:v>46211</x:v>
      </x:c>
      <x:c r="B194" s="66" t="str">
        <x:v>AC-0039</x:v>
      </x:c>
      <x:c r="C194" s="66" t="str">
        <x:v>거래0189</x:v>
      </x:c>
      <x:c r="D194" s="97" t="n">
        <x:v>1412000</x:v>
      </x:c>
      <x:c r="E194" s="85" t="n">
        <x:v>0</x:v>
      </x:c>
    </x:row>
    <x:row r="195">
      <x:c r="A195" s="91" t="n">
        <x:v>46212</x:v>
      </x:c>
      <x:c r="B195" s="66" t="str">
        <x:v>AC-0040</x:v>
      </x:c>
      <x:c r="C195" s="66" t="str">
        <x:v>거래0190</x:v>
      </x:c>
      <x:c r="D195" s="97" t="n">
        <x:v>0</x:v>
      </x:c>
      <x:c r="E195" s="85" t="n">
        <x:v>460000</x:v>
      </x:c>
    </x:row>
    <x:row r="196">
      <x:c r="A196" s="91" t="n">
        <x:v>46213</x:v>
      </x:c>
      <x:c r="B196" s="66" t="str">
        <x:v>AC-0041</x:v>
      </x:c>
      <x:c r="C196" s="66" t="str">
        <x:v>거래0191</x:v>
      </x:c>
      <x:c r="D196" s="97" t="n">
        <x:v>650000</x:v>
      </x:c>
      <x:c r="E196" s="85" t="n">
        <x:v>0</x:v>
      </x:c>
    </x:row>
    <x:row r="197">
      <x:c r="A197" s="91" t="n">
        <x:v>46214</x:v>
      </x:c>
      <x:c r="B197" s="66" t="str">
        <x:v>AC-0042</x:v>
      </x:c>
      <x:c r="C197" s="66" t="str">
        <x:v>거래0192</x:v>
      </x:c>
      <x:c r="D197" s="97" t="n">
        <x:v>0</x:v>
      </x:c>
      <x:c r="E197" s="85" t="n">
        <x:v>930000</x:v>
      </x:c>
    </x:row>
    <x:row r="198">
      <x:c r="A198" s="91" t="n">
        <x:v>46215</x:v>
      </x:c>
      <x:c r="B198" s="66" t="str">
        <x:v>AC-0043</x:v>
      </x:c>
      <x:c r="C198" s="66" t="str">
        <x:v>거래0193</x:v>
      </x:c>
      <x:c r="D198" s="97" t="n">
        <x:v>120000</x:v>
      </x:c>
      <x:c r="E198" s="85" t="n">
        <x:v>0</x:v>
      </x:c>
    </x:row>
    <x:row r="199">
      <x:c r="A199" s="91" t="n">
        <x:v>46216</x:v>
      </x:c>
      <x:c r="B199" s="66" t="str">
        <x:v>AC-0044</x:v>
      </x:c>
      <x:c r="C199" s="66" t="str">
        <x:v>거래0194</x:v>
      </x:c>
      <x:c r="D199" s="97" t="n">
        <x:v>0</x:v>
      </x:c>
      <x:c r="E199" s="85" t="n">
        <x:v>920000</x:v>
      </x:c>
    </x:row>
    <x:row r="200">
      <x:c r="A200" s="91" t="n">
        <x:v>46217</x:v>
      </x:c>
      <x:c r="B200" s="66" t="str">
        <x:v>AC-0045</x:v>
      </x:c>
      <x:c r="C200" s="66" t="str">
        <x:v>거래0195</x:v>
      </x:c>
      <x:c r="D200" s="97" t="n">
        <x:v>410000</x:v>
      </x:c>
      <x:c r="E200" s="85" t="n">
        <x:v>0</x:v>
      </x:c>
    </x:row>
    <x:row r="201">
      <x:c r="A201" s="91" t="n">
        <x:v>46218</x:v>
      </x:c>
      <x:c r="B201" s="66" t="str">
        <x:v>AC-0046</x:v>
      </x:c>
      <x:c r="C201" s="66" t="str">
        <x:v>거래0196</x:v>
      </x:c>
      <x:c r="D201" s="97" t="n">
        <x:v>0</x:v>
      </x:c>
      <x:c r="E201" s="85" t="n">
        <x:v>1210000</x:v>
      </x:c>
    </x:row>
    <x:row r="202">
      <x:c r="A202" s="91" t="n">
        <x:v>46219</x:v>
      </x:c>
      <x:c r="B202" s="66" t="str">
        <x:v>AC-0047</x:v>
      </x:c>
      <x:c r="C202" s="66" t="str">
        <x:v>거래0197</x:v>
      </x:c>
      <x:c r="D202" s="97" t="n">
        <x:v>180000</x:v>
      </x:c>
      <x:c r="E202" s="85" t="n">
        <x:v>0</x:v>
      </x:c>
    </x:row>
    <x:row r="203">
      <x:c r="A203" s="91" t="n">
        <x:v>46220</x:v>
      </x:c>
      <x:c r="B203" s="66" t="str">
        <x:v>AC-0048</x:v>
      </x:c>
      <x:c r="C203" s="66" t="str">
        <x:v>거래0198</x:v>
      </x:c>
      <x:c r="D203" s="97" t="n">
        <x:v>0</x:v>
      </x:c>
      <x:c r="E203" s="85" t="n">
        <x:v>130000</x:v>
      </x:c>
    </x:row>
    <x:row r="204">
      <x:c r="A204" s="91" t="n">
        <x:v>46221</x:v>
      </x:c>
      <x:c r="B204" s="66" t="str">
        <x:v>AC-0049</x:v>
      </x:c>
      <x:c r="C204" s="66" t="str">
        <x:v>거래0199</x:v>
      </x:c>
      <x:c r="D204" s="97" t="n">
        <x:v>210000</x:v>
      </x:c>
      <x:c r="E204" s="85" t="n">
        <x:v>0</x:v>
      </x:c>
    </x:row>
    <x:row r="205">
      <x:c r="A205" s="91" t="n">
        <x:v>46222</x:v>
      </x:c>
      <x:c r="B205" s="66" t="str">
        <x:v>AC-0050</x:v>
      </x:c>
      <x:c r="C205" s="66" t="str">
        <x:v>거래0200</x:v>
      </x:c>
      <x:c r="D205" s="97" t="n">
        <x:v>0</x:v>
      </x:c>
      <x:c r="E205" s="85" t="n">
        <x:v>870000</x:v>
      </x:c>
    </x:row>
    <x:row r="206">
      <x:c r="A206" s="91" t="n">
        <x:v>46223</x:v>
      </x:c>
      <x:c r="B206" s="66" t="str">
        <x:v>AC-0001</x:v>
      </x:c>
      <x:c r="C206" s="66" t="str">
        <x:v>거래0201</x:v>
      </x:c>
      <x:c r="D206" s="97" t="n">
        <x:v>250000</x:v>
      </x:c>
      <x:c r="E206" s="85" t="n">
        <x:v>0</x:v>
      </x:c>
    </x:row>
    <x:row r="207">
      <x:c r="A207" s="91" t="n">
        <x:v>46224</x:v>
      </x:c>
      <x:c r="B207" s="66" t="str">
        <x:v>AC-0002</x:v>
      </x:c>
      <x:c r="C207" s="66" t="str">
        <x:v>거래0202</x:v>
      </x:c>
      <x:c r="D207" s="97" t="n">
        <x:v>0</x:v>
      </x:c>
      <x:c r="E207" s="85" t="n">
        <x:v>900000</x:v>
      </x:c>
    </x:row>
    <x:row r="208">
      <x:c r="A208" s="91" t="n">
        <x:v>46225</x:v>
      </x:c>
      <x:c r="B208" s="66" t="str">
        <x:v>AC-0003</x:v>
      </x:c>
      <x:c r="C208" s="66" t="str">
        <x:v>거래0203</x:v>
      </x:c>
      <x:c r="D208" s="97" t="n">
        <x:v>620000</x:v>
      </x:c>
      <x:c r="E208" s="85" t="n">
        <x:v>0</x:v>
      </x:c>
    </x:row>
    <x:row r="209">
      <x:c r="A209" s="91" t="n">
        <x:v>46226</x:v>
      </x:c>
      <x:c r="B209" s="66" t="str">
        <x:v>AC-0004</x:v>
      </x:c>
      <x:c r="C209" s="66" t="str">
        <x:v>거래0204</x:v>
      </x:c>
      <x:c r="D209" s="97" t="n">
        <x:v>0</x:v>
      </x:c>
      <x:c r="E209" s="85" t="n">
        <x:v>210000</x:v>
      </x:c>
    </x:row>
    <x:row r="210">
      <x:c r="A210" s="91" t="n">
        <x:v>46227</x:v>
      </x:c>
      <x:c r="B210" s="66" t="str">
        <x:v>AC-0005</x:v>
      </x:c>
      <x:c r="C210" s="66" t="str">
        <x:v>거래0205</x:v>
      </x:c>
      <x:c r="D210" s="97" t="n">
        <x:v>790000</x:v>
      </x:c>
      <x:c r="E210" s="85" t="n">
        <x:v>0</x:v>
      </x:c>
    </x:row>
    <x:row r="211">
      <x:c r="A211" s="91" t="n">
        <x:v>46228</x:v>
      </x:c>
      <x:c r="B211" s="66" t="str">
        <x:v>AC-0006</x:v>
      </x:c>
      <x:c r="C211" s="66" t="str">
        <x:v>거래0206</x:v>
      </x:c>
      <x:c r="D211" s="97" t="n">
        <x:v>0</x:v>
      </x:c>
      <x:c r="E211" s="85" t="n">
        <x:v>500000</x:v>
      </x:c>
    </x:row>
    <x:row r="212">
      <x:c r="A212" s="91" t="n">
        <x:v>46229</x:v>
      </x:c>
      <x:c r="B212" s="66" t="str">
        <x:v>AC-0007</x:v>
      </x:c>
      <x:c r="C212" s="66" t="str">
        <x:v>거래0207</x:v>
      </x:c>
      <x:c r="D212" s="97" t="n">
        <x:v>1430000</x:v>
      </x:c>
      <x:c r="E212" s="85" t="n">
        <x:v>0</x:v>
      </x:c>
    </x:row>
    <x:row r="213">
      <x:c r="A213" s="91" t="n">
        <x:v>46230</x:v>
      </x:c>
      <x:c r="B213" s="66" t="str">
        <x:v>AC-0008</x:v>
      </x:c>
      <x:c r="C213" s="66" t="str">
        <x:v>거래0208</x:v>
      </x:c>
      <x:c r="D213" s="97" t="n">
        <x:v>0</x:v>
      </x:c>
      <x:c r="E213" s="85" t="n">
        <x:v>610000</x:v>
      </x:c>
    </x:row>
    <x:row r="214">
      <x:c r="A214" s="91" t="n">
        <x:v>46231</x:v>
      </x:c>
      <x:c r="B214" s="66" t="str">
        <x:v>AC-0009</x:v>
      </x:c>
      <x:c r="C214" s="66" t="str">
        <x:v>거래0209</x:v>
      </x:c>
      <x:c r="D214" s="97" t="n">
        <x:v>950000</x:v>
      </x:c>
      <x:c r="E214" s="85" t="n">
        <x:v>0</x:v>
      </x:c>
    </x:row>
    <x:row r="215">
      <x:c r="A215" s="91" t="n">
        <x:v>46232</x:v>
      </x:c>
      <x:c r="B215" s="66" t="str">
        <x:v>AC-0010</x:v>
      </x:c>
      <x:c r="C215" s="66" t="str">
        <x:v>거래0210</x:v>
      </x:c>
      <x:c r="D215" s="97" t="n">
        <x:v>0</x:v>
      </x:c>
      <x:c r="E215" s="85" t="n">
        <x:v>1160000</x:v>
      </x:c>
    </x:row>
    <x:row r="216">
      <x:c r="A216" s="91" t="n">
        <x:v>46233</x:v>
      </x:c>
      <x:c r="B216" s="66" t="str">
        <x:v>AC-0011</x:v>
      </x:c>
      <x:c r="C216" s="66" t="str">
        <x:v>거래0211</x:v>
      </x:c>
      <x:c r="D216" s="97" t="n">
        <x:v>1070000</x:v>
      </x:c>
      <x:c r="E216" s="85" t="n">
        <x:v>0</x:v>
      </x:c>
    </x:row>
    <x:row r="217">
      <x:c r="A217" s="91" t="n">
        <x:v>46234</x:v>
      </x:c>
      <x:c r="B217" s="66" t="str">
        <x:v>AC-0012</x:v>
      </x:c>
      <x:c r="C217" s="66" t="str">
        <x:v>거래0212</x:v>
      </x:c>
      <x:c r="D217" s="97" t="n">
        <x:v>0</x:v>
      </x:c>
      <x:c r="E217" s="85" t="n">
        <x:v>370000</x:v>
      </x:c>
    </x:row>
    <x:row r="218">
      <x:c r="A218" s="91" t="n">
        <x:v>46235</x:v>
      </x:c>
      <x:c r="B218" s="66" t="str">
        <x:v>AC-0013</x:v>
      </x:c>
      <x:c r="C218" s="66" t="str">
        <x:v>거래0213</x:v>
      </x:c>
      <x:c r="D218" s="97" t="n">
        <x:v>150000</x:v>
      </x:c>
      <x:c r="E218" s="85" t="n">
        <x:v>0</x:v>
      </x:c>
    </x:row>
    <x:row r="219">
      <x:c r="A219" s="91" t="n">
        <x:v>46236</x:v>
      </x:c>
      <x:c r="B219" s="66" t="str">
        <x:v>AC-0014</x:v>
      </x:c>
      <x:c r="C219" s="66" t="str">
        <x:v>거래0214</x:v>
      </x:c>
      <x:c r="D219" s="97" t="n">
        <x:v>0</x:v>
      </x:c>
      <x:c r="E219" s="85" t="n">
        <x:v>1010000</x:v>
      </x:c>
    </x:row>
    <x:row r="220">
      <x:c r="A220" s="91" t="n">
        <x:v>46237</x:v>
      </x:c>
      <x:c r="B220" s="66" t="str">
        <x:v>AC-0015</x:v>
      </x:c>
      <x:c r="C220" s="66" t="str">
        <x:v>거래0215</x:v>
      </x:c>
      <x:c r="D220" s="97" t="n">
        <x:v>1040000</x:v>
      </x:c>
      <x:c r="E220" s="85" t="n">
        <x:v>0</x:v>
      </x:c>
    </x:row>
    <x:row r="221">
      <x:c r="A221" s="91" t="n">
        <x:v>46238</x:v>
      </x:c>
      <x:c r="B221" s="66" t="str">
        <x:v>AC-0016</x:v>
      </x:c>
      <x:c r="C221" s="66" t="str">
        <x:v>거래0216</x:v>
      </x:c>
      <x:c r="D221" s="97" t="n">
        <x:v>0</x:v>
      </x:c>
      <x:c r="E221" s="85" t="n">
        <x:v>790000</x:v>
      </x:c>
    </x:row>
    <x:row r="222">
      <x:c r="A222" s="91" t="n">
        <x:v>46239</x:v>
      </x:c>
      <x:c r="B222" s="66" t="str">
        <x:v>AC-0017</x:v>
      </x:c>
      <x:c r="C222" s="66" t="str">
        <x:v>거래0217</x:v>
      </x:c>
      <x:c r="D222" s="97" t="n">
        <x:v>240000</x:v>
      </x:c>
      <x:c r="E222" s="85" t="n">
        <x:v>0</x:v>
      </x:c>
    </x:row>
    <x:row r="223">
      <x:c r="A223" s="91" t="n">
        <x:v>46240</x:v>
      </x:c>
      <x:c r="B223" s="66" t="str">
        <x:v>AC-0018</x:v>
      </x:c>
      <x:c r="C223" s="66" t="str">
        <x:v>거래0218</x:v>
      </x:c>
      <x:c r="D223" s="97" t="n">
        <x:v>0</x:v>
      </x:c>
      <x:c r="E223" s="85" t="n">
        <x:v>130000</x:v>
      </x:c>
    </x:row>
    <x:row r="224">
      <x:c r="A224" s="91" t="n">
        <x:v>46241</x:v>
      </x:c>
      <x:c r="B224" s="66" t="str">
        <x:v>AC-0019</x:v>
      </x:c>
      <x:c r="C224" s="66" t="str">
        <x:v>거래0219</x:v>
      </x:c>
      <x:c r="D224" s="97" t="n">
        <x:v>600000</x:v>
      </x:c>
      <x:c r="E224" s="85" t="n">
        <x:v>0</x:v>
      </x:c>
    </x:row>
    <x:row r="225">
      <x:c r="A225" s="91" t="n">
        <x:v>46242</x:v>
      </x:c>
      <x:c r="B225" s="66" t="str">
        <x:v>AC-0020</x:v>
      </x:c>
      <x:c r="C225" s="66" t="str">
        <x:v>거래0220</x:v>
      </x:c>
      <x:c r="D225" s="97" t="n">
        <x:v>0</x:v>
      </x:c>
      <x:c r="E225" s="85" t="n">
        <x:v>520000</x:v>
      </x:c>
    </x:row>
    <x:row r="226">
      <x:c r="A226" s="91" t="n">
        <x:v>46243</x:v>
      </x:c>
      <x:c r="B226" s="66" t="str">
        <x:v>AC-0021</x:v>
      </x:c>
      <x:c r="C226" s="66" t="str">
        <x:v>거래0221</x:v>
      </x:c>
      <x:c r="D226" s="97" t="n">
        <x:v>940000</x:v>
      </x:c>
      <x:c r="E226" s="85" t="n">
        <x:v>0</x:v>
      </x:c>
    </x:row>
    <x:row r="227">
      <x:c r="A227" s="91" t="n">
        <x:v>46244</x:v>
      </x:c>
      <x:c r="B227" s="66" t="str">
        <x:v>AC-0022</x:v>
      </x:c>
      <x:c r="C227" s="66" t="str">
        <x:v>거래0222</x:v>
      </x:c>
      <x:c r="D227" s="97" t="n">
        <x:v>0</x:v>
      </x:c>
      <x:c r="E227" s="85" t="n">
        <x:v>1380000</x:v>
      </x:c>
    </x:row>
    <x:row r="228">
      <x:c r="A228" s="91" t="n">
        <x:v>46245</x:v>
      </x:c>
      <x:c r="B228" s="66" t="str">
        <x:v>AC-0023</x:v>
      </x:c>
      <x:c r="C228" s="66" t="str">
        <x:v>거래0223</x:v>
      </x:c>
      <x:c r="D228" s="97" t="n">
        <x:v>220000</x:v>
      </x:c>
      <x:c r="E228" s="85" t="n">
        <x:v>0</x:v>
      </x:c>
    </x:row>
    <x:row r="229">
      <x:c r="A229" s="91" t="n">
        <x:v>46246</x:v>
      </x:c>
      <x:c r="B229" s="66" t="str">
        <x:v>AC-0024</x:v>
      </x:c>
      <x:c r="C229" s="66" t="str">
        <x:v>거래0224</x:v>
      </x:c>
      <x:c r="D229" s="97" t="n">
        <x:v>0</x:v>
      </x:c>
      <x:c r="E229" s="85" t="n">
        <x:v>580000</x:v>
      </x:c>
    </x:row>
    <x:row r="230">
      <x:c r="A230" s="91" t="n">
        <x:v>46247</x:v>
      </x:c>
      <x:c r="B230" s="66" t="str">
        <x:v>AC-0025</x:v>
      </x:c>
      <x:c r="C230" s="66" t="str">
        <x:v>거래0225</x:v>
      </x:c>
      <x:c r="D230" s="97" t="n">
        <x:v>1400000</x:v>
      </x:c>
      <x:c r="E230" s="85" t="n">
        <x:v>0</x:v>
      </x:c>
    </x:row>
    <x:row r="231">
      <x:c r="A231" s="91" t="n">
        <x:v>46248</x:v>
      </x:c>
      <x:c r="B231" s="66" t="str">
        <x:v>AC-0026</x:v>
      </x:c>
      <x:c r="C231" s="66" t="str">
        <x:v>거래0226</x:v>
      </x:c>
      <x:c r="D231" s="97" t="n">
        <x:v>0</x:v>
      </x:c>
      <x:c r="E231" s="85" t="n">
        <x:v>970000</x:v>
      </x:c>
    </x:row>
    <x:row r="232">
      <x:c r="A232" s="91" t="n">
        <x:v>46249</x:v>
      </x:c>
      <x:c r="B232" s="66" t="str">
        <x:v>AC-0027</x:v>
      </x:c>
      <x:c r="C232" s="66" t="str">
        <x:v>거래0227</x:v>
      </x:c>
      <x:c r="D232" s="97" t="n">
        <x:v>240000</x:v>
      </x:c>
      <x:c r="E232" s="85" t="n">
        <x:v>0</x:v>
      </x:c>
    </x:row>
    <x:row r="233">
      <x:c r="A233" s="91" t="n">
        <x:v>46250</x:v>
      </x:c>
      <x:c r="B233" s="66" t="str">
        <x:v>AC-0028</x:v>
      </x:c>
      <x:c r="C233" s="66" t="str">
        <x:v>거래0228</x:v>
      </x:c>
      <x:c r="D233" s="97" t="n">
        <x:v>0</x:v>
      </x:c>
      <x:c r="E233" s="85" t="n">
        <x:v>370000</x:v>
      </x:c>
    </x:row>
    <x:row r="234">
      <x:c r="A234" s="91" t="n">
        <x:v>46251</x:v>
      </x:c>
      <x:c r="B234" s="66" t="str">
        <x:v>AC-0029</x:v>
      </x:c>
      <x:c r="C234" s="66" t="str">
        <x:v>거래0229</x:v>
      </x:c>
      <x:c r="D234" s="97" t="n">
        <x:v>150000</x:v>
      </x:c>
      <x:c r="E234" s="85" t="n">
        <x:v>0</x:v>
      </x:c>
    </x:row>
    <x:row r="235">
      <x:c r="A235" s="91" t="n">
        <x:v>46252</x:v>
      </x:c>
      <x:c r="B235" s="66" t="str">
        <x:v>AC-0030</x:v>
      </x:c>
      <x:c r="C235" s="66" t="str">
        <x:v>거래0230</x:v>
      </x:c>
      <x:c r="D235" s="97" t="n">
        <x:v>0</x:v>
      </x:c>
      <x:c r="E235" s="85" t="n">
        <x:v>840000</x:v>
      </x:c>
    </x:row>
    <x:row r="236">
      <x:c r="A236" s="91" t="n">
        <x:v>46253</x:v>
      </x:c>
      <x:c r="B236" s="66" t="str">
        <x:v>AC-0031</x:v>
      </x:c>
      <x:c r="C236" s="66" t="str">
        <x:v>거래0231</x:v>
      </x:c>
      <x:c r="D236" s="97" t="n">
        <x:v>460000</x:v>
      </x:c>
      <x:c r="E236" s="85" t="n">
        <x:v>0</x:v>
      </x:c>
    </x:row>
    <x:row r="237">
      <x:c r="A237" s="91" t="n">
        <x:v>46254</x:v>
      </x:c>
      <x:c r="B237" s="66" t="str">
        <x:v>AC-0032</x:v>
      </x:c>
      <x:c r="C237" s="66" t="str">
        <x:v>거래0232</x:v>
      </x:c>
      <x:c r="D237" s="97" t="n">
        <x:v>0</x:v>
      </x:c>
      <x:c r="E237" s="85" t="n">
        <x:v>1320000</x:v>
      </x:c>
    </x:row>
    <x:row r="238">
      <x:c r="A238" s="91" t="n">
        <x:v>46255</x:v>
      </x:c>
      <x:c r="B238" s="66" t="str">
        <x:v>AC-0033</x:v>
      </x:c>
      <x:c r="C238" s="66" t="str">
        <x:v>거래0233</x:v>
      </x:c>
      <x:c r="D238" s="97" t="n">
        <x:v>160000</x:v>
      </x:c>
      <x:c r="E238" s="85" t="n">
        <x:v>0</x:v>
      </x:c>
    </x:row>
    <x:row r="239">
      <x:c r="A239" s="91" t="n">
        <x:v>46256</x:v>
      </x:c>
      <x:c r="B239" s="66" t="str">
        <x:v>AC-0034</x:v>
      </x:c>
      <x:c r="C239" s="66" t="str">
        <x:v>거래0234</x:v>
      </x:c>
      <x:c r="D239" s="97" t="n">
        <x:v>0</x:v>
      </x:c>
      <x:c r="E239" s="85" t="n">
        <x:v>1490000</x:v>
      </x:c>
    </x:row>
    <x:row r="240">
      <x:c r="A240" s="91" t="n">
        <x:v>46257</x:v>
      </x:c>
      <x:c r="B240" s="66" t="str">
        <x:v>AC-0035</x:v>
      </x:c>
      <x:c r="C240" s="66" t="str">
        <x:v>거래0235</x:v>
      </x:c>
      <x:c r="D240" s="97" t="n">
        <x:v>280000</x:v>
      </x:c>
      <x:c r="E240" s="85" t="n">
        <x:v>0</x:v>
      </x:c>
    </x:row>
    <x:row r="241">
      <x:c r="A241" s="91" t="n">
        <x:v>46258</x:v>
      </x:c>
      <x:c r="B241" s="66" t="str">
        <x:v>AC-0036</x:v>
      </x:c>
      <x:c r="C241" s="66" t="str">
        <x:v>거래0236</x:v>
      </x:c>
      <x:c r="D241" s="97" t="n">
        <x:v>2000</x:v>
      </x:c>
      <x:c r="E241" s="85" t="n">
        <x:v>830000</x:v>
      </x:c>
    </x:row>
    <x:row r="242">
      <x:c r="A242" s="91" t="n">
        <x:v>46259</x:v>
      </x:c>
      <x:c r="B242" s="66" t="str">
        <x:v>AC-0037</x:v>
      </x:c>
      <x:c r="C242" s="66" t="str">
        <x:v>거래0237</x:v>
      </x:c>
      <x:c r="D242" s="97" t="n">
        <x:v>1290000</x:v>
      </x:c>
      <x:c r="E242" s="85" t="n">
        <x:v>0</x:v>
      </x:c>
    </x:row>
    <x:row r="243">
      <x:c r="A243" s="91" t="n">
        <x:v>46260</x:v>
      </x:c>
      <x:c r="B243" s="66" t="str">
        <x:v>AC-0038</x:v>
      </x:c>
      <x:c r="C243" s="66" t="str">
        <x:v>거래0238</x:v>
      </x:c>
      <x:c r="D243" s="97" t="n">
        <x:v>0</x:v>
      </x:c>
      <x:c r="E243" s="85" t="n">
        <x:v>910000</x:v>
      </x:c>
    </x:row>
    <x:row r="244">
      <x:c r="A244" s="91" t="n">
        <x:v>46261</x:v>
      </x:c>
      <x:c r="B244" s="66" t="str">
        <x:v>AC-0039</x:v>
      </x:c>
      <x:c r="C244" s="66" t="str">
        <x:v>거래0239</x:v>
      </x:c>
      <x:c r="D244" s="97" t="n">
        <x:v>1450000</x:v>
      </x:c>
      <x:c r="E244" s="85" t="n">
        <x:v>0</x:v>
      </x:c>
    </x:row>
    <x:row r="245">
      <x:c r="A245" s="91" t="n">
        <x:v>46262</x:v>
      </x:c>
      <x:c r="B245" s="66" t="str">
        <x:v>AC-0040</x:v>
      </x:c>
      <x:c r="C245" s="66" t="str">
        <x:v>거래0240</x:v>
      </x:c>
      <x:c r="D245" s="97" t="n">
        <x:v>0</x:v>
      </x:c>
      <x:c r="E245" s="85" t="n">
        <x:v>1010000</x:v>
      </x:c>
    </x:row>
    <x:row r="246">
      <x:c r="A246" s="91" t="n">
        <x:v>46023</x:v>
      </x:c>
      <x:c r="B246" s="66" t="str">
        <x:v>AC-0041</x:v>
      </x:c>
      <x:c r="C246" s="66" t="str">
        <x:v>거래0241</x:v>
      </x:c>
      <x:c r="D246" s="97" t="n">
        <x:v>300000</x:v>
      </x:c>
      <x:c r="E246" s="85" t="n">
        <x:v>0</x:v>
      </x:c>
    </x:row>
    <x:row r="247">
      <x:c r="A247" s="91" t="n">
        <x:v>46024</x:v>
      </x:c>
      <x:c r="B247" s="66" t="str">
        <x:v>AC-0042</x:v>
      </x:c>
      <x:c r="C247" s="66" t="str">
        <x:v>거래0242</x:v>
      </x:c>
      <x:c r="D247" s="97" t="n">
        <x:v>0</x:v>
      </x:c>
      <x:c r="E247" s="85" t="n">
        <x:v>340000</x:v>
      </x:c>
    </x:row>
    <x:row r="248">
      <x:c r="A248" s="91" t="n">
        <x:v>46025</x:v>
      </x:c>
      <x:c r="B248" s="66" t="str">
        <x:v>AC-0043</x:v>
      </x:c>
      <x:c r="C248" s="66" t="str">
        <x:v>거래0243</x:v>
      </x:c>
      <x:c r="D248" s="97" t="n">
        <x:v>300000</x:v>
      </x:c>
      <x:c r="E248" s="85" t="n">
        <x:v>0</x:v>
      </x:c>
    </x:row>
    <x:row r="249">
      <x:c r="A249" s="91" t="n">
        <x:v>46026</x:v>
      </x:c>
      <x:c r="B249" s="66" t="str">
        <x:v>AC-0044</x:v>
      </x:c>
      <x:c r="C249" s="66" t="str">
        <x:v>거래0244</x:v>
      </x:c>
      <x:c r="D249" s="97" t="n">
        <x:v>0</x:v>
      </x:c>
      <x:c r="E249" s="85" t="n">
        <x:v>470000</x:v>
      </x:c>
    </x:row>
    <x:row r="250">
      <x:c r="A250" s="91" t="n">
        <x:v>46027</x:v>
      </x:c>
      <x:c r="B250" s="66" t="str">
        <x:v>AC-0045</x:v>
      </x:c>
      <x:c r="C250" s="66" t="str">
        <x:v>거래0245</x:v>
      </x:c>
      <x:c r="D250" s="97" t="n">
        <x:v>170000</x:v>
      </x:c>
      <x:c r="E250" s="85" t="n">
        <x:v>0</x:v>
      </x:c>
    </x:row>
    <x:row r="251">
      <x:c r="A251" s="91" t="n">
        <x:v>46028</x:v>
      </x:c>
      <x:c r="B251" s="66" t="str">
        <x:v>AC-0046</x:v>
      </x:c>
      <x:c r="C251" s="66" t="str">
        <x:v>거래0246</x:v>
      </x:c>
      <x:c r="D251" s="97" t="n">
        <x:v>0</x:v>
      </x:c>
      <x:c r="E251" s="85" t="n">
        <x:v>290000</x:v>
      </x:c>
    </x:row>
    <x:row r="252">
      <x:c r="A252" s="91" t="n">
        <x:v>46029</x:v>
      </x:c>
      <x:c r="B252" s="66" t="str">
        <x:v>AC-0047</x:v>
      </x:c>
      <x:c r="C252" s="66" t="str">
        <x:v>거래0247</x:v>
      </x:c>
      <x:c r="D252" s="97" t="n">
        <x:v>470000</x:v>
      </x:c>
      <x:c r="E252" s="85" t="n">
        <x:v>0</x:v>
      </x:c>
    </x:row>
    <x:row r="253">
      <x:c r="A253" s="91" t="n">
        <x:v>46030</x:v>
      </x:c>
      <x:c r="B253" s="66" t="str">
        <x:v>AC-0048</x:v>
      </x:c>
      <x:c r="C253" s="66" t="str">
        <x:v>거래0248</x:v>
      </x:c>
      <x:c r="D253" s="97" t="n">
        <x:v>0</x:v>
      </x:c>
      <x:c r="E253" s="85" t="n">
        <x:v>370000</x:v>
      </x:c>
    </x:row>
    <x:row r="254">
      <x:c r="A254" s="91" t="n">
        <x:v>46031</x:v>
      </x:c>
      <x:c r="B254" s="66" t="str">
        <x:v>AC-0049</x:v>
      </x:c>
      <x:c r="C254" s="66" t="str">
        <x:v>거래0249</x:v>
      </x:c>
      <x:c r="D254" s="97" t="n">
        <x:v>1430000</x:v>
      </x:c>
      <x:c r="E254" s="85" t="n">
        <x:v>0</x:v>
      </x:c>
    </x:row>
    <x:row r="255">
      <x:c r="A255" s="91" t="n">
        <x:v>46032</x:v>
      </x:c>
      <x:c r="B255" s="66" t="str">
        <x:v>AC-0050</x:v>
      </x:c>
      <x:c r="C255" s="66" t="str">
        <x:v>거래0250</x:v>
      </x:c>
      <x:c r="D255" s="97" t="n">
        <x:v>0</x:v>
      </x:c>
      <x:c r="E255" s="85" t="n">
        <x:v>780000</x:v>
      </x:c>
    </x:row>
    <x:row r="256">
      <x:c r="A256" s="91" t="n">
        <x:v>46033</x:v>
      </x:c>
      <x:c r="B256" s="66" t="str">
        <x:v>AC-0001</x:v>
      </x:c>
      <x:c r="C256" s="66" t="str">
        <x:v>거래0251</x:v>
      </x:c>
      <x:c r="D256" s="97" t="n">
        <x:v>720000</x:v>
      </x:c>
      <x:c r="E256" s="85" t="n">
        <x:v>0</x:v>
      </x:c>
    </x:row>
    <x:row r="257">
      <x:c r="A257" s="91" t="n">
        <x:v>46034</x:v>
      </x:c>
      <x:c r="B257" s="66" t="str">
        <x:v>AC-0002</x:v>
      </x:c>
      <x:c r="C257" s="66" t="str">
        <x:v>거래0252</x:v>
      </x:c>
      <x:c r="D257" s="97" t="n">
        <x:v>0</x:v>
      </x:c>
      <x:c r="E257" s="85" t="n">
        <x:v>130000</x:v>
      </x:c>
    </x:row>
    <x:row r="258">
      <x:c r="A258" s="91" t="n">
        <x:v>46035</x:v>
      </x:c>
      <x:c r="B258" s="66" t="str">
        <x:v>AC-0003</x:v>
      </x:c>
      <x:c r="C258" s="66" t="str">
        <x:v>거래0253</x:v>
      </x:c>
      <x:c r="D258" s="97" t="n">
        <x:v>1030000</x:v>
      </x:c>
      <x:c r="E258" s="85" t="n">
        <x:v>0</x:v>
      </x:c>
    </x:row>
    <x:row r="259">
      <x:c r="A259" s="91" t="n">
        <x:v>46036</x:v>
      </x:c>
      <x:c r="B259" s="66" t="str">
        <x:v>AC-0004</x:v>
      </x:c>
      <x:c r="C259" s="66" t="str">
        <x:v>거래0254</x:v>
      </x:c>
      <x:c r="D259" s="97" t="n">
        <x:v>0</x:v>
      </x:c>
      <x:c r="E259" s="85" t="n">
        <x:v>1070000</x:v>
      </x:c>
    </x:row>
    <x:row r="260">
      <x:c r="A260" s="91" t="n">
        <x:v>46037</x:v>
      </x:c>
      <x:c r="B260" s="66" t="str">
        <x:v>AC-0005</x:v>
      </x:c>
      <x:c r="C260" s="66" t="str">
        <x:v>거래0255</x:v>
      </x:c>
      <x:c r="D260" s="97" t="n">
        <x:v>150000</x:v>
      </x:c>
      <x:c r="E260" s="85" t="n">
        <x:v>0</x:v>
      </x:c>
    </x:row>
    <x:row r="261">
      <x:c r="A261" s="91" t="n">
        <x:v>46038</x:v>
      </x:c>
      <x:c r="B261" s="66" t="str">
        <x:v>AC-0006</x:v>
      </x:c>
      <x:c r="C261" s="66" t="str">
        <x:v>거래0256</x:v>
      </x:c>
      <x:c r="D261" s="97" t="n">
        <x:v>0</x:v>
      </x:c>
      <x:c r="E261" s="85" t="n">
        <x:v>220000</x:v>
      </x:c>
    </x:row>
    <x:row r="262">
      <x:c r="A262" s="91" t="n">
        <x:v>46039</x:v>
      </x:c>
      <x:c r="B262" s="66" t="str">
        <x:v>AC-0007</x:v>
      </x:c>
      <x:c r="C262" s="66" t="str">
        <x:v>거래0257</x:v>
      </x:c>
      <x:c r="D262" s="97" t="n">
        <x:v>870000</x:v>
      </x:c>
      <x:c r="E262" s="85" t="n">
        <x:v>0</x:v>
      </x:c>
    </x:row>
    <x:row r="263">
      <x:c r="A263" s="91" t="n">
        <x:v>46040</x:v>
      </x:c>
      <x:c r="B263" s="66" t="str">
        <x:v>AC-0008</x:v>
      </x:c>
      <x:c r="C263" s="66" t="str">
        <x:v>거래0258</x:v>
      </x:c>
      <x:c r="D263" s="97" t="n">
        <x:v>0</x:v>
      </x:c>
      <x:c r="E263" s="85" t="n">
        <x:v>230000</x:v>
      </x:c>
    </x:row>
    <x:row r="264">
      <x:c r="A264" s="91" t="n">
        <x:v>46041</x:v>
      </x:c>
      <x:c r="B264" s="66" t="str">
        <x:v>AC-0009</x:v>
      </x:c>
      <x:c r="C264" s="66" t="str">
        <x:v>거래0259</x:v>
      </x:c>
      <x:c r="D264" s="97" t="n">
        <x:v>220000</x:v>
      </x:c>
      <x:c r="E264" s="85" t="n">
        <x:v>0</x:v>
      </x:c>
    </x:row>
    <x:row r="265">
      <x:c r="A265" s="91" t="n">
        <x:v>46042</x:v>
      </x:c>
      <x:c r="B265" s="66" t="str">
        <x:v>AC-0010</x:v>
      </x:c>
      <x:c r="C265" s="66" t="str">
        <x:v>거래0260</x:v>
      </x:c>
      <x:c r="D265" s="97" t="n">
        <x:v>0</x:v>
      </x:c>
      <x:c r="E265" s="85" t="n">
        <x:v>730000</x:v>
      </x:c>
    </x:row>
    <x:row r="266">
      <x:c r="A266" s="91" t="n">
        <x:v>46043</x:v>
      </x:c>
      <x:c r="B266" s="66" t="str">
        <x:v>AC-0011</x:v>
      </x:c>
      <x:c r="C266" s="66" t="str">
        <x:v>거래0261</x:v>
      </x:c>
      <x:c r="D266" s="97" t="n">
        <x:v>660000</x:v>
      </x:c>
      <x:c r="E266" s="85" t="n">
        <x:v>0</x:v>
      </x:c>
    </x:row>
    <x:row r="267">
      <x:c r="A267" s="91" t="n">
        <x:v>46044</x:v>
      </x:c>
      <x:c r="B267" s="66" t="str">
        <x:v>AC-0012</x:v>
      </x:c>
      <x:c r="C267" s="66" t="str">
        <x:v>거래0262</x:v>
      </x:c>
      <x:c r="D267" s="97" t="n">
        <x:v>0</x:v>
      </x:c>
      <x:c r="E267" s="85" t="n">
        <x:v>950000</x:v>
      </x:c>
    </x:row>
    <x:row r="268">
      <x:c r="A268" s="91" t="n">
        <x:v>46045</x:v>
      </x:c>
      <x:c r="B268" s="66" t="str">
        <x:v>AC-0013</x:v>
      </x:c>
      <x:c r="C268" s="66" t="str">
        <x:v>거래0263</x:v>
      </x:c>
      <x:c r="D268" s="97" t="n">
        <x:v>900000</x:v>
      </x:c>
      <x:c r="E268" s="85" t="n">
        <x:v>0</x:v>
      </x:c>
    </x:row>
    <x:row r="269">
      <x:c r="A269" s="91" t="n">
        <x:v>46046</x:v>
      </x:c>
      <x:c r="B269" s="66" t="str">
        <x:v>AC-0014</x:v>
      </x:c>
      <x:c r="C269" s="66" t="str">
        <x:v>거래0264</x:v>
      </x:c>
      <x:c r="D269" s="97" t="n">
        <x:v>0</x:v>
      </x:c>
      <x:c r="E269" s="85" t="n">
        <x:v>590000</x:v>
      </x:c>
    </x:row>
    <x:row r="270">
      <x:c r="A270" s="91" t="n">
        <x:v>46047</x:v>
      </x:c>
      <x:c r="B270" s="66" t="str">
        <x:v>AC-0015</x:v>
      </x:c>
      <x:c r="C270" s="66" t="str">
        <x:v>거래0265</x:v>
      </x:c>
      <x:c r="D270" s="97" t="n">
        <x:v>810000</x:v>
      </x:c>
      <x:c r="E270" s="85" t="n">
        <x:v>0</x:v>
      </x:c>
    </x:row>
    <x:row r="271">
      <x:c r="A271" s="91" t="n">
        <x:v>46048</x:v>
      </x:c>
      <x:c r="B271" s="66" t="str">
        <x:v>AC-0016</x:v>
      </x:c>
      <x:c r="C271" s="66" t="str">
        <x:v>거래0266</x:v>
      </x:c>
      <x:c r="D271" s="97" t="n">
        <x:v>0</x:v>
      </x:c>
      <x:c r="E271" s="85" t="n">
        <x:v>730000</x:v>
      </x:c>
    </x:row>
    <x:row r="272">
      <x:c r="A272" s="91" t="n">
        <x:v>46049</x:v>
      </x:c>
      <x:c r="B272" s="66" t="str">
        <x:v>AC-0017</x:v>
      </x:c>
      <x:c r="C272" s="66" t="str">
        <x:v>거래0267</x:v>
      </x:c>
      <x:c r="D272" s="97" t="n">
        <x:v>1260000</x:v>
      </x:c>
      <x:c r="E272" s="85" t="n">
        <x:v>0</x:v>
      </x:c>
    </x:row>
    <x:row r="273">
      <x:c r="A273" s="91" t="n">
        <x:v>46050</x:v>
      </x:c>
      <x:c r="B273" s="66" t="str">
        <x:v>AC-0018</x:v>
      </x:c>
      <x:c r="C273" s="66" t="str">
        <x:v>거래0268</x:v>
      </x:c>
      <x:c r="D273" s="97" t="n">
        <x:v>0</x:v>
      </x:c>
      <x:c r="E273" s="85" t="n">
        <x:v>120000</x:v>
      </x:c>
    </x:row>
    <x:row r="274">
      <x:c r="A274" s="91" t="n">
        <x:v>46051</x:v>
      </x:c>
      <x:c r="B274" s="66" t="str">
        <x:v>AC-0019</x:v>
      </x:c>
      <x:c r="C274" s="66" t="str">
        <x:v>거래0269</x:v>
      </x:c>
      <x:c r="D274" s="97" t="n">
        <x:v>970000</x:v>
      </x:c>
      <x:c r="E274" s="85" t="n">
        <x:v>0</x:v>
      </x:c>
    </x:row>
    <x:row r="275">
      <x:c r="A275" s="91" t="n">
        <x:v>46052</x:v>
      </x:c>
      <x:c r="B275" s="66" t="str">
        <x:v>AC-0020</x:v>
      </x:c>
      <x:c r="C275" s="66" t="str">
        <x:v>거래0270</x:v>
      </x:c>
      <x:c r="D275" s="97" t="n">
        <x:v>0</x:v>
      </x:c>
      <x:c r="E275" s="85" t="n">
        <x:v>1180000</x:v>
      </x:c>
    </x:row>
    <x:row r="276">
      <x:c r="A276" s="91" t="n">
        <x:v>46053</x:v>
      </x:c>
      <x:c r="B276" s="66" t="str">
        <x:v>AC-0021</x:v>
      </x:c>
      <x:c r="C276" s="66" t="str">
        <x:v>거래0271</x:v>
      </x:c>
      <x:c r="D276" s="97" t="n">
        <x:v>1270000</x:v>
      </x:c>
      <x:c r="E276" s="85" t="n">
        <x:v>0</x:v>
      </x:c>
    </x:row>
    <x:row r="277">
      <x:c r="A277" s="91" t="n">
        <x:v>46054</x:v>
      </x:c>
      <x:c r="B277" s="66" t="str">
        <x:v>AC-0022</x:v>
      </x:c>
      <x:c r="C277" s="66" t="str">
        <x:v>거래0272</x:v>
      </x:c>
      <x:c r="D277" s="97" t="n">
        <x:v>0</x:v>
      </x:c>
      <x:c r="E277" s="85" t="n">
        <x:v>930000</x:v>
      </x:c>
    </x:row>
    <x:row r="278">
      <x:c r="A278" s="91" t="n">
        <x:v>46055</x:v>
      </x:c>
      <x:c r="B278" s="66" t="str">
        <x:v>AC-0023</x:v>
      </x:c>
      <x:c r="C278" s="66" t="str">
        <x:v>거래0273</x:v>
      </x:c>
      <x:c r="D278" s="97" t="n">
        <x:v>920000</x:v>
      </x:c>
      <x:c r="E278" s="85" t="n">
        <x:v>0</x:v>
      </x:c>
    </x:row>
    <x:row r="279">
      <x:c r="A279" s="91" t="n">
        <x:v>46056</x:v>
      </x:c>
      <x:c r="B279" s="66" t="str">
        <x:v>AC-0024</x:v>
      </x:c>
      <x:c r="C279" s="66" t="str">
        <x:v>거래0274</x:v>
      </x:c>
      <x:c r="D279" s="97" t="n">
        <x:v>0</x:v>
      </x:c>
      <x:c r="E279" s="85" t="n">
        <x:v>930000</x:v>
      </x:c>
    </x:row>
    <x:row r="280">
      <x:c r="A280" s="91" t="n">
        <x:v>46057</x:v>
      </x:c>
      <x:c r="B280" s="66" t="str">
        <x:v>AC-0025</x:v>
      </x:c>
      <x:c r="C280" s="66" t="str">
        <x:v>거래0275</x:v>
      </x:c>
      <x:c r="D280" s="97" t="n">
        <x:v>440000</x:v>
      </x:c>
      <x:c r="E280" s="85" t="n">
        <x:v>0</x:v>
      </x:c>
    </x:row>
    <x:row r="281">
      <x:c r="A281" s="91" t="n">
        <x:v>46058</x:v>
      </x:c>
      <x:c r="B281" s="66" t="str">
        <x:v>AC-0026</x:v>
      </x:c>
      <x:c r="C281" s="66" t="str">
        <x:v>거래0276</x:v>
      </x:c>
      <x:c r="D281" s="97" t="n">
        <x:v>0</x:v>
      </x:c>
      <x:c r="E281" s="85" t="n">
        <x:v>380000</x:v>
      </x:c>
    </x:row>
    <x:row r="282">
      <x:c r="A282" s="91" t="n">
        <x:v>46059</x:v>
      </x:c>
      <x:c r="B282" s="66" t="str">
        <x:v>AC-0027</x:v>
      </x:c>
      <x:c r="C282" s="66" t="str">
        <x:v>거래0277</x:v>
      </x:c>
      <x:c r="D282" s="97" t="n">
        <x:v>660000</x:v>
      </x:c>
      <x:c r="E282" s="85" t="n">
        <x:v>0</x:v>
      </x:c>
    </x:row>
    <x:row r="283">
      <x:c r="A283" s="91" t="n">
        <x:v>46060</x:v>
      </x:c>
      <x:c r="B283" s="66" t="str">
        <x:v>AC-0028</x:v>
      </x:c>
      <x:c r="C283" s="66" t="str">
        <x:v>거래0278</x:v>
      </x:c>
      <x:c r="D283" s="97" t="n">
        <x:v>0</x:v>
      </x:c>
      <x:c r="E283" s="85" t="n">
        <x:v>900000</x:v>
      </x:c>
    </x:row>
    <x:row r="284">
      <x:c r="A284" s="91" t="n">
        <x:v>46061</x:v>
      </x:c>
      <x:c r="B284" s="66" t="str">
        <x:v>AC-0029</x:v>
      </x:c>
      <x:c r="C284" s="66" t="str">
        <x:v>거래0279</x:v>
      </x:c>
      <x:c r="D284" s="97" t="n">
        <x:v>1390000</x:v>
      </x:c>
      <x:c r="E284" s="85" t="n">
        <x:v>0</x:v>
      </x:c>
    </x:row>
    <x:row r="285">
      <x:c r="A285" s="91" t="n">
        <x:v>46062</x:v>
      </x:c>
      <x:c r="B285" s="66" t="str">
        <x:v>AC-0030</x:v>
      </x:c>
      <x:c r="C285" s="66" t="str">
        <x:v>거래0280</x:v>
      </x:c>
      <x:c r="D285" s="97" t="n">
        <x:v>0</x:v>
      </x:c>
      <x:c r="E285" s="85" t="n">
        <x:v>360000</x:v>
      </x:c>
    </x:row>
    <x:row r="286">
      <x:c r="A286" s="91" t="n">
        <x:v>46063</x:v>
      </x:c>
      <x:c r="B286" s="66" t="str">
        <x:v>AC-0031</x:v>
      </x:c>
      <x:c r="C286" s="66" t="str">
        <x:v>거래0281</x:v>
      </x:c>
      <x:c r="D286" s="97" t="n">
        <x:v>470000</x:v>
      </x:c>
      <x:c r="E286" s="85" t="n">
        <x:v>0</x:v>
      </x:c>
    </x:row>
    <x:row r="287">
      <x:c r="A287" s="91" t="n">
        <x:v>46064</x:v>
      </x:c>
      <x:c r="B287" s="66" t="str">
        <x:v>AC-0032</x:v>
      </x:c>
      <x:c r="C287" s="66" t="str">
        <x:v>거래0282</x:v>
      </x:c>
      <x:c r="D287" s="97" t="n">
        <x:v>0</x:v>
      </x:c>
      <x:c r="E287" s="85" t="n">
        <x:v>970000</x:v>
      </x:c>
    </x:row>
    <x:row r="288">
      <x:c r="A288" s="91" t="n">
        <x:v>46065</x:v>
      </x:c>
      <x:c r="B288" s="66" t="str">
        <x:v>AC-0033</x:v>
      </x:c>
      <x:c r="C288" s="66" t="str">
        <x:v>거래0283</x:v>
      </x:c>
      <x:c r="D288" s="97" t="n">
        <x:v>502000</x:v>
      </x:c>
      <x:c r="E288" s="85" t="n">
        <x:v>0</x:v>
      </x:c>
    </x:row>
    <x:row r="289">
      <x:c r="A289" s="91" t="n">
        <x:v>46066</x:v>
      </x:c>
      <x:c r="B289" s="66" t="str">
        <x:v>AC-0034</x:v>
      </x:c>
      <x:c r="C289" s="66" t="str">
        <x:v>거래0284</x:v>
      </x:c>
      <x:c r="D289" s="97" t="n">
        <x:v>0</x:v>
      </x:c>
      <x:c r="E289" s="85" t="n">
        <x:v>480000</x:v>
      </x:c>
    </x:row>
    <x:row r="290">
      <x:c r="A290" s="91" t="n">
        <x:v>46067</x:v>
      </x:c>
      <x:c r="B290" s="66" t="str">
        <x:v>AC-0035</x:v>
      </x:c>
      <x:c r="C290" s="66" t="str">
        <x:v>거래0285</x:v>
      </x:c>
      <x:c r="D290" s="97" t="n">
        <x:v>390000</x:v>
      </x:c>
      <x:c r="E290" s="85" t="n">
        <x:v>0</x:v>
      </x:c>
    </x:row>
    <x:row r="291">
      <x:c r="A291" s="91" t="n">
        <x:v>46068</x:v>
      </x:c>
      <x:c r="B291" s="66" t="str">
        <x:v>AC-0036</x:v>
      </x:c>
      <x:c r="C291" s="66" t="str">
        <x:v>거래0286</x:v>
      </x:c>
      <x:c r="D291" s="97" t="n">
        <x:v>0</x:v>
      </x:c>
      <x:c r="E291" s="85" t="n">
        <x:v>610000</x:v>
      </x:c>
    </x:row>
    <x:row r="292">
      <x:c r="A292" s="91" t="n">
        <x:v>46069</x:v>
      </x:c>
      <x:c r="B292" s="66" t="str">
        <x:v>AC-0037</x:v>
      </x:c>
      <x:c r="C292" s="66" t="str">
        <x:v>거래0287</x:v>
      </x:c>
      <x:c r="D292" s="97" t="n">
        <x:v>1480000</x:v>
      </x:c>
      <x:c r="E292" s="85" t="n">
        <x:v>0</x:v>
      </x:c>
    </x:row>
    <x:row r="293">
      <x:c r="A293" s="91" t="n">
        <x:v>46070</x:v>
      </x:c>
      <x:c r="B293" s="66" t="str">
        <x:v>AC-0038</x:v>
      </x:c>
      <x:c r="C293" s="66" t="str">
        <x:v>거래0288</x:v>
      </x:c>
      <x:c r="D293" s="97" t="n">
        <x:v>0</x:v>
      </x:c>
      <x:c r="E293" s="85" t="n">
        <x:v>610000</x:v>
      </x:c>
    </x:row>
    <x:row r="294">
      <x:c r="A294" s="91" t="n">
        <x:v>46071</x:v>
      </x:c>
      <x:c r="B294" s="66" t="str">
        <x:v>AC-0039</x:v>
      </x:c>
      <x:c r="C294" s="66" t="str">
        <x:v>거래0289</x:v>
      </x:c>
      <x:c r="D294" s="97" t="n">
        <x:v>730000</x:v>
      </x:c>
      <x:c r="E294" s="85" t="n">
        <x:v>0</x:v>
      </x:c>
    </x:row>
    <x:row r="295">
      <x:c r="A295" s="91" t="n">
        <x:v>46072</x:v>
      </x:c>
      <x:c r="B295" s="66" t="str">
        <x:v>AC-0040</x:v>
      </x:c>
      <x:c r="C295" s="66" t="str">
        <x:v>거래0290</x:v>
      </x:c>
      <x:c r="D295" s="97" t="n">
        <x:v>0</x:v>
      </x:c>
      <x:c r="E295" s="85" t="n">
        <x:v>440000</x:v>
      </x:c>
    </x:row>
    <x:row r="296">
      <x:c r="A296" s="91" t="n">
        <x:v>46073</x:v>
      </x:c>
      <x:c r="B296" s="66" t="str">
        <x:v>AC-0041</x:v>
      </x:c>
      <x:c r="C296" s="66" t="str">
        <x:v>거래0291</x:v>
      </x:c>
      <x:c r="D296" s="97" t="n">
        <x:v>440000</x:v>
      </x:c>
      <x:c r="E296" s="85" t="n">
        <x:v>0</x:v>
      </x:c>
    </x:row>
    <x:row r="297">
      <x:c r="A297" s="91" t="n">
        <x:v>46074</x:v>
      </x:c>
      <x:c r="B297" s="66" t="str">
        <x:v>AC-0042</x:v>
      </x:c>
      <x:c r="C297" s="66" t="str">
        <x:v>거래0292</x:v>
      </x:c>
      <x:c r="D297" s="97" t="n">
        <x:v>0</x:v>
      </x:c>
      <x:c r="E297" s="85" t="n">
        <x:v>150000</x:v>
      </x:c>
    </x:row>
    <x:row r="298">
      <x:c r="A298" s="91" t="n">
        <x:v>46075</x:v>
      </x:c>
      <x:c r="B298" s="66" t="str">
        <x:v>AC-0043</x:v>
      </x:c>
      <x:c r="C298" s="66" t="str">
        <x:v>거래0293</x:v>
      </x:c>
      <x:c r="D298" s="97" t="n">
        <x:v>1410000</x:v>
      </x:c>
      <x:c r="E298" s="85" t="n">
        <x:v>0</x:v>
      </x:c>
    </x:row>
    <x:row r="299">
      <x:c r="A299" s="91" t="n">
        <x:v>46076</x:v>
      </x:c>
      <x:c r="B299" s="66" t="str">
        <x:v>AC-0044</x:v>
      </x:c>
      <x:c r="C299" s="66" t="str">
        <x:v>거래0294</x:v>
      </x:c>
      <x:c r="D299" s="97" t="n">
        <x:v>0</x:v>
      </x:c>
      <x:c r="E299" s="85" t="n">
        <x:v>1070000</x:v>
      </x:c>
    </x:row>
    <x:row r="300">
      <x:c r="A300" s="91" t="n">
        <x:v>46077</x:v>
      </x:c>
      <x:c r="B300" s="66" t="str">
        <x:v>AC-0045</x:v>
      </x:c>
      <x:c r="C300" s="66" t="str">
        <x:v>거래0295</x:v>
      </x:c>
      <x:c r="D300" s="97" t="n">
        <x:v>660000</x:v>
      </x:c>
      <x:c r="E300" s="85" t="n">
        <x:v>0</x:v>
      </x:c>
    </x:row>
    <x:row r="301">
      <x:c r="A301" s="91" t="n">
        <x:v>46078</x:v>
      </x:c>
      <x:c r="B301" s="66" t="str">
        <x:v>AC-0046</x:v>
      </x:c>
      <x:c r="C301" s="66" t="str">
        <x:v>거래0296</x:v>
      </x:c>
      <x:c r="D301" s="97" t="n">
        <x:v>0</x:v>
      </x:c>
      <x:c r="E301" s="85" t="n">
        <x:v>1250000</x:v>
      </x:c>
    </x:row>
    <x:row r="302">
      <x:c r="A302" s="91" t="n">
        <x:v>46079</x:v>
      </x:c>
      <x:c r="B302" s="66" t="str">
        <x:v>AC-0047</x:v>
      </x:c>
      <x:c r="C302" s="66" t="str">
        <x:v>거래0297</x:v>
      </x:c>
      <x:c r="D302" s="97" t="n">
        <x:v>450000</x:v>
      </x:c>
      <x:c r="E302" s="85" t="n">
        <x:v>0</x:v>
      </x:c>
    </x:row>
    <x:row r="303">
      <x:c r="A303" s="91" t="n">
        <x:v>46080</x:v>
      </x:c>
      <x:c r="B303" s="66" t="str">
        <x:v>AC-0048</x:v>
      </x:c>
      <x:c r="C303" s="66" t="str">
        <x:v>거래0298</x:v>
      </x:c>
      <x:c r="D303" s="97" t="n">
        <x:v>0</x:v>
      </x:c>
      <x:c r="E303" s="85" t="n">
        <x:v>650000</x:v>
      </x:c>
    </x:row>
    <x:row r="304">
      <x:c r="A304" s="91" t="n">
        <x:v>46081</x:v>
      </x:c>
      <x:c r="B304" s="66" t="str">
        <x:v>AC-0049</x:v>
      </x:c>
      <x:c r="C304" s="66" t="str">
        <x:v>거래0299</x:v>
      </x:c>
      <x:c r="D304" s="97" t="n">
        <x:v>1290000</x:v>
      </x:c>
      <x:c r="E304" s="85" t="n">
        <x:v>0</x:v>
      </x:c>
    </x:row>
    <x:row r="305">
      <x:c r="A305" s="92" t="n">
        <x:v>46082</x:v>
      </x:c>
      <x:c r="B305" s="73" t="str">
        <x:v>AC-0050</x:v>
      </x:c>
      <x:c r="C305" s="73" t="str">
        <x:v>거래0300</x:v>
      </x:c>
      <x:c r="D305" s="98" t="n">
        <x:v>0</x:v>
      </x:c>
      <x:c r="E305" s="86" t="n">
        <x:v>450000</x:v>
      </x:c>
    </x:row>
  </x:sheetData>
  <x:mergeCells>
    <x:mergeCell ref="A1:E1"/>
    <x:mergeCell ref="A2:E2"/>
    <x:mergeCell ref="A3:E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6" hidden="0" customWidth="1"/>
    <x:col min="3" max="3" width="17" hidden="0" customWidth="1"/>
    <x:col min="4" max="4" width="15" hidden="0" customWidth="1"/>
    <x:col min="5" max="5" width="15" hidden="0" customWidth="1"/>
    <x:col min="6" max="6" width="13" hidden="0" customWidth="1"/>
    <x:col min="7" max="7" width="12" hidden="0" customWidth="1"/>
    <x:col min="8" max="8" width="26" hidden="0" customWidth="1"/>
  </x:cols>
  <x:sheetData>
    <x:row r="1" ht="30" customHeight="1">
      <x:c r="A1" s="5" t="str">
        <x:v>계정잔액 대사표</x:v>
      </x:c>
      <x:c r="B1" s="5"/>
      <x:c r="C1" s="5"/>
      <x:c r="D1" s="5"/>
      <x:c r="E1" s="5"/>
      <x:c r="F1" s="5"/>
      <x:c r="G1" s="5"/>
      <x:c r="H1" s="5"/>
    </x:row>
    <x:row r="2" ht="24" customHeight="1">
      <x:c r="A2" s="12" t="str">
        <x:v>GL과 보조부 잔액을 비교해 차이와 대사상태를 계산합니다.</x:v>
      </x:c>
      <x:c r="B2" s="12"/>
      <x:c r="C2" s="12"/>
      <x:c r="D2" s="12"/>
      <x:c r="E2" s="12"/>
      <x:c r="F2" s="12"/>
      <x:c r="G2" s="12"/>
      <x:c r="H2" s="12"/>
    </x:row>
    <x:row r="3">
      <x:c r="A3" s="18" t="str">
        <x:v>M4-C 추가 교정용 합성 데이터입니다. 노란색은 입력, 파란색은 계산 영역입니다.</x:v>
      </x:c>
      <x:c r="B3" s="18"/>
      <x:c r="C3" s="18"/>
      <x:c r="D3" s="18"/>
      <x:c r="E3" s="18"/>
      <x:c r="F3" s="18"/>
      <x:c r="G3" s="18"/>
      <x:c r="H3" s="18"/>
    </x:row>
    <x:row r="5" ht="28" customHeight="1">
      <x:c r="A5" s="30" t="str">
        <x:v>계정코드</x:v>
      </x:c>
      <x:c r="B5" s="61" t="str">
        <x:v>GL잔액</x:v>
      </x:c>
      <x:c r="C5" s="61" t="str">
        <x:v>보조부잔액</x:v>
      </x:c>
      <x:c r="D5" s="61" t="str">
        <x:v>차이</x:v>
      </x:c>
      <x:c r="E5" s="61" t="str">
        <x:v>절대차이</x:v>
      </x:c>
      <x:c r="F5" s="61" t="str">
        <x:v>허용오차</x:v>
      </x:c>
      <x:c r="G5" s="61" t="str">
        <x:v>대사상태</x:v>
      </x:c>
      <x:c r="H5" s="31" t="str">
        <x:v>담당자메모</x:v>
      </x:c>
    </x:row>
    <x:row r="6">
      <x:c r="A6" s="102" t="str">
        <x:v>AC-0001</x:v>
      </x:c>
      <x:c r="B6" s="124" t="n">
        <x:f>SUMIFS('총계정원장'!$D$6:$D$305,'총계정원장'!$B$6:$B$305,A6)-SUMIFS('총계정원장'!$E$6:$E$305,'총계정원장'!$B$6:$B$305,A6)</x:f>
        <x:v>3480000</x:v>
      </x:c>
      <x:c r="C6" s="125" t="n">
        <x:f>SUMIFS('보조부'!$D$6:$D$305,'보조부'!$B$6:$B$305,A6)-SUMIFS('보조부'!$E$6:$E$305,'보조부'!$B$6:$B$305,A6)</x:f>
        <x:v>3282000</x:v>
      </x:c>
      <x:c r="D6" s="125" t="n">
        <x:f>B6-C6</x:f>
        <x:v>198000</x:v>
      </x:c>
      <x:c r="E6" s="125" t="n">
        <x:f>ABS(D6)</x:f>
        <x:v>198000</x:v>
      </x:c>
      <x:c r="F6" s="125" t="n">
        <x:f>VLOOKUP(A6,'계정마스터'!$A$6:$C$55,3,FALSE)</x:f>
        <x:v>1000</x:v>
      </x:c>
      <x:c r="G6" s="110" t="str">
        <x:f>IF(E6&lt;=F6,"일치","확인")</x:f>
        <x:v>확인</x:v>
      </x:c>
      <x:c r="H6" s="102"/>
    </x:row>
    <x:row r="7">
      <x:c r="A7" s="103" t="str">
        <x:v>AC-0002</x:v>
      </x:c>
      <x:c r="B7" s="126" t="n">
        <x:f>SUMIFS('총계정원장'!$D$6:$D$305,'총계정원장'!$B$6:$B$305,A7)-SUMIFS('총계정원장'!$E$6:$E$305,'총계정원장'!$B$6:$B$305,A7)</x:f>
        <x:v>-4440000</x:v>
      </x:c>
      <x:c r="C7" s="127" t="n">
        <x:f>SUMIFS('보조부'!$D$6:$D$305,'보조부'!$B$6:$B$305,A7)-SUMIFS('보조부'!$E$6:$E$305,'보조부'!$B$6:$B$305,A7)</x:f>
        <x:v>-5130000</x:v>
      </x:c>
      <x:c r="D7" s="127" t="n">
        <x:f>B7-C7</x:f>
        <x:v>690000</x:v>
      </x:c>
      <x:c r="E7" s="127" t="n">
        <x:f>ABS(D7)</x:f>
        <x:v>690000</x:v>
      </x:c>
      <x:c r="F7" s="127" t="n">
        <x:f>VLOOKUP(A7,'계정마스터'!$A$6:$C$55,3,FALSE)</x:f>
        <x:v>1000</x:v>
      </x:c>
      <x:c r="G7" s="112" t="str">
        <x:f>IF(E7&lt;=F7,"일치","확인")</x:f>
        <x:v>확인</x:v>
      </x:c>
      <x:c r="H7" s="103"/>
    </x:row>
    <x:row r="8">
      <x:c r="A8" s="103" t="str">
        <x:v>AC-0003</x:v>
      </x:c>
      <x:c r="B8" s="126" t="n">
        <x:f>SUMIFS('총계정원장'!$D$6:$D$305,'총계정원장'!$B$6:$B$305,A8)-SUMIFS('총계정원장'!$E$6:$E$305,'총계정원장'!$B$6:$B$305,A8)</x:f>
        <x:v>7090000</x:v>
      </x:c>
      <x:c r="C8" s="127" t="n">
        <x:f>SUMIFS('보조부'!$D$6:$D$305,'보조부'!$B$6:$B$305,A8)-SUMIFS('보조부'!$E$6:$E$305,'보조부'!$B$6:$B$305,A8)</x:f>
        <x:v>5360000</x:v>
      </x:c>
      <x:c r="D8" s="127" t="n">
        <x:f>B8-C8</x:f>
        <x:v>1730000</x:v>
      </x:c>
      <x:c r="E8" s="127" t="n">
        <x:f>ABS(D8)</x:f>
        <x:v>1730000</x:v>
      </x:c>
      <x:c r="F8" s="127" t="n">
        <x:f>VLOOKUP(A8,'계정마스터'!$A$6:$C$55,3,FALSE)</x:f>
        <x:v>1000</x:v>
      </x:c>
      <x:c r="G8" s="112" t="str">
        <x:f>IF(E8&lt;=F8,"일치","확인")</x:f>
        <x:v>확인</x:v>
      </x:c>
      <x:c r="H8" s="103"/>
    </x:row>
    <x:row r="9">
      <x:c r="A9" s="103" t="str">
        <x:v>AC-0004</x:v>
      </x:c>
      <x:c r="B9" s="126" t="n">
        <x:f>SUMIFS('총계정원장'!$D$6:$D$305,'총계정원장'!$B$6:$B$305,A9)-SUMIFS('총계정원장'!$E$6:$E$305,'총계정원장'!$B$6:$B$305,A9)</x:f>
        <x:v>-4020000</x:v>
      </x:c>
      <x:c r="C9" s="127" t="n">
        <x:f>SUMIFS('보조부'!$D$6:$D$305,'보조부'!$B$6:$B$305,A9)-SUMIFS('보조부'!$E$6:$E$305,'보조부'!$B$6:$B$305,A9)</x:f>
        <x:v>-3710000</x:v>
      </x:c>
      <x:c r="D9" s="127" t="n">
        <x:f>B9-C9</x:f>
        <x:v>-310000</x:v>
      </x:c>
      <x:c r="E9" s="127" t="n">
        <x:f>ABS(D9)</x:f>
        <x:v>310000</x:v>
      </x:c>
      <x:c r="F9" s="127" t="n">
        <x:f>VLOOKUP(A9,'계정마스터'!$A$6:$C$55,3,FALSE)</x:f>
        <x:v>5000</x:v>
      </x:c>
      <x:c r="G9" s="112" t="str">
        <x:f>IF(E9&lt;=F9,"일치","확인")</x:f>
        <x:v>확인</x:v>
      </x:c>
      <x:c r="H9" s="103"/>
    </x:row>
    <x:row r="10">
      <x:c r="A10" s="103" t="str">
        <x:v>AC-0005</x:v>
      </x:c>
      <x:c r="B10" s="126" t="n">
        <x:f>SUMIFS('총계정원장'!$D$6:$D$305,'총계정원장'!$B$6:$B$305,A10)-SUMIFS('총계정원장'!$E$6:$E$305,'총계정원장'!$B$6:$B$305,A10)</x:f>
        <x:v>5720000</x:v>
      </x:c>
      <x:c r="C10" s="127" t="n">
        <x:f>SUMIFS('보조부'!$D$6:$D$305,'보조부'!$B$6:$B$305,A10)-SUMIFS('보조부'!$E$6:$E$305,'보조부'!$B$6:$B$305,A10)</x:f>
        <x:v>5210000</x:v>
      </x:c>
      <x:c r="D10" s="127" t="n">
        <x:f>B10-C10</x:f>
        <x:v>510000</x:v>
      </x:c>
      <x:c r="E10" s="127" t="n">
        <x:f>ABS(D10)</x:f>
        <x:v>510000</x:v>
      </x:c>
      <x:c r="F10" s="127" t="n">
        <x:f>VLOOKUP(A10,'계정마스터'!$A$6:$C$55,3,FALSE)</x:f>
        <x:v>1000</x:v>
      </x:c>
      <x:c r="G10" s="112" t="str">
        <x:f>IF(E10&lt;=F10,"일치","확인")</x:f>
        <x:v>확인</x:v>
      </x:c>
      <x:c r="H10" s="103"/>
    </x:row>
    <x:row r="11">
      <x:c r="A11" s="103" t="str">
        <x:v>AC-0006</x:v>
      </x:c>
      <x:c r="B11" s="126" t="n">
        <x:f>SUMIFS('총계정원장'!$D$6:$D$305,'총계정원장'!$B$6:$B$305,A11)-SUMIFS('총계정원장'!$E$6:$E$305,'총계정원장'!$B$6:$B$305,A11)</x:f>
        <x:v>-5570000</x:v>
      </x:c>
      <x:c r="C11" s="127" t="n">
        <x:f>SUMIFS('보조부'!$D$6:$D$305,'보조부'!$B$6:$B$305,A11)-SUMIFS('보조부'!$E$6:$E$305,'보조부'!$B$6:$B$305,A11)</x:f>
        <x:v>-4010000</x:v>
      </x:c>
      <x:c r="D11" s="127" t="n">
        <x:f>B11-C11</x:f>
        <x:v>-1560000</x:v>
      </x:c>
      <x:c r="E11" s="127" t="n">
        <x:f>ABS(D11)</x:f>
        <x:v>1560000</x:v>
      </x:c>
      <x:c r="F11" s="127" t="n">
        <x:f>VLOOKUP(A11,'계정마스터'!$A$6:$C$55,3,FALSE)</x:f>
        <x:v>1000</x:v>
      </x:c>
      <x:c r="G11" s="112" t="str">
        <x:f>IF(E11&lt;=F11,"일치","확인")</x:f>
        <x:v>확인</x:v>
      </x:c>
      <x:c r="H11" s="103"/>
    </x:row>
    <x:row r="12">
      <x:c r="A12" s="103" t="str">
        <x:v>AC-0007</x:v>
      </x:c>
      <x:c r="B12" s="126" t="n">
        <x:f>SUMIFS('총계정원장'!$D$6:$D$305,'총계정원장'!$B$6:$B$305,A12)-SUMIFS('총계정원장'!$E$6:$E$305,'총계정원장'!$B$6:$B$305,A12)</x:f>
        <x:v>4580000</x:v>
      </x:c>
      <x:c r="C12" s="127" t="n">
        <x:f>SUMIFS('보조부'!$D$6:$D$305,'보조부'!$B$6:$B$305,A12)-SUMIFS('보조부'!$E$6:$E$305,'보조부'!$B$6:$B$305,A12)</x:f>
        <x:v>5220000</x:v>
      </x:c>
      <x:c r="D12" s="127" t="n">
        <x:f>B12-C12</x:f>
        <x:v>-640000</x:v>
      </x:c>
      <x:c r="E12" s="127" t="n">
        <x:f>ABS(D12)</x:f>
        <x:v>640000</x:v>
      </x:c>
      <x:c r="F12" s="127" t="n">
        <x:f>VLOOKUP(A12,'계정마스터'!$A$6:$C$55,3,FALSE)</x:f>
        <x:v>1000</x:v>
      </x:c>
      <x:c r="G12" s="112" t="str">
        <x:f>IF(E12&lt;=F12,"일치","확인")</x:f>
        <x:v>확인</x:v>
      </x:c>
      <x:c r="H12" s="103"/>
    </x:row>
    <x:row r="13">
      <x:c r="A13" s="103" t="str">
        <x:v>AC-0008</x:v>
      </x:c>
      <x:c r="B13" s="126" t="n">
        <x:f>SUMIFS('총계정원장'!$D$6:$D$305,'총계정원장'!$B$6:$B$305,A13)-SUMIFS('총계정원장'!$E$6:$E$305,'총계정원장'!$B$6:$B$305,A13)</x:f>
        <x:v>-5200000</x:v>
      </x:c>
      <x:c r="C13" s="127" t="n">
        <x:f>SUMIFS('보조부'!$D$6:$D$305,'보조부'!$B$6:$B$305,A13)-SUMIFS('보조부'!$E$6:$E$305,'보조부'!$B$6:$B$305,A13)</x:f>
        <x:v>-5130000</x:v>
      </x:c>
      <x:c r="D13" s="127" t="n">
        <x:f>B13-C13</x:f>
        <x:v>-70000</x:v>
      </x:c>
      <x:c r="E13" s="127" t="n">
        <x:f>ABS(D13)</x:f>
        <x:v>70000</x:v>
      </x:c>
      <x:c r="F13" s="127" t="n">
        <x:f>VLOOKUP(A13,'계정마스터'!$A$6:$C$55,3,FALSE)</x:f>
        <x:v>5000</x:v>
      </x:c>
      <x:c r="G13" s="112" t="str">
        <x:f>IF(E13&lt;=F13,"일치","확인")</x:f>
        <x:v>확인</x:v>
      </x:c>
      <x:c r="H13" s="103"/>
    </x:row>
    <x:row r="14">
      <x:c r="A14" s="103" t="str">
        <x:v>AC-0009</x:v>
      </x:c>
      <x:c r="B14" s="126" t="n">
        <x:f>SUMIFS('총계정원장'!$D$6:$D$305,'총계정원장'!$B$6:$B$305,A14)-SUMIFS('총계정원장'!$E$6:$E$305,'총계정원장'!$B$6:$B$305,A14)</x:f>
        <x:v>5990000</x:v>
      </x:c>
      <x:c r="C14" s="127" t="n">
        <x:f>SUMIFS('보조부'!$D$6:$D$305,'보조부'!$B$6:$B$305,A14)-SUMIFS('보조부'!$E$6:$E$305,'보조부'!$B$6:$B$305,A14)</x:f>
        <x:v>3930000</x:v>
      </x:c>
      <x:c r="D14" s="127" t="n">
        <x:f>B14-C14</x:f>
        <x:v>2060000</x:v>
      </x:c>
      <x:c r="E14" s="127" t="n">
        <x:f>ABS(D14)</x:f>
        <x:v>2060000</x:v>
      </x:c>
      <x:c r="F14" s="127" t="n">
        <x:f>VLOOKUP(A14,'계정마스터'!$A$6:$C$55,3,FALSE)</x:f>
        <x:v>1000</x:v>
      </x:c>
      <x:c r="G14" s="112" t="str">
        <x:f>IF(E14&lt;=F14,"일치","확인")</x:f>
        <x:v>확인</x:v>
      </x:c>
      <x:c r="H14" s="103"/>
    </x:row>
    <x:row r="15">
      <x:c r="A15" s="103" t="str">
        <x:v>AC-0010</x:v>
      </x:c>
      <x:c r="B15" s="126" t="n">
        <x:f>SUMIFS('총계정원장'!$D$6:$D$305,'총계정원장'!$B$6:$B$305,A14)-SUMIFS('총계정원장'!$E$6:$E$305,'총계정원장'!$B$6:$B$305,A14)</x:f>
        <x:v>5990000</x:v>
      </x:c>
      <x:c r="C15" s="127" t="n">
        <x:f>SUMIFS('보조부'!$D$6:$D$305,'보조부'!$B$6:$B$305,A15)-SUMIFS('보조부'!$E$6:$E$305,'보조부'!$B$6:$B$305,A15)</x:f>
        <x:v>-3910000</x:v>
      </x:c>
      <x:c r="D15" s="127" t="n">
        <x:f>B15-C15</x:f>
        <x:v>9900000</x:v>
      </x:c>
      <x:c r="E15" s="127" t="n">
        <x:f>ABS(D15)</x:f>
        <x:v>9900000</x:v>
      </x:c>
      <x:c r="F15" s="127" t="n">
        <x:f>VLOOKUP(A15,'계정마스터'!$A$6:$C$55,3,FALSE)</x:f>
        <x:v>1000</x:v>
      </x:c>
      <x:c r="G15" s="112" t="str">
        <x:f>IF(E15&lt;=F15,"일치","확인")</x:f>
        <x:v>확인</x:v>
      </x:c>
      <x:c r="H15" s="103"/>
    </x:row>
    <x:row r="16">
      <x:c r="A16" s="103" t="str">
        <x:v>AC-0011</x:v>
      </x:c>
      <x:c r="B16" s="126" t="n">
        <x:f>SUMIFS('총계정원장'!$D$6:$D$305,'총계정원장'!$B$6:$B$305,A16)-SUMIFS('총계정원장'!$E$6:$E$305,'총계정원장'!$B$6:$B$305,A16)</x:f>
        <x:v>4420000</x:v>
      </x:c>
      <x:c r="C16" s="127" t="n">
        <x:f>SUMIFS('보조부'!$D$6:$D$305,'보조부'!$B$6:$B$305,A16)-SUMIFS('보조부'!$E$6:$E$305,'보조부'!$B$6:$B$305,A16)</x:f>
        <x:v>5200000</x:v>
      </x:c>
      <x:c r="D16" s="127" t="n">
        <x:f>B16-C16</x:f>
        <x:v>-780000</x:v>
      </x:c>
      <x:c r="E16" s="127" t="n">
        <x:f>ABS(D16)</x:f>
        <x:v>780000</x:v>
      </x:c>
      <x:c r="F16" s="127" t="n">
        <x:f>VLOOKUP(A16,'계정마스터'!$A$6:$C$55,3,FALSE)</x:f>
        <x:v>1000</x:v>
      </x:c>
      <x:c r="G16" s="112" t="str">
        <x:f>IF(E16&lt;=F16,"일치","확인")</x:f>
        <x:v>확인</x:v>
      </x:c>
      <x:c r="H16" s="103"/>
    </x:row>
    <x:row r="17">
      <x:c r="A17" s="103" t="str">
        <x:v>AC-0012</x:v>
      </x:c>
      <x:c r="B17" s="126" t="n">
        <x:f>SUMIFS('총계정원장'!$D$6:$D$305,'총계정원장'!$B$6:$B$305,A17)-SUMIFS('총계정원장'!$E$6:$E$305,'총계정원장'!$B$6:$B$305,A17)</x:f>
        <x:v>-6230000</x:v>
      </x:c>
      <x:c r="C17" s="127" t="n">
        <x:f>SUMIFS('보조부'!$D$6:$D$305,'보조부'!$B$6:$B$305,A17)-SUMIFS('보조부'!$E$6:$E$305,'보조부'!$B$6:$B$305,A17)</x:f>
        <x:v>-3990000</x:v>
      </x:c>
      <x:c r="D17" s="127" t="n">
        <x:f>B17-C17</x:f>
        <x:v>-2240000</x:v>
      </x:c>
      <x:c r="E17" s="127" t="n">
        <x:f>ABS(D17)</x:f>
        <x:v>2240000</x:v>
      </x:c>
      <x:c r="F17" s="127" t="n">
        <x:f>VLOOKUP(A17,'계정마스터'!$A$6:$C$55,3,FALSE)</x:f>
        <x:v>5000</x:v>
      </x:c>
      <x:c r="G17" s="112" t="str">
        <x:f>IF(E17&lt;=F17,"일치","확인")</x:f>
        <x:v>확인</x:v>
      </x:c>
      <x:c r="H17" s="103"/>
    </x:row>
    <x:row r="18">
      <x:c r="A18" s="103" t="str">
        <x:v>AC-0013</x:v>
      </x:c>
      <x:c r="B18" s="126" t="n">
        <x:f>SUMIFS('총계정원장'!$D$6:$D$305,'총계정원장'!$B$6:$B$305,A18)-SUMIFS('총계정원장'!$E$6:$E$305,'총계정원장'!$B$6:$B$305,A18)</x:f>
        <x:v>4740000</x:v>
      </x:c>
      <x:c r="C18" s="127" t="n">
        <x:f>SUMIFS('보조부'!$D$6:$D$305,'보조부'!$B$6:$B$305,A18)-SUMIFS('보조부'!$E$6:$E$305,'보조부'!$B$6:$B$305,A18)</x:f>
        <x:v>3850000</x:v>
      </x:c>
      <x:c r="D18" s="127" t="n">
        <x:f>B18-C18</x:f>
        <x:v>890000</x:v>
      </x:c>
      <x:c r="E18" s="127" t="n">
        <x:f>ABS(D18)</x:f>
        <x:v>890000</x:v>
      </x:c>
      <x:c r="F18" s="127" t="n">
        <x:f>VLOOKUP(A18,'계정마스터'!$A$6:$C$55,3,FALSE)</x:f>
        <x:v>1000</x:v>
      </x:c>
      <x:c r="G18" s="112" t="str">
        <x:f>IF(E18&lt;=F18,"일치","확인")</x:f>
        <x:v>확인</x:v>
      </x:c>
      <x:c r="H18" s="103"/>
    </x:row>
    <x:row r="19">
      <x:c r="A19" s="103" t="str">
        <x:v>AC-0014</x:v>
      </x:c>
      <x:c r="B19" s="126" t="n">
        <x:f>SUMIFS('총계정원장'!$D$6:$D$305,'총계정원장'!$B$6:$B$305,A19)-SUMIFS('총계정원장'!$E$6:$E$305,'총계정원장'!$B$6:$B$305,A19)</x:f>
        <x:v>-5620000</x:v>
      </x:c>
      <x:c r="C19" s="127" t="n">
        <x:f>SUMIFS('보조부'!$D$6:$D$305,'보조부'!$B$6:$B$305,A19)-SUMIFS('보조부'!$E$6:$E$305,'보조부'!$B$6:$B$305,A19)</x:f>
        <x:v>-5880000</x:v>
      </x:c>
      <x:c r="D19" s="127" t="n">
        <x:f>B19-C19</x:f>
        <x:v>260000</x:v>
      </x:c>
      <x:c r="E19" s="127" t="n">
        <x:f>ABS(D19)</x:f>
        <x:v>260000</x:v>
      </x:c>
      <x:c r="F19" s="127" t="n">
        <x:f>VLOOKUP(A19,'계정마스터'!$A$6:$C$55,3,FALSE)</x:f>
        <x:v>1000</x:v>
      </x:c>
      <x:c r="G19" s="112" t="str">
        <x:f>IF(E19&lt;=F19,"일치","확인")</x:f>
        <x:v>확인</x:v>
      </x:c>
      <x:c r="H19" s="103"/>
    </x:row>
    <x:row r="20">
      <x:c r="A20" s="103" t="str">
        <x:v>AC-0015</x:v>
      </x:c>
      <x:c r="B20" s="126" t="n">
        <x:f>SUMIFS('총계정원장'!$D$6:$D$305,'총계정원장'!$B$6:$B$305,A20)-SUMIFS('총계정원장'!$E$6:$E$305,'총계정원장'!$B$6:$B$305,A20)</x:f>
        <x:v>4850000</x:v>
      </x:c>
      <x:c r="C20" s="127" t="n">
        <x:f>SUMIFS('보조부'!$D$6:$D$305,'보조부'!$B$6:$B$305,A20)-SUMIFS('보조부'!$E$6:$E$305,'보조부'!$B$6:$B$305,A20)</x:f>
        <x:v>6830000</x:v>
      </x:c>
      <x:c r="D20" s="127" t="n">
        <x:f>B20-C20</x:f>
        <x:v>-1980000</x:v>
      </x:c>
      <x:c r="E20" s="127" t="n">
        <x:f>ABS(D20)</x:f>
        <x:v>1980000</x:v>
      </x:c>
      <x:c r="F20" s="127" t="n">
        <x:f>VLOOKUP(A20,'계정마스터'!$A$6:$C$55,3,FALSE)</x:f>
        <x:v>1000</x:v>
      </x:c>
      <x:c r="G20" s="112" t="str">
        <x:f>IF(E20&lt;=F20,"일치","확인")</x:f>
        <x:v>확인</x:v>
      </x:c>
      <x:c r="H20" s="103"/>
    </x:row>
    <x:row r="21">
      <x:c r="A21" s="103" t="str">
        <x:v>AC-0016</x:v>
      </x:c>
      <x:c r="B21" s="126" t="n">
        <x:f>SUMIFS('총계정원장'!$D$6:$D$305,'총계정원장'!$B$6:$B$305,A21)-SUMIFS('총계정원장'!$E$6:$E$305,'총계정원장'!$B$6:$B$305,A21)</x:f>
        <x:v>-5230000</x:v>
      </x:c>
      <x:c r="C21" s="127" t="n">
        <x:f>SUMIFS('보조부'!$D$6:$D$305,'보조부'!$B$6:$B$305,A21)-SUMIFS('보조부'!$E$6:$E$305,'보조부'!$B$6:$B$305,A21)</x:f>
        <x:v>-5190000</x:v>
      </x:c>
      <x:c r="D21" s="127" t="n">
        <x:f>B21-C21</x:f>
        <x:v>-40000</x:v>
      </x:c>
      <x:c r="E21" s="127" t="n">
        <x:f>ABS(D21)</x:f>
        <x:v>40000</x:v>
      </x:c>
      <x:c r="F21" s="127" t="n">
        <x:f>VLOOKUP(A21,'계정마스터'!$A$6:$C$55,3,FALSE)</x:f>
        <x:v>5000</x:v>
      </x:c>
      <x:c r="G21" s="112" t="str">
        <x:f>IF(E21&lt;=F21,"일치","확인")</x:f>
        <x:v>확인</x:v>
      </x:c>
      <x:c r="H21" s="103"/>
    </x:row>
    <x:row r="22">
      <x:c r="A22" s="103" t="str">
        <x:v>AC-0017</x:v>
      </x:c>
      <x:c r="B22" s="126" t="n">
        <x:f>SUMIFS('총계정원장'!$D$6:$D$305,'총계정원장'!$B$6:$B$305,A22)-SUMIFS('총계정원장'!$E$6:$E$305,'총계정원장'!$B$6:$B$305,A22)</x:f>
        <x:v>6190000</x:v>
      </x:c>
      <x:c r="C22" s="127" t="n">
        <x:f>SUMIFS('보조부'!$D$6:$D$305,'보조부'!$B$6:$B$305,A22)-SUMIFS('보조부'!$E$6:$E$305,'보조부'!$B$6:$B$305,A22)</x:f>
        <x:v>4850000</x:v>
      </x:c>
      <x:c r="D22" s="127" t="n">
        <x:f>B22-C22</x:f>
        <x:v>1340000</x:v>
      </x:c>
      <x:c r="E22" s="127" t="n">
        <x:f>ABS(D22)</x:f>
        <x:v>1340000</x:v>
      </x:c>
      <x:c r="F22" s="127" t="n">
        <x:f>VLOOKUP(A22,'계정마스터'!$A$6:$C$55,3,FALSE)</x:f>
        <x:v>1000</x:v>
      </x:c>
      <x:c r="G22" s="112" t="str">
        <x:f>IF(E22&lt;=F22,"일치","확인")</x:f>
        <x:v>확인</x:v>
      </x:c>
      <x:c r="H22" s="103"/>
    </x:row>
    <x:row r="23">
      <x:c r="A23" s="103" t="str">
        <x:v>AC-0018</x:v>
      </x:c>
      <x:c r="B23" s="126" t="n">
        <x:f>SUMIFS('총계정원장'!$D$6:$D$305,'총계정원장'!$B$6:$B$305,A23)-SUMIFS('총계정원장'!$E$6:$E$305,'총계정원장'!$B$6:$B$305,A23)</x:f>
        <x:v>-4160000</x:v>
      </x:c>
      <x:c r="C23" s="127" t="n">
        <x:f>SUMIFS('보조부'!$D$6:$D$305,'보조부'!$B$6:$B$305,A23)-SUMIFS('보조부'!$E$6:$E$305,'보조부'!$B$6:$B$305,A23)</x:f>
        <x:v>-3830000</x:v>
      </x:c>
      <x:c r="D23" s="127" t="n">
        <x:f>B23-C23</x:f>
        <x:v>-330000</x:v>
      </x:c>
      <x:c r="E23" s="127" t="n">
        <x:f>ABS(D23)</x:f>
        <x:v>330000</x:v>
      </x:c>
      <x:c r="F23" s="127" t="n">
        <x:f>VLOOKUP(A23,'계정마스터'!$A$6:$C$55,3,FALSE)</x:f>
        <x:v>1000</x:v>
      </x:c>
      <x:c r="G23" s="112" t="str">
        <x:f>IF(E23&lt;=F23,"일치","확인")</x:f>
        <x:v>확인</x:v>
      </x:c>
      <x:c r="H23" s="103"/>
    </x:row>
    <x:row r="24">
      <x:c r="A24" s="103" t="str">
        <x:v>AC-0019</x:v>
      </x:c>
      <x:c r="B24" s="126" t="n">
        <x:f>SUMIFS('총계정원장'!$D$6:$D$305,'총계정원장'!$B$6:$B$305,A24)-SUMIFS('총계정원장'!$E$6:$E$305,'총계정원장'!$B$6:$B$305,A24)</x:f>
        <x:v>3770000</x:v>
      </x:c>
      <x:c r="C24" s="127" t="n">
        <x:f>SUMIFS('보조부'!$D$6:$D$305,'보조부'!$B$6:$B$305,A24)-SUMIFS('보조부'!$E$6:$E$305,'보조부'!$B$6:$B$305,A24)</x:f>
        <x:v>4700000</x:v>
      </x:c>
      <x:c r="D24" s="127" t="n">
        <x:f>B24-C24</x:f>
        <x:v>-930000</x:v>
      </x:c>
      <x:c r="E24" s="127" t="n">
        <x:f>ABS(D24)</x:f>
        <x:v>930000</x:v>
      </x:c>
      <x:c r="F24" s="127" t="n">
        <x:f>VLOOKUP(A24,'계정마스터'!$A$6:$C$55,3,FALSE)</x:f>
        <x:v>1000</x:v>
      </x:c>
      <x:c r="G24" s="112" t="str">
        <x:f>IF(E24&lt;=F24,"일치","확인")</x:f>
        <x:v>확인</x:v>
      </x:c>
      <x:c r="H24" s="103"/>
    </x:row>
    <x:row r="25">
      <x:c r="A25" s="103" t="str">
        <x:v>AC-0020</x:v>
      </x:c>
      <x:c r="B25" s="126" t="n">
        <x:f>SUMIFS('총계정원장'!$D$6:$D$305,'총계정원장'!$B$6:$B$305,A25)-SUMIFS('총계정원장'!$E$6:$E$305,'총계정원장'!$B$6:$B$305,A25)</x:f>
        <x:v>-4770000</x:v>
      </x:c>
      <x:c r="C25" s="127" t="n">
        <x:f>SUMIFS('보조부'!$D$6:$D$305,'보조부'!$B$6:$B$305,A25)-SUMIFS('보조부'!$E$6:$E$305,'보조부'!$B$6:$B$305,A25)</x:f>
        <x:v>-5300000</x:v>
      </x:c>
      <x:c r="D25" s="127" t="n">
        <x:f>B25-C25</x:f>
        <x:v>530000</x:v>
      </x:c>
      <x:c r="E25" s="127" t="n">
        <x:f>ABS(D25)</x:f>
        <x:v>530000</x:v>
      </x:c>
      <x:c r="F25" s="127" t="n">
        <x:f>VLOOKUP(A25,'계정마스터'!$A$6:$C$55,3,FALSE)</x:f>
        <x:v>5000</x:v>
      </x:c>
      <x:c r="G25" s="112" t="str">
        <x:f>IF(E25&lt;=F25,"일치","확인")</x:f>
        <x:v>확인</x:v>
      </x:c>
      <x:c r="H25" s="103"/>
    </x:row>
    <x:row r="26">
      <x:c r="A26" s="103" t="str">
        <x:v>AC-0021</x:v>
      </x:c>
      <x:c r="B26" s="126" t="n">
        <x:f>SUMIFS('총계정원장'!$D$6:$D$305,'총계정원장'!$B$6:$B$305,A26)-SUMIFS('총계정원장'!$E$6:$E$305,'총계정원장'!$B$6:$B$305,A26)</x:f>
        <x:v>5300000</x:v>
      </x:c>
      <x:c r="C26" s="127" t="n">
        <x:f>SUMIFS('보조부'!$D$6:$D$305,'보조부'!$B$6:$B$305,A26)-SUMIFS('보조부'!$E$6:$E$305,'보조부'!$B$6:$B$305,A26)</x:f>
        <x:v>5170000</x:v>
      </x:c>
      <x:c r="D26" s="127" t="n">
        <x:f>B26-C26</x:f>
        <x:v>130000</x:v>
      </x:c>
      <x:c r="E26" s="127" t="n">
        <x:f>ABS(D26)</x:f>
        <x:v>130000</x:v>
      </x:c>
      <x:c r="F26" s="127" t="n">
        <x:f>VLOOKUP(A26,'계정마스터'!$A$6:$C$55,3,FALSE)</x:f>
        <x:v>1000</x:v>
      </x:c>
      <x:c r="G26" s="112" t="str">
        <x:f>IF(E26&lt;=F26,"일치","확인")</x:f>
        <x:v>확인</x:v>
      </x:c>
      <x:c r="H26" s="103"/>
    </x:row>
    <x:row r="27">
      <x:c r="A27" s="103" t="str">
        <x:v>AC-0022</x:v>
      </x:c>
      <x:c r="B27" s="126" t="n">
        <x:f>SUMIFS('총계정원장'!$D$6:$D$305,'총계정원장'!$B$6:$B$305,A27)-SUMIFS('총계정원장'!$E$6:$E$305,'총계정원장'!$B$6:$B$305,A27)</x:f>
        <x:v>-5190000</x:v>
      </x:c>
      <x:c r="C27" s="127" t="n">
        <x:f>SUMIFS('보조부'!$D$6:$D$305,'보조부'!$B$6:$B$305,A27)-SUMIFS('보조부'!$E$6:$E$305,'보조부'!$B$6:$B$305,A27)</x:f>
        <x:v>-5050000</x:v>
      </x:c>
      <x:c r="D27" s="127" t="n">
        <x:f>SUM(B27:C27)</x:f>
        <x:v>-10240000</x:v>
      </x:c>
      <x:c r="E27" s="127" t="n">
        <x:f>ABS(D27)</x:f>
        <x:v>10240000</x:v>
      </x:c>
      <x:c r="F27" s="127" t="n">
        <x:f>VLOOKUP(A27,'계정마스터'!$A$6:$C$55,3,FALSE)</x:f>
        <x:v>1000</x:v>
      </x:c>
      <x:c r="G27" s="112" t="str">
        <x:f>IF(E27&lt;=F27,"일치","확인")</x:f>
        <x:v>확인</x:v>
      </x:c>
      <x:c r="H27" s="103"/>
    </x:row>
    <x:row r="28">
      <x:c r="A28" s="103" t="str">
        <x:v>AC-0023</x:v>
      </x:c>
      <x:c r="B28" s="126" t="n">
        <x:f>SUMIFS('총계정원장'!$D$6:$D$305,'총계정원장'!$B$6:$B$305,A28)-SUMIFS('총계정원장'!$E$6:$E$305,'총계정원장'!$B$6:$B$305,A28)</x:f>
        <x:v>5040000</x:v>
      </x:c>
      <x:c r="C28" s="127" t="n">
        <x:f>SUMIFS('보조부'!$D$6:$D$305,'보조부'!$B$6:$B$305,A28)-SUMIFS('보조부'!$E$6:$E$305,'보조부'!$B$6:$B$305,A28)</x:f>
        <x:v>5230000</x:v>
      </x:c>
      <x:c r="D28" s="127" t="n">
        <x:f>B28-C28</x:f>
        <x:v>-190000</x:v>
      </x:c>
      <x:c r="E28" s="127" t="n">
        <x:f>ABS(D28)</x:f>
        <x:v>190000</x:v>
      </x:c>
      <x:c r="F28" s="127" t="n">
        <x:f>VLOOKUP(A28,'계정마스터'!$A$6:$C$55,3,FALSE)</x:f>
        <x:v>1000</x:v>
      </x:c>
      <x:c r="G28" s="112" t="str">
        <x:f>IF(E28&lt;=F28,"일치","확인")</x:f>
        <x:v>확인</x:v>
      </x:c>
      <x:c r="H28" s="103"/>
    </x:row>
    <x:row r="29">
      <x:c r="A29" s="103" t="str">
        <x:v>AC-0024</x:v>
      </x:c>
      <x:c r="B29" s="126" t="n">
        <x:f>SUMIFS('총계정원장'!$D$6:$D$305,'총계정원장'!$B$6:$B$305,A29)-SUMIFS('총계정원장'!$E$6:$E$305,'총계정원장'!$B$6:$B$305,A29)</x:f>
        <x:v>-4510000</x:v>
      </x:c>
      <x:c r="C29" s="127" t="n">
        <x:f>SUMIFS('보조부'!$D$6:$D$305,'보조부'!$B$6:$B$305,A29)-SUMIFS('보조부'!$E$6:$E$305,'보조부'!$B$6:$B$305,A29)</x:f>
        <x:v>-3730000</x:v>
      </x:c>
      <x:c r="D29" s="127" t="n">
        <x:f>B29-C29</x:f>
        <x:v>-780000</x:v>
      </x:c>
      <x:c r="E29" s="127" t="n">
        <x:f>ABS(D29)</x:f>
        <x:v>780000</x:v>
      </x:c>
      <x:c r="F29" s="127" t="n">
        <x:f>VLOOKUP(A29,'계정마스터'!$A$6:$C$55,3,FALSE)</x:f>
        <x:v>5000</x:v>
      </x:c>
      <x:c r="G29" s="112" t="str">
        <x:f>IF(E29&lt;=F29,"일치","확인")</x:f>
        <x:v>확인</x:v>
      </x:c>
      <x:c r="H29" s="103"/>
    </x:row>
    <x:row r="30">
      <x:c r="A30" s="103" t="str">
        <x:v>AC-0025</x:v>
      </x:c>
      <x:c r="B30" s="126" t="n">
        <x:f>SUMIFS('총계정원장'!$D$6:$D$305,'총계정원장'!$B$6:$B$305,A30)-SUMIFS('총계정원장'!$E$6:$E$305,'총계정원장'!$B$6:$B$305,A30)</x:f>
        <x:v>5680000</x:v>
      </x:c>
      <x:c r="C30" s="127" t="n">
        <x:f>SUMIFS('보조부'!$D$6:$D$305,'보조부'!$B$6:$B$305,A30)-SUMIFS('보조부'!$E$6:$E$305,'보조부'!$B$6:$B$305,A30)</x:f>
        <x:v>5420000</x:v>
      </x:c>
      <x:c r="D30" s="127" t="n">
        <x:f>B30-C30</x:f>
        <x:v>260000</x:v>
      </x:c>
      <x:c r="E30" s="127" t="n">
        <x:f>ABS(D30)</x:f>
        <x:v>260000</x:v>
      </x:c>
      <x:c r="F30" s="127" t="n">
        <x:f>VLOOKUP(A30,'계정마스터'!$A$6:$C$55,3,FALSE)</x:f>
        <x:v>1000</x:v>
      </x:c>
      <x:c r="G30" s="112" t="str">
        <x:f>IF(E30&lt;=F30,"일치","확인")</x:f>
        <x:v>확인</x:v>
      </x:c>
      <x:c r="H30" s="103"/>
    </x:row>
    <x:row r="31">
      <x:c r="A31" s="103" t="str">
        <x:v>AC-0026</x:v>
      </x:c>
      <x:c r="B31" s="126" t="n">
        <x:f>SUMIFS('총계정원장'!$D$6:$D$305,'총계정원장'!$B$6:$B$305,A31)-SUMIFS('총계정원장'!$E$6:$E$305,'총계정원장'!$B$6:$B$305,A31)</x:f>
        <x:v>-4080000</x:v>
      </x:c>
      <x:c r="C31" s="127" t="n">
        <x:f>SUMIFS('보조부'!$D$6:$D$305,'보조부'!$B$6:$B$305,A31)-SUMIFS('보조부'!$E$6:$E$305,'보조부'!$B$6:$B$305,A31)</x:f>
        <x:v>-5750000</x:v>
      </x:c>
      <x:c r="D31" s="127" t="n">
        <x:f>B31-C31</x:f>
        <x:v>1670000</x:v>
      </x:c>
      <x:c r="E31" s="127" t="n">
        <x:f>ABS(D31)</x:f>
        <x:v>1670000</x:v>
      </x:c>
      <x:c r="F31" s="127" t="n">
        <x:f>VLOOKUP(A31,'계정마스터'!$A$6:$C$55,3,FALSE)</x:f>
        <x:v>1000</x:v>
      </x:c>
      <x:c r="G31" s="112" t="str">
        <x:f>IF(E31&lt;=F31,"일치","확인")</x:f>
        <x:v>확인</x:v>
      </x:c>
      <x:c r="H31" s="103"/>
    </x:row>
    <x:row r="32">
      <x:c r="A32" s="103" t="str">
        <x:v>AC-0027</x:v>
      </x:c>
      <x:c r="B32" s="126" t="n">
        <x:f>SUMIFS('총계정원장'!$D$6:$D$305,'총계정원장'!$B$6:$B$305,A32)-SUMIFS('총계정원장'!$E$6:$E$305,'총계정원장'!$B$6:$B$305,A32)</x:f>
        <x:v>3350000</x:v>
      </x:c>
      <x:c r="C32" s="127" t="n">
        <x:f>SUMIFS('보조부'!$D$6:$D$305,'보조부'!$B$6:$B$305,A32)-SUMIFS('보조부'!$E$6:$E$305,'보조부'!$B$6:$B$305,A32)</x:f>
        <x:v>4340000</x:v>
      </x:c>
      <x:c r="D32" s="127" t="n">
        <x:f>B32-C32</x:f>
        <x:v>-990000</x:v>
      </x:c>
      <x:c r="E32" s="127" t="n">
        <x:f>ABS(D32)</x:f>
        <x:v>990000</x:v>
      </x:c>
      <x:c r="F32" s="127" t="n">
        <x:f>VLOOKUP(A32,'계정마스터'!$A$6:$C$55,3,FALSE)</x:f>
        <x:v>1000</x:v>
      </x:c>
      <x:c r="G32" s="112" t="str">
        <x:f>IF(E32&lt;=F32,"일치","확인")</x:f>
        <x:v>확인</x:v>
      </x:c>
      <x:c r="H32" s="103"/>
    </x:row>
    <x:row r="33">
      <x:c r="A33" s="103" t="str">
        <x:v>AC-0028</x:v>
      </x:c>
      <x:c r="B33" s="126" t="n">
        <x:f>SUMIFS('총계정원장'!$D$6:$D$305,'총계정원장'!$B$6:$B$305,A33)-SUMIFS('총계정원장'!$E$6:$E$305,'총계정원장'!$B$6:$B$305,A33)</x:f>
        <x:v>-6100000</x:v>
      </x:c>
      <x:c r="C33" s="127" t="n">
        <x:f>SUMIFS('보조부'!$D$6:$D$305,'보조부'!$B$6:$B$305,A33)-SUMIFS('보조부'!$E$6:$E$305,'보조부'!$B$6:$B$305,A33)</x:f>
        <x:v>-3900000</x:v>
      </x:c>
      <x:c r="D33" s="127" t="n">
        <x:f>B33-C33</x:f>
        <x:v>-2200000</x:v>
      </x:c>
      <x:c r="E33" s="127" t="n">
        <x:f>ABS(D33)</x:f>
        <x:v>2200000</x:v>
      </x:c>
      <x:c r="F33" s="127" t="n">
        <x:f>VLOOKUP(A33,'계정마스터'!$A$6:$C$55,3,FALSE)</x:f>
        <x:v>5000</x:v>
      </x:c>
      <x:c r="G33" s="112" t="str">
        <x:f>IF(E33&lt;=F33,"일치","확인")</x:f>
        <x:v>확인</x:v>
      </x:c>
      <x:c r="H33" s="103"/>
    </x:row>
    <x:row r="34">
      <x:c r="A34" s="103" t="str">
        <x:v>AC-0029</x:v>
      </x:c>
      <x:c r="B34" s="126" t="n">
        <x:f>SUMIFS('총계정원장'!$D$6:$D$305,'총계정원장'!$B$6:$B$305,A34)-SUMIFS('총계정원장'!$E$6:$E$305,'총계정원장'!$B$6:$B$305,A34)</x:f>
        <x:v>5410000</x:v>
      </x:c>
      <x:c r="C34" s="127" t="n">
        <x:f>SUMIFS('보조부'!$D$6:$D$305,'보조부'!$B$6:$B$305,A34)-SUMIFS('보조부'!$E$6:$E$305,'보조부'!$B$6:$B$305,A34)</x:f>
        <x:v>4040000</x:v>
      </x:c>
      <x:c r="D34" s="127" t="n">
        <x:f>B34-C34</x:f>
        <x:v>1370000</x:v>
      </x:c>
      <x:c r="E34" s="127" t="n">
        <x:f>ABS(D34)</x:f>
        <x:v>1370000</x:v>
      </x:c>
      <x:c r="F34" s="127" t="n">
        <x:f>VLOOKUP(A34,'계정마스터'!$A$6:$C$55,3,FALSE)</x:f>
        <x:v>1000</x:v>
      </x:c>
      <x:c r="G34" s="112" t="str">
        <x:f>IF(E34&lt;=F34,"일치","확인")</x:f>
        <x:v>확인</x:v>
      </x:c>
      <x:c r="H34" s="103"/>
    </x:row>
    <x:row r="35">
      <x:c r="A35" s="103" t="str">
        <x:v>AC-0030</x:v>
      </x:c>
      <x:c r="B35" s="126" t="n">
        <x:f>SUMIFS('총계정원장'!$D$6:$D$305,'총계정원장'!$B$6:$B$305,A35)-SUMIFS('총계정원장'!$E$6:$E$305,'총계정원장'!$B$6:$B$305,A35)</x:f>
        <x:v>-6040000</x:v>
      </x:c>
      <x:c r="C35" s="127" t="n">
        <x:f>SUMIFS('보조부'!$D$6:$D$305,'보조부'!$B$6:$B$305,A35)-SUMIFS('보조부'!$E$6:$E$305,'보조부'!$B$6:$B$305,A35)</x:f>
        <x:v>-2930000</x:v>
      </x:c>
      <x:c r="D35" s="127" t="n">
        <x:f>B35-C35</x:f>
        <x:v>-3110000</x:v>
      </x:c>
      <x:c r="E35" s="127" t="n">
        <x:f>ABS(D35)</x:f>
        <x:v>3110000</x:v>
      </x:c>
      <x:c r="F35" s="127" t="n">
        <x:f>VLOOKUP(A35,'계정마스터'!$A$6:$C$55,3,FALSE)</x:f>
        <x:v>1000</x:v>
      </x:c>
      <x:c r="G35" s="112" t="str">
        <x:f>IF(E35&lt;=F35,"일치","확인")</x:f>
        <x:v>확인</x:v>
      </x:c>
      <x:c r="H35" s="103"/>
    </x:row>
    <x:row r="36">
      <x:c r="A36" s="103" t="str">
        <x:v>AC-0031</x:v>
      </x:c>
      <x:c r="B36" s="126" t="n">
        <x:f>SUMIFS('총계정원장'!$D$6:$D$305,'총계정원장'!$B$6:$B$305,A36)-SUMIFS('총계정원장'!$E$6:$E$305,'총계정원장'!$B$6:$B$305,A36)</x:f>
        <x:v>4770000</x:v>
      </x:c>
      <x:c r="C36" s="127" t="n">
        <x:f>SUMIFS('보조부'!$D$6:$D$305,'보조부'!$B$6:$B$305,A36)-SUMIFS('보조부'!$E$6:$E$305,'보조부'!$B$6:$B$305,A36)</x:f>
        <x:v>4390000</x:v>
      </x:c>
      <x:c r="D36" s="127" t="n">
        <x:f>B36-C36</x:f>
        <x:v>380000</x:v>
      </x:c>
      <x:c r="E36" s="127" t="n">
        <x:f>ABS(D36)</x:f>
        <x:v>380000</x:v>
      </x:c>
      <x:c r="F36" s="127" t="n">
        <x:f>VLOOKUP(A36,'계정마스터'!$A$6:$C$55,3,FALSE)</x:f>
        <x:v>1000</x:v>
      </x:c>
      <x:c r="G36" s="112" t="str">
        <x:f>IF(E36&lt;=F36,"일치","확인")</x:f>
        <x:v>확인</x:v>
      </x:c>
      <x:c r="H36" s="103"/>
    </x:row>
    <x:row r="37">
      <x:c r="A37" s="103" t="str">
        <x:v>AC-0032</x:v>
      </x:c>
      <x:c r="B37" s="126" t="n">
        <x:f>SUMIFS('총계정원장'!$D$6:$D$305,'총계정원장'!$B$6:$B$305,A37)-SUMIFS('총계정원장'!$E$6:$E$305,'총계정원장'!$B$6:$B$305,A37)</x:f>
        <x:v>-5720000</x:v>
      </x:c>
      <x:c r="C37" s="127" t="n">
        <x:f>SUMIFS('보조부'!$D$6:$D$305,'보조부'!$B$6:$B$305,A37)-SUMIFS('보조부'!$E$6:$E$305,'보조부'!$B$6:$B$305,A37)</x:f>
        <x:v>-3740000</x:v>
      </x:c>
      <x:c r="D37" s="127" t="n">
        <x:f>B37-C37</x:f>
        <x:v>-1980000</x:v>
      </x:c>
      <x:c r="E37" s="127" t="n">
        <x:f>ABS(D37)</x:f>
        <x:v>1980000</x:v>
      </x:c>
      <x:c r="F37" s="127" t="n">
        <x:f>VLOOKUP(A37,'계정마스터'!$A$6:$C$55,3,FALSE)</x:f>
        <x:v>5000</x:v>
      </x:c>
      <x:c r="G37" s="112" t="str">
        <x:f>IF(E37&lt;=F37,"일치","확인")</x:f>
        <x:v>확인</x:v>
      </x:c>
      <x:c r="H37" s="103"/>
    </x:row>
    <x:row r="38">
      <x:c r="A38" s="103" t="str">
        <x:v>AC-0033</x:v>
      </x:c>
      <x:c r="B38" s="126" t="n">
        <x:f>SUMIFS('총계정원장'!$D$6:$D$305,'총계정원장'!$B$6:$B$305,A38)-SUMIFS('총계정원장'!$E$6:$E$305,'총계정원장'!$B$6:$B$305,A38)</x:f>
        <x:v>5790000</x:v>
      </x:c>
      <x:c r="C38" s="127" t="n">
        <x:f>SUMIFS('보조부'!$D$6:$D$305,'보조부'!$B$6:$B$305,A38)-SUMIFS('보조부'!$E$6:$E$305,'보조부'!$B$6:$B$305,A38)</x:f>
        <x:v>4472000</x:v>
      </x:c>
      <x:c r="D38" s="127" t="n">
        <x:f>B38-C38</x:f>
        <x:v>1318000</x:v>
      </x:c>
      <x:c r="E38" s="127" t="n">
        <x:f>ABS(D38)</x:f>
        <x:v>1318000</x:v>
      </x:c>
      <x:c r="F38" s="127" t="n">
        <x:f>VLOOKUP(A38,'계정마스터'!$A$6:$C$55,3,FALSE)</x:f>
        <x:v>1000</x:v>
      </x:c>
      <x:c r="G38" s="112" t="str">
        <x:f>IF(E38&lt;=F38,"일치","확인")</x:f>
        <x:v>확인</x:v>
      </x:c>
      <x:c r="H38" s="103"/>
    </x:row>
    <x:row r="39">
      <x:c r="A39" s="103" t="str">
        <x:v>AC-0034</x:v>
      </x:c>
      <x:c r="B39" s="126" t="n">
        <x:f>SUMIFS('총계정원장'!$D$6:$D$305,'총계정원장'!$B$6:$B$305,A39)-SUMIFS('총계정원장'!$E$6:$E$305,'총계정원장'!$B$6:$B$305,A39)</x:f>
        <x:v>-5340000</x:v>
      </x:c>
      <x:c r="C39" s="127" t="n">
        <x:f>SUMIFS('보조부'!$D$6:$D$305,'보조부'!$B$6:$B$305,A39)-SUMIFS('보조부'!$E$6:$E$305,'보조부'!$B$6:$B$305,A39)</x:f>
        <x:v>-6310000</x:v>
      </x:c>
      <x:c r="D39" s="127" t="n">
        <x:f>B39-C39</x:f>
        <x:v>970000</x:v>
      </x:c>
      <x:c r="E39" s="127" t="n">
        <x:v>2500</x:v>
      </x:c>
      <x:c r="F39" s="127" t="n">
        <x:f>VLOOKUP(A39,'계정마스터'!$A$6:$C$55,3,FALSE)</x:f>
        <x:v>1000</x:v>
      </x:c>
      <x:c r="G39" s="112" t="str">
        <x:f>IF(E39&lt;=F39,"일치","확인")</x:f>
        <x:v>확인</x:v>
      </x:c>
      <x:c r="H39" s="103"/>
    </x:row>
    <x:row r="40">
      <x:c r="A40" s="103" t="str">
        <x:v>AC-0035</x:v>
      </x:c>
      <x:c r="B40" s="126" t="n">
        <x:f>SUMIFS('총계정원장'!$D$6:$D$305,'총계정원장'!$B$6:$B$305,A40)-SUMIFS('총계정원장'!$E$6:$E$305,'총계정원장'!$B$6:$B$305,A40)</x:f>
        <x:v>5170000</x:v>
      </x:c>
      <x:c r="C40" s="127" t="n">
        <x:f>SUMIFS('보조부'!$D$6:$D$305,'보조부'!$B$6:$B$305,A40)-SUMIFS('보조부'!$E$6:$E$305,'보조부'!$B$6:$B$305,A40)</x:f>
        <x:v>3810000</x:v>
      </x:c>
      <x:c r="D40" s="127" t="n">
        <x:f>B40-C40</x:f>
        <x:v>1360000</x:v>
      </x:c>
      <x:c r="E40" s="127" t="n">
        <x:f>ABS(D40)</x:f>
        <x:v>1360000</x:v>
      </x:c>
      <x:c r="F40" s="127" t="n">
        <x:f>VLOOKUP(A40,'계정마스터'!$A$6:$C$55,3,FALSE)</x:f>
        <x:v>1000</x:v>
      </x:c>
      <x:c r="G40" s="112" t="str">
        <x:f>IF(E40&lt;=F40,"일치","확인")</x:f>
        <x:v>확인</x:v>
      </x:c>
      <x:c r="H40" s="103"/>
    </x:row>
    <x:row r="41">
      <x:c r="A41" s="103" t="str">
        <x:v>AC-0036</x:v>
      </x:c>
      <x:c r="B41" s="126" t="n">
        <x:f>SUMIFS('총계정원장'!$D$6:$D$305,'총계정원장'!$B$6:$B$305,A41)-SUMIFS('총계정원장'!$E$6:$E$305,'총계정원장'!$B$6:$B$305,A41)</x:f>
        <x:v>-5440000</x:v>
      </x:c>
      <x:c r="C41" s="127" t="n">
        <x:f>SUMIFS('보조부'!$D$6:$D$305,'보조부'!$B$6:$B$305,A41)-SUMIFS('보조부'!$E$6:$E$305,'보조부'!$B$6:$B$305,A41)</x:f>
        <x:v>-4818000</x:v>
      </x:c>
      <x:c r="D41" s="127" t="n">
        <x:f>B41-C41</x:f>
        <x:v>-622000</x:v>
      </x:c>
      <x:c r="E41" s="127" t="n">
        <x:f>ABS(D41)</x:f>
        <x:v>622000</x:v>
      </x:c>
      <x:c r="F41" s="127" t="n">
        <x:f>VLOOKUP(A41,'계정마스터'!$A$6:$C$55,3,FALSE)</x:f>
        <x:v>5000</x:v>
      </x:c>
      <x:c r="G41" s="112" t="str">
        <x:f>IF(E41&lt;=F41,"일치","확인")</x:f>
        <x:v>확인</x:v>
      </x:c>
      <x:c r="H41" s="103"/>
    </x:row>
    <x:row r="42">
      <x:c r="A42" s="103" t="str">
        <x:v>AC-0037</x:v>
      </x:c>
      <x:c r="B42" s="126" t="n">
        <x:f>SUMIFS('총계정원장'!$D$6:$D$305,'총계정원장'!$B$6:$B$305,A42)-SUMIFS('총계정원장'!$E$6:$E$305,'총계정원장'!$B$6:$B$305,A42)</x:f>
        <x:v>3700000</x:v>
      </x:c>
      <x:c r="C42" s="127" t="n">
        <x:f>SUMIFS('보조부'!$D$6:$D$305,'보조부'!$B$6:$B$305,A42)-SUMIFS('보조부'!$E$6:$E$305,'보조부'!$B$6:$B$305,A42)</x:f>
        <x:v>4020000</x:v>
      </x:c>
      <x:c r="D42" s="127" t="n">
        <x:f>B42-C42</x:f>
        <x:v>-320000</x:v>
      </x:c>
      <x:c r="E42" s="127" t="n">
        <x:f>ABS(D42)</x:f>
        <x:v>320000</x:v>
      </x:c>
      <x:c r="F42" s="127" t="n">
        <x:f>VLOOKUP(A42,'계정마스터'!$A$6:$C$55,3,FALSE)</x:f>
        <x:v>1000</x:v>
      </x:c>
      <x:c r="G42" s="112" t="str">
        <x:f>IF(E42&lt;=F42,"일치","확인")</x:f>
        <x:v>확인</x:v>
      </x:c>
      <x:c r="H42" s="103"/>
    </x:row>
    <x:row r="43">
      <x:c r="A43" s="103" t="str">
        <x:v>AC-0038</x:v>
      </x:c>
      <x:c r="B43" s="126" t="n">
        <x:f>SUMIFS('총계정원장'!$D$6:$D$305,'총계정원장'!$B$6:$B$305,A43)-SUMIFS('총계정원장'!$E$6:$E$305,'총계정원장'!$B$6:$B$305,A43)</x:f>
        <x:v>-5980000</x:v>
      </x:c>
      <x:c r="C43" s="127" t="n">
        <x:f>SUMIFS('보조부'!$D$6:$D$305,'보조부'!$B$6:$B$305,A43)-SUMIFS('보조부'!$E$6:$E$305,'보조부'!$B$6:$B$305,A43)</x:f>
        <x:v>-4210000</x:v>
      </x:c>
      <x:c r="D43" s="127" t="n">
        <x:f>B43-C43</x:f>
        <x:v>-1770000</x:v>
      </x:c>
      <x:c r="E43" s="127" t="n">
        <x:f>ABS(D43)</x:f>
        <x:v>1770000</x:v>
      </x:c>
      <x:c r="F43" s="127" t="n">
        <x:f>VLOOKUP(A43,'계정마스터'!$A$6:$C$55,3,FALSE)</x:f>
        <x:v>1000</x:v>
      </x:c>
      <x:c r="G43" s="112" t="str">
        <x:f>IF(E43&lt;=F43,"일치","확인")</x:f>
        <x:v>확인</x:v>
      </x:c>
      <x:c r="H43" s="103"/>
    </x:row>
    <x:row r="44">
      <x:c r="A44" s="103" t="str">
        <x:v>AC-0039</x:v>
      </x:c>
      <x:c r="B44" s="126" t="n">
        <x:f>SUMIFS('총계정원장'!$D$6:$D$305,'총계정원장'!$B$6:$B$305,A44)-SUMIFS('총계정원장'!$E$6:$E$305,'총계정원장'!$B$6:$B$305,A44)</x:f>
        <x:v>2880000</x:v>
      </x:c>
      <x:c r="C44" s="127" t="n">
        <x:f>SUMIFS('보조부'!$D$6:$D$305,'보조부'!$B$6:$B$305,A44)-SUMIFS('보조부'!$E$6:$E$305,'보조부'!$B$6:$B$305,A44)</x:f>
        <x:v>6162000</x:v>
      </x:c>
      <x:c r="D44" s="127" t="n">
        <x:f>B44-C44</x:f>
        <x:v>-3282000</x:v>
      </x:c>
      <x:c r="E44" s="127" t="n">
        <x:f>ABS(D44)</x:f>
        <x:v>3282000</x:v>
      </x:c>
      <x:c r="F44" s="127" t="n">
        <x:f>VLOOKUP(A44,'계정마스터'!$A$6:$C$55,3,FALSE)</x:f>
        <x:v>1000</x:v>
      </x:c>
      <x:c r="G44" s="112" t="str">
        <x:f>IF(E44&lt;=F44,"일치","확인")</x:f>
        <x:v>확인</x:v>
      </x:c>
      <x:c r="H44" s="103"/>
    </x:row>
    <x:row r="45">
      <x:c r="A45" s="103" t="str">
        <x:v>AC-0040</x:v>
      </x:c>
      <x:c r="B45" s="126" t="n">
        <x:f>SUMIFS('총계정원장'!$D$6:$D$305,'총계정원장'!$B$6:$B$305,A45)-SUMIFS('총계정원장'!$E$6:$E$305,'총계정원장'!$B$6:$B$305,A45)</x:f>
        <x:v>-4890000</x:v>
      </x:c>
      <x:c r="C45" s="127" t="n">
        <x:f>SUMIFS('보조부'!$D$6:$D$305,'보조부'!$B$6:$B$305,A45)-SUMIFS('보조부'!$E$6:$E$305,'보조부'!$B$6:$B$305,A45)</x:f>
        <x:v>-4370000</x:v>
      </x:c>
      <x:c r="D45" s="127" t="n">
        <x:f>B45-C45</x:f>
        <x:v>-520000</x:v>
      </x:c>
      <x:c r="E45" s="127" t="n">
        <x:f>ABS(D45)</x:f>
        <x:v>520000</x:v>
      </x:c>
      <x:c r="F45" s="127" t="n">
        <x:f>VLOOKUP(A45,'계정마스터'!$A$6:$C$55,3,FALSE)</x:f>
        <x:v>5000</x:v>
      </x:c>
      <x:c r="G45" s="112" t="str">
        <x:f>IF(E45&lt;=F45,"일치","확인")</x:f>
        <x:v>확인</x:v>
      </x:c>
      <x:c r="H45" s="103"/>
    </x:row>
    <x:row r="46">
      <x:c r="A46" s="103" t="str">
        <x:v>AC-0041</x:v>
      </x:c>
      <x:c r="B46" s="126" t="n">
        <x:f>SUMIFS('총계정원장'!$D$6:$D$305,'총계정원장'!$B$6:$B$305,A46)-SUMIFS('총계정원장'!$E$6:$E$305,'총계정원장'!$B$6:$B$305,A46)</x:f>
        <x:v>5880000</x:v>
      </x:c>
      <x:c r="C46" s="127" t="n">
        <x:f>SUMIFS('보조부'!$D$6:$D$305,'보조부'!$B$6:$B$305,A46)-SUMIFS('보조부'!$E$6:$E$305,'보조부'!$B$6:$B$305,A46)</x:f>
        <x:v>2930000</x:v>
      </x:c>
      <x:c r="D46" s="127" t="n">
        <x:f>B46-C46</x:f>
        <x:v>2950000</x:v>
      </x:c>
      <x:c r="E46" s="127" t="n">
        <x:f>ABS(D46)</x:f>
        <x:v>2950000</x:v>
      </x:c>
      <x:c r="F46" s="127" t="n">
        <x:f>VLOOKUP(A46,'계정마스터'!$A$6:$C$55,3,FALSE)</x:f>
        <x:v>1000</x:v>
      </x:c>
      <x:c r="G46" s="112"/>
      <x:c r="H46" s="103"/>
    </x:row>
    <x:row r="47">
      <x:c r="A47" s="103" t="str">
        <x:v>AC-0042</x:v>
      </x:c>
      <x:c r="B47" s="126" t="n">
        <x:f>SUMIFS('총계정원장'!$D$6:$D$305,'총계정원장'!$B$6:$B$305,A47)-SUMIFS('총계정원장'!$E$6:$E$305,'총계정원장'!$B$6:$B$305,A47)</x:f>
        <x:v>-4430000</x:v>
      </x:c>
      <x:c r="C47" s="127" t="n">
        <x:f>SUMIFS('보조부'!$D$6:$D$305,'보조부'!$B$6:$B$305,A47)-SUMIFS('보조부'!$E$6:$E$305,'보조부'!$B$6:$B$305,A47)</x:f>
        <x:v>-4138000</x:v>
      </x:c>
      <x:c r="D47" s="127" t="n">
        <x:f>B47-C47</x:f>
        <x:v>-292000</x:v>
      </x:c>
      <x:c r="E47" s="127" t="n">
        <x:f>ABS(D47)</x:f>
        <x:v>292000</x:v>
      </x:c>
      <x:c r="F47" s="127" t="n">
        <x:f>VLOOKUP(A47,'계정마스터'!$A$6:$C$55,3,FALSE)</x:f>
        <x:v>1000</x:v>
      </x:c>
      <x:c r="G47" s="112" t="str">
        <x:f>IF(E47&lt;=F47,"일치","확인")</x:f>
        <x:v>확인</x:v>
      </x:c>
      <x:c r="H47" s="103"/>
    </x:row>
    <x:row r="48">
      <x:c r="A48" s="103" t="str">
        <x:v>AC-0043</x:v>
      </x:c>
      <x:c r="B48" s="126" t="n">
        <x:f>SUMIFS('총계정원장'!$D$6:$D$305,'총계정원장'!$B$6:$B$305,A48)-SUMIFS('총계정원장'!$E$6:$E$305,'총계정원장'!$B$6:$B$305,A48)</x:f>
        <x:v>3060000</x:v>
      </x:c>
      <x:c r="C48" s="127" t="n">
        <x:f>SUMIFS('보조부'!$D$6:$D$305,'보조부'!$B$6:$B$305,A48)-SUMIFS('보조부'!$E$6:$E$305,'보조부'!$B$6:$B$305,A48)</x:f>
        <x:v>4130000</x:v>
      </x:c>
      <x:c r="D48" s="127" t="n">
        <x:f>B48-C48</x:f>
        <x:v>-1070000</x:v>
      </x:c>
      <x:c r="E48" s="127" t="n">
        <x:f>ABS(D48)</x:f>
        <x:v>1070000</x:v>
      </x:c>
      <x:c r="F48" s="127" t="n">
        <x:f>VLOOKUP(A48,'계정마스터'!$A$6:$C$55,3,FALSE)</x:f>
        <x:v>1000</x:v>
      </x:c>
      <x:c r="G48" s="112" t="str">
        <x:f>IF(E48&lt;=F48,"일치","확인")</x:f>
        <x:v>확인</x:v>
      </x:c>
      <x:c r="H48" s="103"/>
    </x:row>
    <x:row r="49">
      <x:c r="A49" s="103" t="str">
        <x:v>AC-0044</x:v>
      </x:c>
      <x:c r="B49" s="126" t="n">
        <x:f>SUMIFS('총계정원장'!$D$6:$D$305,'총계정원장'!$B$6:$B$305,A49)-SUMIFS('총계정원장'!$E$6:$E$305,'총계정원장'!$B$6:$B$305,A49)</x:f>
        <x:v>-4510000</x:v>
      </x:c>
      <x:c r="C49" s="127" t="n">
        <x:f>SUMIFS('보조부'!$D$6:$D$305,'보조부'!$B$6:$B$305,A49)-SUMIFS('보조부'!$E$6:$E$305,'보조부'!$B$6:$B$305,A49)</x:f>
        <x:v>-5550000</x:v>
      </x:c>
      <x:c r="D49" s="127" t="n">
        <x:f>B49-C49</x:f>
        <x:v>1040000</x:v>
      </x:c>
      <x:c r="E49" s="127" t="n">
        <x:f>ABS(D49)</x:f>
        <x:v>1040000</x:v>
      </x:c>
      <x:c r="F49" s="127" t="n">
        <x:f>VLOOKUP(A49,'계정마스터'!$A$6:$C$55,3,FALSE)</x:f>
        <x:v>5000</x:v>
      </x:c>
      <x:c r="G49" s="112" t="str">
        <x:f>IF(E49&lt;=F49,"일치","확인")</x:f>
        <x:v>확인</x:v>
      </x:c>
      <x:c r="H49" s="103"/>
    </x:row>
    <x:row r="50">
      <x:c r="A50" s="103" t="str">
        <x:v>AC-0045</x:v>
      </x:c>
      <x:c r="B50" s="126" t="n">
        <x:f>SUMIFS('총계정원장'!$D$6:$D$305,'총계정원장'!$B$6:$B$305,A50)-SUMIFS('총계정원장'!$E$6:$E$305,'총계정원장'!$B$6:$B$305,A50)</x:f>
        <x:v>5610000</x:v>
      </x:c>
      <x:c r="C50" s="127" t="n">
        <x:f>SUMIFS('보조부'!$D$6:$D$305,'보조부'!$B$6:$B$305,A50)-SUMIFS('보조부'!$E$6:$E$305,'보조부'!$B$6:$B$305,A50)</x:f>
        <x:v>2562000</x:v>
      </x:c>
      <x:c r="D50" s="127" t="n">
        <x:f>B50-C50</x:f>
        <x:v>3048000</x:v>
      </x:c>
      <x:c r="E50" s="127" t="n">
        <x:f>ABS(D50)</x:f>
        <x:v>3048000</x:v>
      </x:c>
      <x:c r="F50" s="127" t="n">
        <x:f>VLOOKUP(A50,'계정마스터'!$A$6:$C$55,3,FALSE)</x:f>
        <x:v>1000</x:v>
      </x:c>
      <x:c r="G50" s="112" t="str">
        <x:f>IF(E50&lt;=F50,"일치","확인")</x:f>
        <x:v>확인</x:v>
      </x:c>
      <x:c r="H50" s="103"/>
    </x:row>
    <x:row r="51">
      <x:c r="A51" s="103" t="str">
        <x:v>AC-0046</x:v>
      </x:c>
      <x:c r="B51" s="126" t="n">
        <x:f>SUMIFS('총계정원장'!$D$6:$D$305,'총계정원장'!$B$6:$B$305,A51)-SUMIFS('총계정원장'!$E$6:$E$305,'총계정원장'!$B$6:$B$305,A51)</x:f>
        <x:v>-2020000</x:v>
      </x:c>
      <x:c r="C51" s="127" t="n">
        <x:f>SUMIFS('보조부'!$D$6:$D$305,'보조부'!$B$6:$B$305,A51)-SUMIFS('보조부'!$E$6:$E$305,'보조부'!$B$6:$B$305,A51)</x:f>
        <x:v>-5360000</x:v>
      </x:c>
      <x:c r="D51" s="127" t="n">
        <x:f>B51-C51</x:f>
        <x:v>3340000</x:v>
      </x:c>
      <x:c r="E51" s="127" t="n">
        <x:f>ABS(D51)</x:f>
        <x:v>3340000</x:v>
      </x:c>
      <x:c r="F51" s="127" t="n">
        <x:f>VLOOKUP(A51,'계정마스터'!$A$6:$C$55,3,FALSE)</x:f>
        <x:v>1000</x:v>
      </x:c>
      <x:c r="G51" s="112" t="str">
        <x:f>IF(E51&lt;=F51,"일치","확인")</x:f>
        <x:v>확인</x:v>
      </x:c>
      <x:c r="H51" s="103"/>
    </x:row>
    <x:row r="52">
      <x:c r="A52" s="103" t="str">
        <x:v>AC-0047</x:v>
      </x:c>
      <x:c r="B52" s="126" t="n">
        <x:f>SUMIFS('총계정원장'!$D$6:$D$305,'총계정원장'!$B$6:$B$305,A52)-SUMIFS('총계정원장'!$E$6:$E$305,'총계정원장'!$B$6:$B$305,A52)</x:f>
        <x:v>4630000</x:v>
      </x:c>
      <x:c r="C52" s="127" t="n">
        <x:f>SUMIFS('보조부'!$D$6:$D$305,'보조부'!$B$6:$B$305,A52)-SUMIFS('보조부'!$E$6:$E$305,'보조부'!$B$6:$B$305,A52)</x:f>
        <x:v>3850000</x:v>
      </x:c>
      <x:c r="D52" s="127" t="n">
        <x:f>B52-C52</x:f>
        <x:v>780000</x:v>
      </x:c>
      <x:c r="E52" s="127" t="n">
        <x:f>ABS(D52)</x:f>
        <x:v>780000</x:v>
      </x:c>
      <x:c r="F52" s="127" t="n">
        <x:f>VLOOKUP(A52,'계정마스터'!$A$6:$C$55,3,FALSE)</x:f>
        <x:v>1000</x:v>
      </x:c>
      <x:c r="G52" s="112" t="str">
        <x:f>IF(E52&lt;=F52,"일치","확인")</x:f>
        <x:v>확인</x:v>
      </x:c>
      <x:c r="H52" s="103"/>
    </x:row>
    <x:row r="53">
      <x:c r="A53" s="103" t="str">
        <x:v>AC-0048</x:v>
      </x:c>
      <x:c r="B53" s="126" t="n">
        <x:f>SUMIFS('총계정원장'!$D$6:$D$305,'총계정원장'!$B$6:$B$305,A53)-SUMIFS('총계정원장'!$E$6:$E$305,'총계정원장'!$B$6:$B$305,A53)</x:f>
        <x:v>-4460000</x:v>
      </x:c>
      <x:c r="C53" s="127" t="n">
        <x:f>SUMIFS('보조부'!$D$6:$D$305,'보조부'!$B$6:$B$305,A53)-SUMIFS('보조부'!$E$6:$E$305,'보조부'!$B$6:$B$305,A53)</x:f>
        <x:v>-4088000</x:v>
      </x:c>
      <x:c r="D53" s="127" t="n">
        <x:f>B53-C53</x:f>
        <x:v>-372000</x:v>
      </x:c>
      <x:c r="E53" s="127" t="n">
        <x:f>ABS(D53)</x:f>
        <x:v>372000</x:v>
      </x:c>
      <x:c r="F53" s="127" t="n">
        <x:f>VLOOKUP(A53,'계정마스터'!$A$6:$C$55,3,FALSE)</x:f>
        <x:v>5000</x:v>
      </x:c>
      <x:c r="G53" s="112" t="str">
        <x:f>IF(E53&lt;=F53,"일치","확인")</x:f>
        <x:v>확인</x:v>
      </x:c>
      <x:c r="H53" s="103"/>
    </x:row>
    <x:row r="54">
      <x:c r="A54" s="103" t="str">
        <x:v>AC-0049</x:v>
      </x:c>
      <x:c r="B54" s="126" t="n">
        <x:f>SUMIFS('총계정원장'!$D$6:$D$305,'총계정원장'!$B$6:$B$305,A54)-SUMIFS('총계정원장'!$E$6:$E$305,'총계정원장'!$B$6:$B$305,A54)</x:f>
        <x:v>5220000</x:v>
      </x:c>
      <x:c r="C54" s="127" t="n">
        <x:f>SUMIFS('보조부'!$D$6:$D$305,'보조부'!$B$6:$B$305,A54)-SUMIFS('보조부'!$E$6:$E$305,'보조부'!$B$6:$B$305,A54)</x:f>
        <x:v>4540000</x:v>
      </x:c>
      <x:c r="D54" s="127" t="n">
        <x:f>B54-C54</x:f>
        <x:v>680000</x:v>
      </x:c>
      <x:c r="E54" s="127" t="n">
        <x:f>ABS(D54)</x:f>
        <x:v>680000</x:v>
      </x:c>
      <x:c r="F54" s="127" t="n">
        <x:f>VLOOKUP(A54,'계정마스터'!$A$6:$C$55,3,FALSE)</x:f>
        <x:v>1000</x:v>
      </x:c>
      <x:c r="G54" s="112" t="str">
        <x:f>IF(E54&lt;=F54,"일치","확인")</x:f>
        <x:v>확인</x:v>
      </x:c>
      <x:c r="H54" s="103"/>
    </x:row>
    <x:row r="55">
      <x:c r="A55" s="104" t="str">
        <x:v>AC-0050</x:v>
      </x:c>
      <x:c r="B55" s="128" t="n">
        <x:f>SUMIFS('총계정원장'!$D$6:$D$305,'총계정원장'!$B$6:$B$305,A55)-SUMIFS('총계정원장'!$E$6:$E$305,'총계정원장'!$B$6:$B$305,A55)</x:f>
        <x:v>-5590000</x:v>
      </x:c>
      <x:c r="C55" s="129" t="n">
        <x:f>SUMIFS('보조부'!$D$6:$D$305,'보조부'!$B$6:$B$305,A55)-SUMIFS('보조부'!$E$6:$E$305,'보조부'!$B$6:$B$305,A55)</x:f>
        <x:v>-3920000</x:v>
      </x:c>
      <x:c r="D55" s="129" t="n">
        <x:f>B55-C55</x:f>
        <x:v>-1670000</x:v>
      </x:c>
      <x:c r="E55" s="129" t="n">
        <x:f>ABS(D55)</x:f>
        <x:v>1670000</x:v>
      </x:c>
      <x:c r="F55" s="129" t="n">
        <x:f>VLOOKUP(A55,'계정마스터'!$A$6:$C$55,3,FALSE)</x:f>
        <x:v>1000</x:v>
      </x:c>
      <x:c r="G55" s="115" t="str">
        <x:f>IF(E55&lt;=F55,"일치","확인")</x:f>
        <x:v>확인</x:v>
      </x:c>
      <x:c r="H55" s="104"/>
    </x:row>
    <x:row r="56">
      <x:c r="A56" s="142" t="str">
        <x:v>소계</x:v>
      </x:c>
      <x:c r="B56" s="143" t="n">
        <x:f>SUM(B6:B55)</x:f>
        <x:v>8770000</x:v>
      </x:c>
      <x:c r="C56" s="143" t="n">
        <x:f>SUM(C6:C55)</x:f>
        <x:v>-446000</x:v>
      </x:c>
      <x:c r="D56" s="143" t="n">
        <x:f>SUM(D6:D55)</x:f>
        <x:v>-884000</x:v>
      </x:c>
      <x:c r="E56" s="143" t="n">
        <x:f>SUM(E6:E55)</x:f>
        <x:v>74724500</x:v>
      </x:c>
      <x:c r="F56" s="143" t="n">
        <x:f>SUM(F6:F55)</x:f>
        <x:v>98000</x:v>
      </x:c>
      <x:c r="G56" s="144" t="str"/>
      <x:c r="H56" s="145" t="str"/>
    </x:row>
    <x:row r="57">
      <x:c r="A57" s="158" t="str">
        <x:v>시차조정</x:v>
      </x:c>
      <x:c r="B57" s="159" t="n">
        <x:v>0</x:v>
      </x:c>
      <x:c r="C57" s="159" t="n">
        <x:v>0</x:v>
      </x:c>
      <x:c r="D57" s="159" t="n">
        <x:v>15000</x:v>
      </x:c>
      <x:c r="E57" s="159" t="n">
        <x:v>15000</x:v>
      </x:c>
      <x:c r="F57" s="159" t="n">
        <x:v>0</x:v>
      </x:c>
      <x:c r="G57" s="160" t="str">
        <x:v>확인</x:v>
      </x:c>
      <x:c r="H57" s="161" t="str">
        <x:v>입출금 시차 수기조정</x:v>
      </x:c>
    </x:row>
    <x:row r="58">
      <x:c r="A58" s="142" t="str">
        <x:v>합계</x:v>
      </x:c>
      <x:c r="B58" s="143" t="n">
        <x:f>B56+B57</x:f>
        <x:v>8770000</x:v>
      </x:c>
      <x:c r="C58" s="143" t="n">
        <x:f>C56+C57</x:f>
        <x:v>-446000</x:v>
      </x:c>
      <x:c r="D58" s="143" t="n">
        <x:f>D56+D57</x:f>
        <x:v>-869000</x:v>
      </x:c>
      <x:c r="E58" s="143" t="n">
        <x:f>E56+E57</x:f>
        <x:v>74739500</x:v>
      </x:c>
      <x:c r="F58" s="143" t="n">
        <x:f>F56+F57</x:f>
        <x:v>98000</x:v>
      </x:c>
      <x:c r="G58" s="144" t="str"/>
      <x:c r="H58" s="145" t="str"/>
    </x:row>
  </x:sheetData>
  <x:mergeCells>
    <x:mergeCell ref="A1:H1"/>
    <x:mergeCell ref="A2:H2"/>
    <x:mergeCell ref="A3:H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0" customHeight="1">
      <x:c r="A1" s="5" t="str">
        <x:v>계정 대사 KPI</x:v>
      </x:c>
      <x:c r="B1" s="5"/>
      <x:c r="C1" s="5"/>
      <x:c r="D1" s="5"/>
      <x:c r="E1" s="5"/>
      <x:c r="F1" s="5"/>
      <x:c r="G1" s="5"/>
      <x:c r="H1" s="5"/>
    </x:row>
    <x:row r="2" ht="24" customHeight="1">
      <x:c r="A2" s="12" t="str">
        <x:v>대사상태와 차이 금액</x:v>
      </x:c>
      <x:c r="B2" s="12"/>
      <x:c r="C2" s="12"/>
      <x:c r="D2" s="12"/>
      <x:c r="E2" s="12"/>
      <x:c r="F2" s="12"/>
      <x:c r="G2" s="12"/>
      <x:c r="H2" s="12"/>
    </x:row>
    <x:row r="3">
      <x:c r="A3" s="18" t="str">
        <x:v>M4-C 추가 교정용 합성 데이터입니다. 노란색은 입력, 파란색은 계산 영역입니다.</x:v>
      </x:c>
      <x:c r="B3" s="18"/>
      <x:c r="C3" s="18"/>
      <x:c r="D3" s="18"/>
      <x:c r="E3" s="18"/>
      <x:c r="F3" s="18"/>
      <x:c r="G3" s="18"/>
      <x:c r="H3" s="18"/>
    </x:row>
    <x:row r="5">
      <x:c r="A5" s="171" t="str">
        <x:v>확인 필요 계정</x:v>
      </x:c>
      <x:c r="B5" s="171"/>
      <x:c r="C5" s="171" t="str">
        <x:v>총 절대차이</x:v>
      </x:c>
      <x:c r="D5" s="171"/>
      <x:c r="E5" s="171" t="str">
        <x:v>GL잔액</x:v>
      </x:c>
      <x:c r="F5" s="171"/>
      <x:c r="G5" s="171" t="str">
        <x:v>보조부잔액</x:v>
      </x:c>
      <x:c r="H5" s="171"/>
    </x:row>
    <x:row r="6">
      <x:c r="A6" s="176" t="n">
        <x:f>COUNTIF('대사표'!G6:G55,"확인")</x:f>
        <x:v>49</x:v>
      </x:c>
      <x:c r="B6" s="176"/>
      <x:c r="C6" s="176" t="n">
        <x:f>'대사표'!E58</x:f>
        <x:v>74739500</x:v>
      </x:c>
      <x:c r="D6" s="176"/>
      <x:c r="E6" s="176" t="n">
        <x:f>'대사표'!B58</x:f>
        <x:v>8770000</x:v>
      </x:c>
      <x:c r="F6" s="176"/>
      <x:c r="G6" s="176" t="n">
        <x:f>'대사표'!C58</x:f>
        <x:v>-446000</x:v>
      </x:c>
      <x:c r="H6" s="176"/>
    </x:row>
    <x:row r="7">
      <x:c r="A7" s="176"/>
      <x:c r="B7" s="176"/>
      <x:c r="C7" s="176"/>
      <x:c r="D7" s="176"/>
      <x:c r="E7" s="176"/>
      <x:c r="F7" s="176"/>
      <x:c r="G7" s="176"/>
      <x:c r="H7" s="176"/>
    </x:row>
  </x:sheetData>
  <x:mergeCells>
    <x:mergeCell ref="A1:H1"/>
    <x:mergeCell ref="A2:H2"/>
    <x:mergeCell ref="A3:H3"/>
    <x:mergeCell ref="A5:B5"/>
    <x:mergeCell ref="A6:B7"/>
    <x:mergeCell ref="C5:D5"/>
    <x:mergeCell ref="C6:D7"/>
    <x:mergeCell ref="E5:F5"/>
    <x:mergeCell ref="E6:F7"/>
    <x:mergeCell ref="G5:H5"/>
    <x:mergeCell ref="G6:H7"/>
  </x:mergeCells>
  <x:pageMargins left="0.7" right="0.7" top="0.75" bottom="0.75" header="0.3" footer="0.3"/>
</x:worksheet>
</file>