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a6496c6de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2366ec07d5ef453c"/>
    <x:sheet xmlns:r="http://schemas.openxmlformats.org/officeDocument/2006/relationships" name="설정" sheetId="2" r:id="Redb7077f2fe34534"/>
    <x:sheet xmlns:r="http://schemas.openxmlformats.org/officeDocument/2006/relationships" name="자금계획" sheetId="3" r:id="R4012973e8062405a"/>
    <x:sheet xmlns:r="http://schemas.openxmlformats.org/officeDocument/2006/relationships" name="월별요약" sheetId="4" r:id="R752d5f4ed7b14116"/>
    <x:sheet xmlns:r="http://schemas.openxmlformats.org/officeDocument/2006/relationships" name="요약" sheetId="5" r:id="R16be594fa5dd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yyyy-mm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595959"/>
      <x:name val="Carlito"/>
    </x:font>
    <x:font>
      <x:b/>
      <x:sz val="15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42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</x:border>
  </x:borders>
  <x:cellStyleXfs count="1">
    <x:xf numFmtId="0" fontId="0" fillId="0" borderId="0"/>
  </x:cellStyleXfs>
  <x:cellXfs count="1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1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200" fontId="0" fillId="8" borderId="6" xfId="0" applyNumberFormat="1" applyFont="1" applyFill="1" applyBorder="1"/>
    <x:xf numFmtId="200" fontId="0" fillId="8" borderId="7" xfId="0" applyNumberFormat="1" applyFont="1" applyFill="1" applyBorder="1"/>
    <x:xf numFmtId="200" fontId="0" fillId="8" borderId="8" xfId="0" applyNumberFormat="1" applyFont="1" applyFill="1" applyBorder="1"/>
    <x:xf numFmtId="200" fontId="0" fillId="8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0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horizont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0" fontId="0" fillId="8" borderId="24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0" fillId="8" borderId="27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0" fontId="0" fillId="7" borderId="24" xfId="0" applyNumberFormat="1" applyFont="1" applyFill="1" applyBorder="1"/>
    <x:xf numFmtId="0" fontId="0" fillId="7" borderId="25" xfId="0" applyNumberFormat="1" applyFont="1" applyFill="1" applyBorder="1"/>
    <x:xf numFmtId="0" fontId="0" fillId="7" borderId="26" xfId="0" applyNumberFormat="1" applyFont="1" applyFill="1" applyBorder="1"/>
    <x:xf numFmtId="0" fontId="0" fillId="7" borderId="27" xfId="0" applyNumberFormat="1" applyFont="1" applyFill="1" applyBorder="1"/>
    <x:xf numFmtId="201" fontId="0" fillId="8" borderId="12" xfId="0" applyNumberFormat="1" applyFont="1" applyFill="1" applyBorder="1"/>
    <x:xf numFmtId="201" fontId="0" fillId="8" borderId="15" xfId="0" applyNumberFormat="1" applyFont="1" applyFill="1" applyBorder="1"/>
    <x:xf numFmtId="201" fontId="0" fillId="8" borderId="17" xfId="0" applyNumberFormat="1" applyFont="1" applyFill="1" applyBorder="1"/>
    <x:xf numFmtId="201" fontId="0" fillId="8" borderId="20" xfId="0" applyNumberFormat="1" applyFont="1" applyFill="1" applyBorder="1"/>
    <x:xf numFmtId="201" fontId="0" fillId="8" borderId="23" xfId="0" applyNumberFormat="1" applyFont="1" applyFill="1" applyBorder="1"/>
    <x:xf numFmtId="201" fontId="0" fillId="8" borderId="25" xfId="0" applyNumberFormat="1" applyFont="1" applyFill="1" applyBorder="1"/>
    <x:xf numFmtId="200" fontId="0" fillId="8" borderId="13" xfId="0" applyNumberFormat="1" applyFont="1" applyFill="1" applyBorder="1"/>
    <x:xf numFmtId="200" fontId="0" fillId="8" borderId="14" xfId="0" applyNumberFormat="1" applyFont="1" applyFill="1" applyBorder="1"/>
    <x:xf numFmtId="200" fontId="0" fillId="7" borderId="12" xfId="0" applyNumberFormat="1" applyFont="1" applyFill="1" applyBorder="1"/>
    <x:xf numFmtId="200" fontId="0" fillId="7" borderId="13" xfId="0" applyNumberFormat="1" applyFont="1" applyFill="1" applyBorder="1"/>
    <x:xf numFmtId="200" fontId="0" fillId="8" borderId="0" xfId="0" applyNumberFormat="1" applyFont="1" applyFill="1" applyBorder="1"/>
    <x:xf numFmtId="200" fontId="0" fillId="8" borderId="16" xfId="0" applyNumberFormat="1" applyFont="1" applyFill="1" applyBorder="1"/>
    <x:xf numFmtId="200" fontId="0" fillId="7" borderId="15" xfId="0" applyNumberFormat="1" applyFont="1" applyFill="1" applyBorder="1"/>
    <x:xf numFmtId="200" fontId="0" fillId="7" borderId="0" xfId="0" applyNumberFormat="1" applyFont="1" applyFill="1" applyBorder="1"/>
    <x:xf numFmtId="200" fontId="0" fillId="8" borderId="18" xfId="0" applyNumberFormat="1" applyFont="1" applyFill="1" applyBorder="1"/>
    <x:xf numFmtId="200" fontId="0" fillId="8" borderId="19" xfId="0" applyNumberFormat="1" applyFont="1" applyFill="1" applyBorder="1"/>
    <x:xf numFmtId="200" fontId="0" fillId="7" borderId="17" xfId="0" applyNumberFormat="1" applyFont="1" applyFill="1" applyBorder="1"/>
    <x:xf numFmtId="200" fontId="0" fillId="7" borderId="18" xfId="0" applyNumberFormat="1" applyFont="1" applyFill="1" applyBorder="1"/>
    <x:xf numFmtId="200" fontId="0" fillId="0" borderId="0" xfId="0" applyNumberFormat="1" applyFont="1" applyFill="1" applyBorder="1"/>
    <x:xf numFmtId="200" fontId="0" fillId="8" borderId="21" xfId="0" applyNumberFormat="1" applyFont="1" applyFill="1" applyBorder="1"/>
    <x:xf numFmtId="200" fontId="0" fillId="8" borderId="22" xfId="0" applyNumberFormat="1" applyFont="1" applyFill="1" applyBorder="1"/>
    <x:xf numFmtId="200" fontId="0" fillId="7" borderId="20" xfId="0" applyNumberFormat="1" applyFont="1" applyFill="1" applyBorder="1"/>
    <x:xf numFmtId="200" fontId="0" fillId="7" borderId="21" xfId="0" applyNumberFormat="1" applyFont="1" applyFill="1" applyBorder="1"/>
    <x:xf numFmtId="200" fontId="0" fillId="8" borderId="1" xfId="0" applyNumberFormat="1" applyFont="1" applyFill="1" applyBorder="1"/>
    <x:xf numFmtId="200" fontId="0" fillId="8" borderId="24" xfId="0" applyNumberFormat="1" applyFont="1" applyFill="1" applyBorder="1"/>
    <x:xf numFmtId="200" fontId="0" fillId="7" borderId="23" xfId="0" applyNumberFormat="1" applyFont="1" applyFill="1" applyBorder="1"/>
    <x:xf numFmtId="200" fontId="0" fillId="7" borderId="1" xfId="0" applyNumberFormat="1" applyFont="1" applyFill="1" applyBorder="1"/>
    <x:xf numFmtId="200" fontId="0" fillId="8" borderId="26" xfId="0" applyNumberFormat="1" applyFont="1" applyFill="1" applyBorder="1"/>
    <x:xf numFmtId="200" fontId="0" fillId="8" borderId="27" xfId="0" applyNumberFormat="1" applyFont="1" applyFill="1" applyBorder="1"/>
    <x:xf numFmtId="200" fontId="0" fillId="7" borderId="25" xfId="0" applyNumberFormat="1" applyFont="1" applyFill="1" applyBorder="1"/>
    <x:xf numFmtId="200" fontId="0" fillId="7" borderId="26" xfId="0" applyNumberFormat="1" applyFont="1" applyFill="1" applyBorder="1"/>
    <x:xf numFmtId="200" fontId="0" fillId="0" borderId="1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4" fillId="9" borderId="0" xfId="0" applyNumberFormat="1" applyFont="1" applyFill="1" applyBorder="1"/>
    <x:xf numFmtId="200" fontId="4" fillId="9" borderId="0" xfId="0" applyNumberFormat="1" applyFont="1" applyFill="1" applyBorder="1"/>
    <x:xf numFmtId="0" fontId="4" fillId="9" borderId="28" xfId="0" applyNumberFormat="1" applyFont="1" applyFill="1" applyBorder="1"/>
    <x:xf numFmtId="0" fontId="4" fillId="9" borderId="29" xfId="0" applyNumberFormat="1" applyFont="1" applyFill="1" applyBorder="1"/>
    <x:xf numFmtId="200" fontId="4" fillId="9" borderId="29" xfId="0" applyNumberFormat="1" applyFont="1" applyFill="1" applyBorder="1"/>
    <x:xf numFmtId="0" fontId="4" fillId="9" borderId="30" xfId="0" applyNumberFormat="1" applyFont="1" applyFill="1" applyBorder="1"/>
    <x:xf numFmtId="0" fontId="0" fillId="9" borderId="1" xfId="0" applyNumberFormat="1" applyFont="1" applyFill="1" applyBorder="1"/>
    <x:xf numFmtId="200" fontId="0" fillId="9" borderId="1" xfId="0" applyNumberFormat="1" applyFont="1" applyFill="1" applyBorder="1"/>
    <x:xf numFmtId="0" fontId="4" fillId="9" borderId="1" xfId="0" applyNumberFormat="1" applyFont="1" applyFill="1" applyBorder="1"/>
    <x:xf numFmtId="200" fontId="4" fillId="9" borderId="1" xfId="0" applyNumberFormat="1" applyFont="1" applyFill="1" applyBorder="1"/>
    <x:xf numFmtId="0" fontId="4" fillId="9" borderId="31" xfId="0" applyNumberFormat="1" applyFont="1" applyFill="1" applyBorder="1"/>
    <x:xf numFmtId="0" fontId="4" fillId="9" borderId="32" xfId="0" applyNumberFormat="1" applyFont="1" applyFill="1" applyBorder="1"/>
    <x:xf numFmtId="200" fontId="4" fillId="9" borderId="32" xfId="0" applyNumberFormat="1" applyFont="1" applyFill="1" applyBorder="1"/>
    <x:xf numFmtId="0" fontId="4" fillId="9" borderId="33" xfId="0" applyNumberFormat="1" applyFont="1" applyFill="1" applyBorder="1"/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6" fillId="10" borderId="0" xfId="0" applyNumberFormat="1" applyFont="1" applyFill="1" applyBorder="1"/>
    <x:xf numFmtId="200" fontId="6" fillId="10" borderId="0" xfId="0" applyNumberFormat="1" applyFont="1" applyFill="1" applyBorder="1"/>
    <x:xf numFmtId="0" fontId="6" fillId="10" borderId="34" xfId="0" applyNumberFormat="1" applyFont="1" applyFill="1" applyBorder="1"/>
    <x:xf numFmtId="0" fontId="6" fillId="10" borderId="35" xfId="0" applyNumberFormat="1" applyFont="1" applyFill="1" applyBorder="1"/>
    <x:xf numFmtId="200" fontId="6" fillId="10" borderId="35" xfId="0" applyNumberFormat="1" applyFont="1" applyFill="1" applyBorder="1"/>
    <x:xf numFmtId="0" fontId="6" fillId="10" borderId="36" xfId="0" applyNumberFormat="1" applyFont="1" applyFill="1" applyBorder="1"/>
    <x:xf numFmtId="0" fontId="0" fillId="10" borderId="1" xfId="0" applyNumberFormat="1" applyFont="1" applyFill="1" applyBorder="1"/>
    <x:xf numFmtId="200" fontId="0" fillId="10" borderId="1" xfId="0" applyNumberFormat="1" applyFont="1" applyFill="1" applyBorder="1"/>
    <x:xf numFmtId="0" fontId="6" fillId="10" borderId="1" xfId="0" applyNumberFormat="1" applyFont="1" applyFill="1" applyBorder="1"/>
    <x:xf numFmtId="200" fontId="6" fillId="10" borderId="1" xfId="0" applyNumberFormat="1" applyFont="1" applyFill="1" applyBorder="1"/>
    <x:xf numFmtId="0" fontId="6" fillId="10" borderId="37" xfId="0" applyNumberFormat="1" applyFont="1" applyFill="1" applyBorder="1"/>
    <x:xf numFmtId="0" fontId="6" fillId="10" borderId="38" xfId="0" applyNumberFormat="1" applyFont="1" applyFill="1" applyBorder="1"/>
    <x:xf numFmtId="200" fontId="6" fillId="10" borderId="38" xfId="0" applyNumberFormat="1" applyFont="1" applyFill="1" applyBorder="1"/>
    <x:xf numFmtId="0" fontId="6" fillId="10" borderId="39" xfId="0" applyNumberFormat="1" applyFont="1" applyFill="1" applyBorder="1"/>
    <x:xf numFmtId="0" fontId="0" fillId="8" borderId="40" xfId="0" applyNumberFormat="1" applyFont="1" applyFill="1" applyBorder="1"/>
    <x:xf numFmtId="0" fontId="0" fillId="8" borderId="41" xfId="0" applyNumberFormat="1" applyFont="1" applyFill="1" applyBorder="1"/>
    <x:xf numFmtId="202" fontId="0" fillId="8" borderId="6" xfId="0" applyNumberFormat="1" applyFont="1" applyFill="1" applyBorder="1"/>
    <x:xf numFmtId="202" fontId="0" fillId="8" borderId="40" xfId="0" applyNumberFormat="1" applyFont="1" applyFill="1" applyBorder="1"/>
    <x:xf numFmtId="202" fontId="0" fillId="8" borderId="7" xfId="0" applyNumberFormat="1" applyFont="1" applyFill="1" applyBorder="1"/>
    <x:xf numFmtId="202" fontId="0" fillId="8" borderId="8" xfId="0" applyNumberFormat="1" applyFont="1" applyFill="1" applyBorder="1"/>
    <x:xf numFmtId="202" fontId="0" fillId="8" borderId="41" xfId="0" applyNumberFormat="1" applyFont="1" applyFill="1" applyBorder="1"/>
    <x:xf numFmtId="202" fontId="0" fillId="8" borderId="9" xfId="0" applyNumberFormat="1" applyFont="1" applyFill="1" applyBorder="1"/>
    <x:xf numFmtId="200" fontId="0" fillId="7" borderId="14" xfId="0" applyNumberFormat="1" applyFont="1" applyFill="1" applyBorder="1"/>
    <x:xf numFmtId="200" fontId="0" fillId="7" borderId="16" xfId="0" applyNumberFormat="1" applyFont="1" applyFill="1" applyBorder="1"/>
    <x:xf numFmtId="200" fontId="0" fillId="7" borderId="19" xfId="0" applyNumberFormat="1" applyFont="1" applyFill="1" applyBorder="1"/>
    <x:xf numFmtId="200" fontId="0" fillId="7" borderId="22" xfId="0" applyNumberFormat="1" applyFont="1" applyFill="1" applyBorder="1"/>
    <x:xf numFmtId="200" fontId="0" fillId="7" borderId="24" xfId="0" applyNumberFormat="1" applyFont="1" applyFill="1" applyBorder="1"/>
    <x:xf numFmtId="200" fontId="0" fillId="7" borderId="27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b9901f92049da" /><Relationship Type="http://schemas.openxmlformats.org/officeDocument/2006/relationships/theme" Target="/xl/theme/theme1.xml" Id="Rda0433629688440f" /><Relationship Type="http://schemas.openxmlformats.org/officeDocument/2006/relationships/sharedStrings" Target="/xl/sharedStrings.xml" Id="R664cffd22bf24763" /><Relationship Type="http://schemas.openxmlformats.org/officeDocument/2006/relationships/worksheet" Target="/xl/worksheets/sheet1.xml" Id="R2366ec07d5ef453c" /><Relationship Type="http://schemas.openxmlformats.org/officeDocument/2006/relationships/worksheet" Target="/xl/worksheets/sheet2.xml" Id="Redb7077f2fe34534" /><Relationship Type="http://schemas.openxmlformats.org/officeDocument/2006/relationships/worksheet" Target="/xl/worksheets/sheet3.xml" Id="R4012973e8062405a" /><Relationship Type="http://schemas.openxmlformats.org/officeDocument/2006/relationships/worksheet" Target="/xl/worksheets/sheet4.xml" Id="R752d5f4ed7b14116" /><Relationship Type="http://schemas.openxmlformats.org/officeDocument/2006/relationships/worksheet" Target="/xl/worksheets/sheet5.xml" Id="R16be594fa5dd49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</x:cols>
  <x:sheetData>
    <x:row r="1" ht="30" customHeight="1">
      <x:c r="A1" s="5" t="str">
        <x:v>일별 현금흐름·자금계획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예정 입출금과 기초잔액을 연결해 순현금흐름·기말잔액·자금상태를 계산하는 합성 샘플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1" t="str">
        <x:v>실제 회사·개인정보를 사용하지 않은 합성 업무 파일</x:v>
      </x:c>
    </x:row>
    <x:row r="7">
      <x:c r="A7" s="45" t="str">
        <x:v>검증 용도</x:v>
      </x:c>
      <x:c r="B7" s="51" t="str">
        <x:v>Calibration</x:v>
      </x:c>
    </x:row>
    <x:row r="8">
      <x:c r="A8" s="45" t="str">
        <x:v>핵심 검증</x:v>
      </x:c>
      <x:c r="B8" s="51" t="str">
        <x:v>순현금 함수 이탈, 기초잔액 행 참조 이탈, 기말잔액 상수 덮어쓰기, 상태 빈 셀</x:v>
      </x:c>
    </x:row>
    <x:row r="9">
      <x:c r="A9" s="45" t="str">
        <x:v>사용 방법</x:v>
      </x:c>
      <x:c r="B9" s="51" t="str">
        <x:v>기본 무료 진단 후 M4 수식 패턴 정밀검사를 선택 실행</x:v>
      </x:c>
    </x:row>
    <x:row r="10">
      <x:c r="A10" s="45" t="str">
        <x:v>주의</x:v>
      </x:c>
      <x:c r="B10" s="51" t="str">
        <x:v>Finding은 업무 오류 확정이 아니라 사람이 확인할 이상 후보입니다.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5" t="str">
        <x:v>설정</x:v>
      </x:c>
      <x:c r="B13" s="50" t="str">
        <x:v>기초잔액·최소보유현금</x:v>
      </x:c>
    </x:row>
    <x:row r="14">
      <x:c r="A14" s="55" t="str">
        <x:v>자금계획</x:v>
      </x:c>
      <x:c r="B14" s="50" t="str">
        <x:v>일별 입출금·잔액 계산</x:v>
      </x:c>
    </x:row>
    <x:row r="15">
      <x:c r="A15" s="55" t="str">
        <x:v>월별요약</x:v>
      </x:c>
      <x:c r="B15" s="50" t="str">
        <x:v>월별 현금흐름 집계</x:v>
      </x:c>
    </x:row>
    <x:row r="16">
      <x:c r="A16" s="55" t="str">
        <x:v>요약</x:v>
      </x:c>
      <x:c r="B16" s="50" t="str">
        <x:v>자금 KPI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</x:cols>
  <x:sheetData>
    <x:row r="1" ht="30" customHeight="1">
      <x:c r="A1" s="5" t="str">
        <x:v>자금 설정</x:v>
      </x:c>
      <x:c r="B1" s="5"/>
      <x:c r="C1" s="5"/>
      <x:c r="D1" s="5"/>
    </x:row>
    <x:row r="2" ht="24" customHeight="1">
      <x:c r="A2" s="12" t="str">
        <x:v>현금흐름 계산 기준</x:v>
      </x:c>
      <x:c r="B2" s="12"/>
      <x:c r="C2" s="12"/>
      <x:c r="D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</x:row>
    <x:row r="5" ht="28" customHeight="1">
      <x:c r="A5" s="30" t="str">
        <x:v>항목</x:v>
      </x:c>
      <x:c r="B5" s="31" t="str">
        <x:v>값</x:v>
      </x:c>
    </x:row>
    <x:row r="6">
      <x:c r="A6" s="43" t="str">
        <x:v>기초잔액</x:v>
      </x:c>
      <x:c r="B6" s="64" t="n">
        <x:v>85000000</x:v>
      </x:c>
    </x:row>
    <x:row r="7">
      <x:c r="A7" s="43" t="str">
        <x:v>최소보유현금</x:v>
      </x:c>
      <x:c r="B7" s="65" t="n">
        <x:v>15000000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</x:cols>
  <x:sheetData>
    <x:row r="1" ht="30" customHeight="1">
      <x:c r="A1" s="5" t="str">
        <x:v>일별 자금계획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순현금흐름과 기말잔액을 연속 계산합니다.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일자</x:v>
      </x:c>
      <x:c r="B5" s="71" t="str">
        <x:v>항목</x:v>
      </x:c>
      <x:c r="C5" s="71" t="str">
        <x:v>입금예정</x:v>
      </x:c>
      <x:c r="D5" s="71" t="str">
        <x:v>출금예정</x:v>
      </x:c>
      <x:c r="E5" s="71" t="str">
        <x:v>순현금흐름</x:v>
      </x:c>
      <x:c r="F5" s="71" t="str">
        <x:v>기초잔액</x:v>
      </x:c>
      <x:c r="G5" s="71" t="str">
        <x:v>기말잔액</x:v>
      </x:c>
      <x:c r="H5" s="31" t="str">
        <x:v>자금상태</x:v>
      </x:c>
    </x:row>
    <x:row r="6">
      <x:c r="A6" s="108" t="n">
        <x:v>46204</x:v>
      </x:c>
      <x:c r="B6" s="77" t="str">
        <x:v>매출입금</x:v>
      </x:c>
      <x:c r="C6" s="114" t="n">
        <x:v>9600000</x:v>
      </x:c>
      <x:c r="D6" s="115" t="n">
        <x:v>1800000</x:v>
      </x:c>
      <x:c r="E6" s="116" t="n">
        <x:f>C6-D6</x:f>
        <x:v>7800000</x:v>
      </x:c>
      <x:c r="F6" s="117" t="n">
        <x:f>'설정'!$B$6</x:f>
        <x:v>85000000</x:v>
      </x:c>
      <x:c r="G6" s="117" t="n">
        <x:f>F6+E6</x:f>
        <x:v>92800000</x:v>
      </x:c>
      <x:c r="H6" s="94" t="str">
        <x:f>IF(G6&lt;'설정'!$B$7,"부족","정상")</x:f>
        <x:v>정상</x:v>
      </x:c>
    </x:row>
    <x:row r="7">
      <x:c r="A7" s="109" t="n">
        <x:v>46205</x:v>
      </x:c>
      <x:c r="B7" s="58" t="str">
        <x:v>원재료대금</x:v>
      </x:c>
      <x:c r="C7" s="118" t="n">
        <x:v>0</x:v>
      </x:c>
      <x:c r="D7" s="119" t="n">
        <x:v>8500000</x:v>
      </x:c>
      <x:c r="E7" s="120" t="n">
        <x:f>C7-D7</x:f>
        <x:v>-8500000</x:v>
      </x:c>
      <x:c r="F7" s="121" t="n">
        <x:f>G6</x:f>
        <x:v>92800000</x:v>
      </x:c>
      <x:c r="G7" s="121" t="n">
        <x:f>F7+E7</x:f>
        <x:v>84300000</x:v>
      </x:c>
      <x:c r="H7" s="96" t="str">
        <x:f>IF(G7&lt;'설정'!$B$7,"부족","정상")</x:f>
        <x:v>정상</x:v>
      </x:c>
    </x:row>
    <x:row r="8">
      <x:c r="A8" s="109" t="n">
        <x:v>46206</x:v>
      </x:c>
      <x:c r="B8" s="58" t="str">
        <x:v>급여</x:v>
      </x:c>
      <x:c r="C8" s="118" t="n">
        <x:v>0</x:v>
      </x:c>
      <x:c r="D8" s="119" t="n">
        <x:v>6100000</x:v>
      </x:c>
      <x:c r="E8" s="120" t="n">
        <x:f>C8-D8</x:f>
        <x:v>-6100000</x:v>
      </x:c>
      <x:c r="F8" s="121" t="n">
        <x:f>G7</x:f>
        <x:v>84300000</x:v>
      </x:c>
      <x:c r="G8" s="121" t="n">
        <x:f>F8+E8</x:f>
        <x:v>78200000</x:v>
      </x:c>
      <x:c r="H8" s="96" t="str">
        <x:f>IF(G8&lt;'설정'!$B$7,"부족","정상")</x:f>
        <x:v>정상</x:v>
      </x:c>
    </x:row>
    <x:row r="9">
      <x:c r="A9" s="109" t="n">
        <x:v>46207</x:v>
      </x:c>
      <x:c r="B9" s="58" t="str">
        <x:v>임차료</x:v>
      </x:c>
      <x:c r="C9" s="118" t="n">
        <x:v>5800000</x:v>
      </x:c>
      <x:c r="D9" s="119" t="n">
        <x:v>3200000</x:v>
      </x:c>
      <x:c r="E9" s="120" t="n">
        <x:f>C9-D9</x:f>
        <x:v>2600000</x:v>
      </x:c>
      <x:c r="F9" s="121" t="n">
        <x:f>G8</x:f>
        <x:v>78200000</x:v>
      </x:c>
      <x:c r="G9" s="121" t="n">
        <x:f>F9+E9</x:f>
        <x:v>80800000</x:v>
      </x:c>
      <x:c r="H9" s="96" t="str">
        <x:f>IF(G9&lt;'설정'!$B$7,"부족","정상")</x:f>
        <x:v>정상</x:v>
      </x:c>
    </x:row>
    <x:row r="10">
      <x:c r="A10" s="109" t="n">
        <x:v>46208</x:v>
      </x:c>
      <x:c r="B10" s="58" t="str">
        <x:v>세금</x:v>
      </x:c>
      <x:c r="C10" s="118" t="n">
        <x:v>0</x:v>
      </x:c>
      <x:c r="D10" s="119" t="n">
        <x:v>11000000</x:v>
      </x:c>
      <x:c r="E10" s="120" t="n">
        <x:f>C10-D10</x:f>
        <x:v>-11000000</x:v>
      </x:c>
      <x:c r="F10" s="121" t="n">
        <x:f>G9</x:f>
        <x:v>80800000</x:v>
      </x:c>
      <x:c r="G10" s="121" t="n">
        <x:f>F10+E10</x:f>
        <x:v>69800000</x:v>
      </x:c>
      <x:c r="H10" s="96" t="str">
        <x:f>IF(G10&lt;'설정'!$B$7,"부족","정상")</x:f>
        <x:v>정상</x:v>
      </x:c>
    </x:row>
    <x:row r="11">
      <x:c r="A11" s="109" t="n">
        <x:v>46209</x:v>
      </x:c>
      <x:c r="B11" s="58" t="str">
        <x:v>기타</x:v>
      </x:c>
      <x:c r="C11" s="118" t="n">
        <x:v>0</x:v>
      </x:c>
      <x:c r="D11" s="119" t="n">
        <x:v>7900000</x:v>
      </x:c>
      <x:c r="E11" s="120" t="n">
        <x:f>C11-D11</x:f>
        <x:v>-7900000</x:v>
      </x:c>
      <x:c r="F11" s="121" t="n">
        <x:f>G10</x:f>
        <x:v>69800000</x:v>
      </x:c>
      <x:c r="G11" s="121" t="n">
        <x:f>F11+E11</x:f>
        <x:v>61900000</x:v>
      </x:c>
      <x:c r="H11" s="96" t="str">
        <x:f>IF(G11&lt;'설정'!$B$7,"부족","정상")</x:f>
        <x:v>정상</x:v>
      </x:c>
    </x:row>
    <x:row r="12">
      <x:c r="A12" s="109" t="n">
        <x:v>46210</x:v>
      </x:c>
      <x:c r="B12" s="58" t="str">
        <x:v>매출입금</x:v>
      </x:c>
      <x:c r="C12" s="118" t="n">
        <x:v>5600000</x:v>
      </x:c>
      <x:c r="D12" s="119" t="n">
        <x:v>2100000</x:v>
      </x:c>
      <x:c r="E12" s="120" t="n">
        <x:f>C12-D12</x:f>
        <x:v>3500000</x:v>
      </x:c>
      <x:c r="F12" s="121" t="n">
        <x:f>G11</x:f>
        <x:v>61900000</x:v>
      </x:c>
      <x:c r="G12" s="121" t="n">
        <x:f>F12+E12</x:f>
        <x:v>65400000</x:v>
      </x:c>
      <x:c r="H12" s="96" t="str">
        <x:f>IF(G12&lt;'설정'!$B$7,"부족","정상")</x:f>
        <x:v>정상</x:v>
      </x:c>
    </x:row>
    <x:row r="13">
      <x:c r="A13" s="109" t="n">
        <x:v>46211</x:v>
      </x:c>
      <x:c r="B13" s="58" t="str">
        <x:v>원재료대금</x:v>
      </x:c>
      <x:c r="C13" s="118" t="n">
        <x:v>0</x:v>
      </x:c>
      <x:c r="D13" s="119" t="n">
        <x:v>6400000</x:v>
      </x:c>
      <x:c r="E13" s="120" t="n">
        <x:f>C13-D13</x:f>
        <x:v>-6400000</x:v>
      </x:c>
      <x:c r="F13" s="121" t="n">
        <x:f>G12</x:f>
        <x:v>65400000</x:v>
      </x:c>
      <x:c r="G13" s="121" t="n">
        <x:f>F13+E13</x:f>
        <x:v>59000000</x:v>
      </x:c>
      <x:c r="H13" s="96" t="str">
        <x:f>IF(G13&lt;'설정'!$B$7,"부족","정상")</x:f>
        <x:v>정상</x:v>
      </x:c>
    </x:row>
    <x:row r="14">
      <x:c r="A14" s="109" t="n">
        <x:v>46212</x:v>
      </x:c>
      <x:c r="B14" s="58" t="str">
        <x:v>급여</x:v>
      </x:c>
      <x:c r="C14" s="118" t="n">
        <x:v>0</x:v>
      </x:c>
      <x:c r="D14" s="119" t="n">
        <x:v>4600000</x:v>
      </x:c>
      <x:c r="E14" s="120" t="n">
        <x:f>C14-D14</x:f>
        <x:v>-4600000</x:v>
      </x:c>
      <x:c r="F14" s="121" t="n">
        <x:f>G13</x:f>
        <x:v>59000000</x:v>
      </x:c>
      <x:c r="G14" s="121" t="n">
        <x:f>F14+E14</x:f>
        <x:v>54400000</x:v>
      </x:c>
      <x:c r="H14" s="96" t="str">
        <x:f>IF(G14&lt;'설정'!$B$7,"부족","정상")</x:f>
        <x:v>정상</x:v>
      </x:c>
    </x:row>
    <x:row r="15">
      <x:c r="A15" s="109" t="n">
        <x:v>46213</x:v>
      </x:c>
      <x:c r="B15" s="58" t="str">
        <x:v>임차료</x:v>
      </x:c>
      <x:c r="C15" s="118" t="n">
        <x:v>3300000</x:v>
      </x:c>
      <x:c r="D15" s="119" t="n">
        <x:v>0</x:v>
      </x:c>
      <x:c r="E15" s="120" t="n">
        <x:f>C15-D15</x:f>
        <x:v>3300000</x:v>
      </x:c>
      <x:c r="F15" s="121" t="n">
        <x:f>G14</x:f>
        <x:v>54400000</x:v>
      </x:c>
      <x:c r="G15" s="121" t="n">
        <x:f>F15+E15</x:f>
        <x:v>57700000</x:v>
      </x:c>
      <x:c r="H15" s="96" t="str">
        <x:f>IF(G15&lt;'설정'!$B$7,"부족","정상")</x:f>
        <x:v>정상</x:v>
      </x:c>
    </x:row>
    <x:row r="16">
      <x:c r="A16" s="109" t="n">
        <x:v>46214</x:v>
      </x:c>
      <x:c r="B16" s="58" t="str">
        <x:v>세금</x:v>
      </x:c>
      <x:c r="C16" s="118" t="n">
        <x:v>0</x:v>
      </x:c>
      <x:c r="D16" s="119" t="n">
        <x:v>6100000</x:v>
      </x:c>
      <x:c r="E16" s="120" t="n">
        <x:f>C16-D16</x:f>
        <x:v>-6100000</x:v>
      </x:c>
      <x:c r="F16" s="121" t="n">
        <x:f>G15</x:f>
        <x:v>57700000</x:v>
      </x:c>
      <x:c r="G16" s="121" t="n">
        <x:f>F16+E16</x:f>
        <x:v>51600000</x:v>
      </x:c>
      <x:c r="H16" s="96" t="str">
        <x:f>IF(G16&lt;'설정'!$B$7,"부족","정상")</x:f>
        <x:v>정상</x:v>
      </x:c>
    </x:row>
    <x:row r="17">
      <x:c r="A17" s="109" t="n">
        <x:v>46215</x:v>
      </x:c>
      <x:c r="B17" s="58" t="str">
        <x:v>기타</x:v>
      </x:c>
      <x:c r="C17" s="118" t="n">
        <x:v>0</x:v>
      </x:c>
      <x:c r="D17" s="119" t="n">
        <x:v>8700000</x:v>
      </x:c>
      <x:c r="E17" s="120" t="n">
        <x:f>C17-D17</x:f>
        <x:v>-8700000</x:v>
      </x:c>
      <x:c r="F17" s="121" t="n">
        <x:f>G16</x:f>
        <x:v>51600000</x:v>
      </x:c>
      <x:c r="G17" s="121" t="n">
        <x:f>F17+E17</x:f>
        <x:v>42900000</x:v>
      </x:c>
      <x:c r="H17" s="96" t="str">
        <x:f>IF(G17&lt;'설정'!$B$7,"부족","정상")</x:f>
        <x:v>정상</x:v>
      </x:c>
    </x:row>
    <x:row r="18">
      <x:c r="A18" s="109" t="n">
        <x:v>46216</x:v>
      </x:c>
      <x:c r="B18" s="58" t="str">
        <x:v>매출입금</x:v>
      </x:c>
      <x:c r="C18" s="118" t="n">
        <x:v>10900000</x:v>
      </x:c>
      <x:c r="D18" s="119" t="n">
        <x:v>2400000</x:v>
      </x:c>
      <x:c r="E18" s="120" t="n">
        <x:f>C18-D18</x:f>
        <x:v>8500000</x:v>
      </x:c>
      <x:c r="F18" s="121" t="n">
        <x:f>G17</x:f>
        <x:v>42900000</x:v>
      </x:c>
      <x:c r="G18" s="121" t="n">
        <x:f>F18+E18</x:f>
        <x:v>51400000</x:v>
      </x:c>
      <x:c r="H18" s="96" t="str">
        <x:f>IF(G18&lt;'설정'!$B$7,"부족","정상")</x:f>
        <x:v>정상</x:v>
      </x:c>
    </x:row>
    <x:row r="19">
      <x:c r="A19" s="109" t="n">
        <x:v>46217</x:v>
      </x:c>
      <x:c r="B19" s="58" t="str">
        <x:v>원재료대금</x:v>
      </x:c>
      <x:c r="C19" s="118" t="n">
        <x:v>0</x:v>
      </x:c>
      <x:c r="D19" s="119" t="n">
        <x:v>11500000</x:v>
      </x:c>
      <x:c r="E19" s="120" t="n">
        <x:f>C19-D19</x:f>
        <x:v>-11500000</x:v>
      </x:c>
      <x:c r="F19" s="121" t="n">
        <x:f>G18</x:f>
        <x:v>51400000</x:v>
      </x:c>
      <x:c r="G19" s="121" t="n">
        <x:f>F19+E19</x:f>
        <x:v>39900000</x:v>
      </x:c>
      <x:c r="H19" s="96" t="str">
        <x:f>IF(G19&lt;'설정'!$B$7,"부족","정상")</x:f>
        <x:v>정상</x:v>
      </x:c>
    </x:row>
    <x:row r="20">
      <x:c r="A20" s="109" t="n">
        <x:v>46218</x:v>
      </x:c>
      <x:c r="B20" s="58" t="str">
        <x:v>급여</x:v>
      </x:c>
      <x:c r="C20" s="118" t="n">
        <x:v>0</x:v>
      </x:c>
      <x:c r="D20" s="119" t="n">
        <x:v>11400000</x:v>
      </x:c>
      <x:c r="E20" s="120" t="n">
        <x:f>C20-D20</x:f>
        <x:v>-11400000</x:v>
      </x:c>
      <x:c r="F20" s="121" t="n">
        <x:f>G19</x:f>
        <x:v>39900000</x:v>
      </x:c>
      <x:c r="G20" s="121" t="n">
        <x:f>F20+E20</x:f>
        <x:v>28500000</x:v>
      </x:c>
      <x:c r="H20" s="96" t="str">
        <x:f>IF(G20&lt;'설정'!$B$7,"부족","정상")</x:f>
        <x:v>정상</x:v>
      </x:c>
    </x:row>
    <x:row r="21">
      <x:c r="A21" s="109" t="n">
        <x:v>46219</x:v>
      </x:c>
      <x:c r="B21" s="58" t="str">
        <x:v>임차료</x:v>
      </x:c>
      <x:c r="C21" s="118" t="n">
        <x:v>16300000</x:v>
      </x:c>
      <x:c r="D21" s="119" t="n">
        <x:v>3600000</x:v>
      </x:c>
      <x:c r="E21" s="120" t="n">
        <x:f>SUM(C21:D21)</x:f>
        <x:v>19900000</x:v>
      </x:c>
      <x:c r="F21" s="121" t="n">
        <x:f>G20</x:f>
        <x:v>28500000</x:v>
      </x:c>
      <x:c r="G21" s="121" t="n">
        <x:f>F21+E21</x:f>
        <x:v>48400000</x:v>
      </x:c>
      <x:c r="H21" s="96" t="str">
        <x:f>IF(G21&lt;'설정'!$B$7,"부족","정상")</x:f>
        <x:v>정상</x:v>
      </x:c>
    </x:row>
    <x:row r="22">
      <x:c r="A22" s="109" t="n">
        <x:v>46220</x:v>
      </x:c>
      <x:c r="B22" s="58" t="str">
        <x:v>세금</x:v>
      </x:c>
      <x:c r="C22" s="118" t="n">
        <x:v>0</x:v>
      </x:c>
      <x:c r="D22" s="119" t="n">
        <x:v>2500000</x:v>
      </x:c>
      <x:c r="E22" s="120" t="n">
        <x:f>C22-D22</x:f>
        <x:v>-2500000</x:v>
      </x:c>
      <x:c r="F22" s="121" t="n">
        <x:f>G21</x:f>
        <x:v>48400000</x:v>
      </x:c>
      <x:c r="G22" s="121" t="n">
        <x:f>F22+E22</x:f>
        <x:v>45900000</x:v>
      </x:c>
      <x:c r="H22" s="96" t="str">
        <x:f>IF(G22&lt;'설정'!$B$7,"부족","정상")</x:f>
        <x:v>정상</x:v>
      </x:c>
    </x:row>
    <x:row r="23">
      <x:c r="A23" s="109" t="n">
        <x:v>46221</x:v>
      </x:c>
      <x:c r="B23" s="58" t="str">
        <x:v>기타</x:v>
      </x:c>
      <x:c r="C23" s="118" t="n">
        <x:v>0</x:v>
      </x:c>
      <x:c r="D23" s="119" t="n">
        <x:v>11200000</x:v>
      </x:c>
      <x:c r="E23" s="120" t="n">
        <x:f>C23-D23</x:f>
        <x:v>-11200000</x:v>
      </x:c>
      <x:c r="F23" s="121" t="n">
        <x:f>G22</x:f>
        <x:v>45900000</x:v>
      </x:c>
      <x:c r="G23" s="121" t="n">
        <x:f>F23+E23</x:f>
        <x:v>34700000</x:v>
      </x:c>
      <x:c r="H23" s="96" t="str">
        <x:f>IF(G23&lt;'설정'!$B$7,"부족","정상")</x:f>
        <x:v>정상</x:v>
      </x:c>
    </x:row>
    <x:row r="24">
      <x:c r="A24" s="109" t="n">
        <x:v>46222</x:v>
      </x:c>
      <x:c r="B24" s="58" t="str">
        <x:v>매출입금</x:v>
      </x:c>
      <x:c r="C24" s="118" t="n">
        <x:v>12300000</x:v>
      </x:c>
      <x:c r="D24" s="119" t="n">
        <x:v>200000</x:v>
      </x:c>
      <x:c r="E24" s="120" t="n">
        <x:f>C24-D24</x:f>
        <x:v>12100000</x:v>
      </x:c>
      <x:c r="F24" s="121" t="n">
        <x:f>G23</x:f>
        <x:v>34700000</x:v>
      </x:c>
      <x:c r="G24" s="121" t="n">
        <x:f>F24+E24</x:f>
        <x:v>46800000</x:v>
      </x:c>
      <x:c r="H24" s="96" t="str">
        <x:f>IF(G24&lt;'설정'!$B$7,"부족","정상")</x:f>
        <x:v>정상</x:v>
      </x:c>
    </x:row>
    <x:row r="25">
      <x:c r="A25" s="109" t="n">
        <x:v>46223</x:v>
      </x:c>
      <x:c r="B25" s="58" t="str">
        <x:v>원재료대금</x:v>
      </x:c>
      <x:c r="C25" s="118" t="n">
        <x:v>0</x:v>
      </x:c>
      <x:c r="D25" s="119" t="n">
        <x:v>5700000</x:v>
      </x:c>
      <x:c r="E25" s="120" t="n">
        <x:f>C25-D25</x:f>
        <x:v>-5700000</x:v>
      </x:c>
      <x:c r="F25" s="121" t="n">
        <x:f>G24</x:f>
        <x:v>46800000</x:v>
      </x:c>
      <x:c r="G25" s="121" t="n">
        <x:f>F25+E25</x:f>
        <x:v>41100000</x:v>
      </x:c>
      <x:c r="H25" s="96" t="str">
        <x:f>IF(G25&lt;'설정'!$B$7,"부족","정상")</x:f>
        <x:v>정상</x:v>
      </x:c>
    </x:row>
    <x:row r="26">
      <x:c r="A26" s="109" t="n">
        <x:v>46224</x:v>
      </x:c>
      <x:c r="B26" s="58" t="str">
        <x:v>급여</x:v>
      </x:c>
      <x:c r="C26" s="118" t="n">
        <x:v>0</x:v>
      </x:c>
      <x:c r="D26" s="119" t="n">
        <x:v>5300000</x:v>
      </x:c>
      <x:c r="E26" s="120" t="n">
        <x:f>C26-D26</x:f>
        <x:v>-5300000</x:v>
      </x:c>
      <x:c r="F26" s="121" t="n">
        <x:f>G25</x:f>
        <x:v>41100000</x:v>
      </x:c>
      <x:c r="G26" s="121" t="n">
        <x:f>F26+E26</x:f>
        <x:v>35800000</x:v>
      </x:c>
      <x:c r="H26" s="96" t="str">
        <x:f>IF(G26&lt;'설정'!$B$7,"부족","정상")</x:f>
        <x:v>정상</x:v>
      </x:c>
    </x:row>
    <x:row r="27">
      <x:c r="A27" s="109" t="n">
        <x:v>46225</x:v>
      </x:c>
      <x:c r="B27" s="58" t="str">
        <x:v>임차료</x:v>
      </x:c>
      <x:c r="C27" s="118" t="n">
        <x:v>2000000</x:v>
      </x:c>
      <x:c r="D27" s="119" t="n">
        <x:v>2900000</x:v>
      </x:c>
      <x:c r="E27" s="120" t="n">
        <x:f>C27-D27</x:f>
        <x:v>-900000</x:v>
      </x:c>
      <x:c r="F27" s="121" t="n">
        <x:f>G26</x:f>
        <x:v>35800000</x:v>
      </x:c>
      <x:c r="G27" s="121" t="n">
        <x:f>F27+E27</x:f>
        <x:v>34900000</x:v>
      </x:c>
      <x:c r="H27" s="96" t="str">
        <x:f>IF(G27&lt;'설정'!$B$7,"부족","정상")</x:f>
        <x:v>정상</x:v>
      </x:c>
    </x:row>
    <x:row r="28">
      <x:c r="A28" s="109" t="n">
        <x:v>46226</x:v>
      </x:c>
      <x:c r="B28" s="58" t="str">
        <x:v>세금</x:v>
      </x:c>
      <x:c r="C28" s="118" t="n">
        <x:v>0</x:v>
      </x:c>
      <x:c r="D28" s="119" t="n">
        <x:v>4000000</x:v>
      </x:c>
      <x:c r="E28" s="120" t="n">
        <x:f>C28-D28</x:f>
        <x:v>-4000000</x:v>
      </x:c>
      <x:c r="F28" s="121" t="n">
        <x:f>G27</x:f>
        <x:v>34900000</x:v>
      </x:c>
      <x:c r="G28" s="121" t="n">
        <x:f>F28+E28</x:f>
        <x:v>30900000</x:v>
      </x:c>
      <x:c r="H28" s="96" t="str">
        <x:f>IF(G28&lt;'설정'!$B$7,"부족","정상")</x:f>
        <x:v>정상</x:v>
      </x:c>
    </x:row>
    <x:row r="29">
      <x:c r="A29" s="109" t="n">
        <x:v>46227</x:v>
      </x:c>
      <x:c r="B29" s="58" t="str">
        <x:v>기타</x:v>
      </x:c>
      <x:c r="C29" s="118" t="n">
        <x:v>0</x:v>
      </x:c>
      <x:c r="D29" s="119" t="n">
        <x:v>8700000</x:v>
      </x:c>
      <x:c r="E29" s="120" t="n">
        <x:f>C29-D29</x:f>
        <x:v>-8700000</x:v>
      </x:c>
      <x:c r="F29" s="121" t="n">
        <x:f>G28</x:f>
        <x:v>30900000</x:v>
      </x:c>
      <x:c r="G29" s="121" t="n">
        <x:f>F29+E29</x:f>
        <x:v>22200000</x:v>
      </x:c>
      <x:c r="H29" s="96" t="str">
        <x:f>IF(G29&lt;'설정'!$B$7,"부족","정상")</x:f>
        <x:v>정상</x:v>
      </x:c>
    </x:row>
    <x:row r="30">
      <x:c r="A30" s="109" t="n">
        <x:v>46228</x:v>
      </x:c>
      <x:c r="B30" s="58" t="str">
        <x:v>매출입금</x:v>
      </x:c>
      <x:c r="C30" s="118" t="n">
        <x:v>4100000</x:v>
      </x:c>
      <x:c r="D30" s="119" t="n">
        <x:v>200000</x:v>
      </x:c>
      <x:c r="E30" s="120" t="n">
        <x:f>C30-D30</x:f>
        <x:v>3900000</x:v>
      </x:c>
      <x:c r="F30" s="121" t="n">
        <x:f>G29</x:f>
        <x:v>22200000</x:v>
      </x:c>
      <x:c r="G30" s="121" t="n">
        <x:f>F30+E30</x:f>
        <x:v>26100000</x:v>
      </x:c>
      <x:c r="H30" s="96" t="str">
        <x:f>IF(G30&lt;'설정'!$B$7,"부족","정상")</x:f>
        <x:v>정상</x:v>
      </x:c>
    </x:row>
    <x:row r="31">
      <x:c r="A31" s="109" t="n">
        <x:v>46229</x:v>
      </x:c>
      <x:c r="B31" s="58" t="str">
        <x:v>원재료대금</x:v>
      </x:c>
      <x:c r="C31" s="118" t="n">
        <x:v>0</x:v>
      </x:c>
      <x:c r="D31" s="119" t="n">
        <x:v>8500000</x:v>
      </x:c>
      <x:c r="E31" s="120" t="n">
        <x:f>C31-D31</x:f>
        <x:v>-8500000</x:v>
      </x:c>
      <x:c r="F31" s="121" t="n">
        <x:f>G30</x:f>
        <x:v>26100000</x:v>
      </x:c>
      <x:c r="G31" s="121" t="n">
        <x:f>F31+E31</x:f>
        <x:v>17600000</x:v>
      </x:c>
      <x:c r="H31" s="96" t="str">
        <x:f>IF(G31&lt;'설정'!$B$7,"부족","정상")</x:f>
        <x:v>정상</x:v>
      </x:c>
    </x:row>
    <x:row r="32">
      <x:c r="A32" s="109" t="n">
        <x:v>46230</x:v>
      </x:c>
      <x:c r="B32" s="58" t="str">
        <x:v>급여</x:v>
      </x:c>
      <x:c r="C32" s="118" t="n">
        <x:v>0</x:v>
      </x:c>
      <x:c r="D32" s="119" t="n">
        <x:v>2500000</x:v>
      </x:c>
      <x:c r="E32" s="120" t="n">
        <x:f>C32-D32</x:f>
        <x:v>-2500000</x:v>
      </x:c>
      <x:c r="F32" s="121" t="n">
        <x:f>G31</x:f>
        <x:v>17600000</x:v>
      </x:c>
      <x:c r="G32" s="121" t="n">
        <x:f>F32+E32</x:f>
        <x:v>15100000</x:v>
      </x:c>
      <x:c r="H32" s="96" t="str">
        <x:f>IF(G32&lt;'설정'!$B$7,"부족","정상")</x:f>
        <x:v>정상</x:v>
      </x:c>
    </x:row>
    <x:row r="33">
      <x:c r="A33" s="109" t="n">
        <x:v>46231</x:v>
      </x:c>
      <x:c r="B33" s="58" t="str">
        <x:v>임차료</x:v>
      </x:c>
      <x:c r="C33" s="118" t="n">
        <x:v>13700000</x:v>
      </x:c>
      <x:c r="D33" s="119" t="n">
        <x:v>3200000</x:v>
      </x:c>
      <x:c r="E33" s="120" t="n">
        <x:f>C33-D33</x:f>
        <x:v>10500000</x:v>
      </x:c>
      <x:c r="F33" s="121" t="n">
        <x:f>G31</x:f>
        <x:v>17600000</x:v>
      </x:c>
      <x:c r="G33" s="121" t="n">
        <x:f>F33+E33</x:f>
        <x:v>28100000</x:v>
      </x:c>
      <x:c r="H33" s="96" t="str">
        <x:f>IF(G33&lt;'설정'!$B$7,"부족","정상")</x:f>
        <x:v>정상</x:v>
      </x:c>
    </x:row>
    <x:row r="34">
      <x:c r="A34" s="109" t="n">
        <x:v>46232</x:v>
      </x:c>
      <x:c r="B34" s="58" t="str">
        <x:v>세금</x:v>
      </x:c>
      <x:c r="C34" s="118" t="n">
        <x:v>0</x:v>
      </x:c>
      <x:c r="D34" s="119" t="n">
        <x:v>6100000</x:v>
      </x:c>
      <x:c r="E34" s="120" t="n">
        <x:f>C34-D34</x:f>
        <x:v>-6100000</x:v>
      </x:c>
      <x:c r="F34" s="121" t="n">
        <x:f>G33</x:f>
        <x:v>28100000</x:v>
      </x:c>
      <x:c r="G34" s="121" t="n">
        <x:f>F34+E34</x:f>
        <x:v>22000000</x:v>
      </x:c>
      <x:c r="H34" s="96" t="str">
        <x:f>IF(G34&lt;'설정'!$B$7,"부족","정상")</x:f>
        <x:v>정상</x:v>
      </x:c>
    </x:row>
    <x:row r="35">
      <x:c r="A35" s="109" t="n">
        <x:v>46233</x:v>
      </x:c>
      <x:c r="B35" s="58" t="str">
        <x:v>기타</x:v>
      </x:c>
      <x:c r="C35" s="118" t="n">
        <x:v>0</x:v>
      </x:c>
      <x:c r="D35" s="119" t="n">
        <x:v>3100000</x:v>
      </x:c>
      <x:c r="E35" s="120" t="n">
        <x:f>C35-D35</x:f>
        <x:v>-3100000</x:v>
      </x:c>
      <x:c r="F35" s="121" t="n">
        <x:f>G34</x:f>
        <x:v>22000000</x:v>
      </x:c>
      <x:c r="G35" s="121" t="n">
        <x:f>F35+E35</x:f>
        <x:v>18900000</x:v>
      </x:c>
      <x:c r="H35" s="96" t="str">
        <x:f>IF(G35&lt;'설정'!$B$7,"부족","정상")</x:f>
        <x:v>정상</x:v>
      </x:c>
    </x:row>
    <x:row r="36">
      <x:c r="A36" s="109" t="n">
        <x:v>46234</x:v>
      </x:c>
      <x:c r="B36" s="58" t="str">
        <x:v>매출입금</x:v>
      </x:c>
      <x:c r="C36" s="118" t="n">
        <x:v>13800000</x:v>
      </x:c>
      <x:c r="D36" s="119" t="n">
        <x:v>3300000</x:v>
      </x:c>
      <x:c r="E36" s="120" t="n">
        <x:f>C36-D36</x:f>
        <x:v>10500000</x:v>
      </x:c>
      <x:c r="F36" s="121" t="n">
        <x:f>G35</x:f>
        <x:v>18900000</x:v>
      </x:c>
      <x:c r="G36" s="121" t="n">
        <x:f>F36+E36</x:f>
        <x:v>29400000</x:v>
      </x:c>
      <x:c r="H36" s="96" t="str">
        <x:f>IF(G36&lt;'설정'!$B$7,"부족","정상")</x:f>
        <x:v>정상</x:v>
      </x:c>
    </x:row>
    <x:row r="37">
      <x:c r="A37" s="109" t="n">
        <x:v>46235</x:v>
      </x:c>
      <x:c r="B37" s="58" t="str">
        <x:v>원재료대금</x:v>
      </x:c>
      <x:c r="C37" s="118" t="n">
        <x:v>0</x:v>
      </x:c>
      <x:c r="D37" s="119" t="n">
        <x:v>8800000</x:v>
      </x:c>
      <x:c r="E37" s="120" t="n">
        <x:f>C37-D37</x:f>
        <x:v>-8800000</x:v>
      </x:c>
      <x:c r="F37" s="121" t="n">
        <x:f>G36</x:f>
        <x:v>29400000</x:v>
      </x:c>
      <x:c r="G37" s="121" t="n">
        <x:f>F37+E37</x:f>
        <x:v>20600000</x:v>
      </x:c>
      <x:c r="H37" s="96" t="str">
        <x:f>IF(G37&lt;'설정'!$B$7,"부족","정상")</x:f>
        <x:v>정상</x:v>
      </x:c>
    </x:row>
    <x:row r="38">
      <x:c r="A38" s="109" t="n">
        <x:v>46236</x:v>
      </x:c>
      <x:c r="B38" s="58" t="str">
        <x:v>급여</x:v>
      </x:c>
      <x:c r="C38" s="118" t="n">
        <x:v>0</x:v>
      </x:c>
      <x:c r="D38" s="119" t="n">
        <x:v>7500000</x:v>
      </x:c>
      <x:c r="E38" s="120" t="n">
        <x:f>C38-D38</x:f>
        <x:v>-7500000</x:v>
      </x:c>
      <x:c r="F38" s="121" t="n">
        <x:f>G37</x:f>
        <x:v>20600000</x:v>
      </x:c>
      <x:c r="G38" s="121" t="n">
        <x:f>F38+E38</x:f>
        <x:v>13100000</x:v>
      </x:c>
      <x:c r="H38" s="96" t="str">
        <x:f>IF(G38&lt;'설정'!$B$7,"부족","정상")</x:f>
        <x:v>부족</x:v>
      </x:c>
    </x:row>
    <x:row r="39">
      <x:c r="A39" s="109" t="n">
        <x:v>46237</x:v>
      </x:c>
      <x:c r="B39" s="58" t="str">
        <x:v>임차료</x:v>
      </x:c>
      <x:c r="C39" s="118" t="n">
        <x:v>2700000</x:v>
      </x:c>
      <x:c r="D39" s="119" t="n">
        <x:v>100000</x:v>
      </x:c>
      <x:c r="E39" s="120" t="n">
        <x:f>C39-D39</x:f>
        <x:v>2600000</x:v>
      </x:c>
      <x:c r="F39" s="121" t="n">
        <x:f>G38</x:f>
        <x:v>13100000</x:v>
      </x:c>
      <x:c r="G39" s="121" t="n">
        <x:f>F39+E39</x:f>
        <x:v>15700000</x:v>
      </x:c>
      <x:c r="H39" s="96" t="str">
        <x:f>IF(G39&lt;'설정'!$B$7,"부족","정상")</x:f>
        <x:v>정상</x:v>
      </x:c>
    </x:row>
    <x:row r="40">
      <x:c r="A40" s="109" t="n">
        <x:v>46238</x:v>
      </x:c>
      <x:c r="B40" s="58" t="str">
        <x:v>세금</x:v>
      </x:c>
      <x:c r="C40" s="118" t="n">
        <x:v>0</x:v>
      </x:c>
      <x:c r="D40" s="119" t="n">
        <x:v>8700000</x:v>
      </x:c>
      <x:c r="E40" s="120" t="n">
        <x:f>C40-D40</x:f>
        <x:v>-8700000</x:v>
      </x:c>
      <x:c r="F40" s="121" t="n">
        <x:f>G39</x:f>
        <x:v>15700000</x:v>
      </x:c>
      <x:c r="G40" s="121" t="n">
        <x:f>F40+E40</x:f>
        <x:v>7000000</x:v>
      </x:c>
      <x:c r="H40" s="96" t="str">
        <x:f>IF(G40&lt;'설정'!$B$7,"부족","정상")</x:f>
        <x:v>부족</x:v>
      </x:c>
    </x:row>
    <x:row r="41">
      <x:c r="A41" s="109" t="n">
        <x:v>46239</x:v>
      </x:c>
      <x:c r="B41" s="58" t="str">
        <x:v>기타</x:v>
      </x:c>
      <x:c r="C41" s="118" t="n">
        <x:v>0</x:v>
      </x:c>
      <x:c r="D41" s="119" t="n">
        <x:v>6000000</x:v>
      </x:c>
      <x:c r="E41" s="120" t="n">
        <x:f>C41-D41</x:f>
        <x:v>-6000000</x:v>
      </x:c>
      <x:c r="F41" s="121" t="n">
        <x:f>G40</x:f>
        <x:v>7000000</x:v>
      </x:c>
      <x:c r="G41" s="121" t="n">
        <x:f>F41+E41</x:f>
        <x:v>1000000</x:v>
      </x:c>
      <x:c r="H41" s="96" t="str">
        <x:f>IF(G41&lt;'설정'!$B$7,"부족","정상")</x:f>
        <x:v>부족</x:v>
      </x:c>
    </x:row>
    <x:row r="42">
      <x:c r="A42" s="109" t="n">
        <x:v>46240</x:v>
      </x:c>
      <x:c r="B42" s="58" t="str">
        <x:v>매출입금</x:v>
      </x:c>
      <x:c r="C42" s="118" t="n">
        <x:v>13100000</x:v>
      </x:c>
      <x:c r="D42" s="119" t="n">
        <x:v>3400000</x:v>
      </x:c>
      <x:c r="E42" s="120" t="n">
        <x:f>C42-D42</x:f>
        <x:v>9700000</x:v>
      </x:c>
      <x:c r="F42" s="121" t="n">
        <x:f>G41</x:f>
        <x:v>1000000</x:v>
      </x:c>
      <x:c r="G42" s="121" t="n">
        <x:f>F42+E42</x:f>
        <x:v>10700000</x:v>
      </x:c>
      <x:c r="H42" s="96" t="str">
        <x:f>IF(G42&lt;'설정'!$B$7,"부족","정상")</x:f>
        <x:v>부족</x:v>
      </x:c>
    </x:row>
    <x:row r="43">
      <x:c r="A43" s="109" t="n">
        <x:v>46241</x:v>
      </x:c>
      <x:c r="B43" s="58" t="str">
        <x:v>원재료대금</x:v>
      </x:c>
      <x:c r="C43" s="118" t="n">
        <x:v>0</x:v>
      </x:c>
      <x:c r="D43" s="119" t="n">
        <x:v>2400000</x:v>
      </x:c>
      <x:c r="E43" s="120" t="n">
        <x:f>C43-D43</x:f>
        <x:v>-2400000</x:v>
      </x:c>
      <x:c r="F43" s="121" t="n">
        <x:f>G42</x:f>
        <x:v>10700000</x:v>
      </x:c>
      <x:c r="G43" s="121" t="n">
        <x:f>F43+E43</x:f>
        <x:v>8300000</x:v>
      </x:c>
      <x:c r="H43" s="96" t="str">
        <x:f>IF(G43&lt;'설정'!$B$7,"부족","정상")</x:f>
        <x:v>부족</x:v>
      </x:c>
    </x:row>
    <x:row r="44">
      <x:c r="A44" s="109" t="n">
        <x:v>46242</x:v>
      </x:c>
      <x:c r="B44" s="58" t="str">
        <x:v>급여</x:v>
      </x:c>
      <x:c r="C44" s="118" t="n">
        <x:v>0</x:v>
      </x:c>
      <x:c r="D44" s="119" t="n">
        <x:v>3200000</x:v>
      </x:c>
      <x:c r="E44" s="120" t="n">
        <x:f>C44-D44</x:f>
        <x:v>-3200000</x:v>
      </x:c>
      <x:c r="F44" s="121" t="n">
        <x:f>G43</x:f>
        <x:v>8300000</x:v>
      </x:c>
      <x:c r="G44" s="121" t="n">
        <x:f>F44+E44</x:f>
        <x:v>5100000</x:v>
      </x:c>
      <x:c r="H44" s="96" t="str">
        <x:f>IF(G44&lt;'설정'!$B$7,"부족","정상")</x:f>
        <x:v>부족</x:v>
      </x:c>
    </x:row>
    <x:row r="45">
      <x:c r="A45" s="109" t="n">
        <x:v>46243</x:v>
      </x:c>
      <x:c r="B45" s="58" t="str">
        <x:v>임차료</x:v>
      </x:c>
      <x:c r="C45" s="118" t="n">
        <x:v>9900000</x:v>
      </x:c>
      <x:c r="D45" s="119" t="n">
        <x:v>100000</x:v>
      </x:c>
      <x:c r="E45" s="120" t="n">
        <x:f>C45-D45</x:f>
        <x:v>9800000</x:v>
      </x:c>
      <x:c r="F45" s="121" t="n">
        <x:f>G44</x:f>
        <x:v>5100000</x:v>
      </x:c>
      <x:c r="G45" s="121" t="n">
        <x:v>22000000</x:v>
      </x:c>
      <x:c r="H45" s="96" t="str">
        <x:f>IF(G45&lt;'설정'!$B$7,"부족","정상")</x:f>
        <x:v>정상</x:v>
      </x:c>
    </x:row>
    <x:row r="46">
      <x:c r="A46" s="109" t="n">
        <x:v>46244</x:v>
      </x:c>
      <x:c r="B46" s="58" t="str">
        <x:v>세금</x:v>
      </x:c>
      <x:c r="C46" s="118" t="n">
        <x:v>0</x:v>
      </x:c>
      <x:c r="D46" s="119" t="n">
        <x:v>9600000</x:v>
      </x:c>
      <x:c r="E46" s="120" t="n">
        <x:f>C46-D46</x:f>
        <x:v>-9600000</x:v>
      </x:c>
      <x:c r="F46" s="121" t="n">
        <x:f>G45</x:f>
        <x:v>22000000</x:v>
      </x:c>
      <x:c r="G46" s="121" t="n">
        <x:f>F46+E46</x:f>
        <x:v>12400000</x:v>
      </x:c>
      <x:c r="H46" s="96" t="str">
        <x:f>IF(G46&lt;'설정'!$B$7,"부족","정상")</x:f>
        <x:v>부족</x:v>
      </x:c>
    </x:row>
    <x:row r="47">
      <x:c r="A47" s="109" t="n">
        <x:v>46245</x:v>
      </x:c>
      <x:c r="B47" s="58" t="str">
        <x:v>기타</x:v>
      </x:c>
      <x:c r="C47" s="118" t="n">
        <x:v>0</x:v>
      </x:c>
      <x:c r="D47" s="119" t="n">
        <x:v>6400000</x:v>
      </x:c>
      <x:c r="E47" s="120" t="n">
        <x:f>C47-D47</x:f>
        <x:v>-6400000</x:v>
      </x:c>
      <x:c r="F47" s="121" t="n">
        <x:f>G46</x:f>
        <x:v>12400000</x:v>
      </x:c>
      <x:c r="G47" s="121" t="n">
        <x:f>F47+E47</x:f>
        <x:v>6000000</x:v>
      </x:c>
      <x:c r="H47" s="96" t="str">
        <x:f>IF(G47&lt;'설정'!$B$7,"부족","정상")</x:f>
        <x:v>부족</x:v>
      </x:c>
    </x:row>
    <x:row r="48">
      <x:c r="A48" s="109" t="n">
        <x:v>46246</x:v>
      </x:c>
      <x:c r="B48" s="58" t="str">
        <x:v>매출입금</x:v>
      </x:c>
      <x:c r="C48" s="118" t="n">
        <x:v>16800000</x:v>
      </x:c>
      <x:c r="D48" s="119" t="n">
        <x:v>2300000</x:v>
      </x:c>
      <x:c r="E48" s="120" t="n">
        <x:f>C48-D48</x:f>
        <x:v>14500000</x:v>
      </x:c>
      <x:c r="F48" s="121" t="n">
        <x:f>G47</x:f>
        <x:v>6000000</x:v>
      </x:c>
      <x:c r="G48" s="121" t="n">
        <x:f>F48+E48</x:f>
        <x:v>20500000</x:v>
      </x:c>
      <x:c r="H48" s="96" t="str">
        <x:f>IF(G48&lt;'설정'!$B$7,"부족","정상")</x:f>
        <x:v>정상</x:v>
      </x:c>
    </x:row>
    <x:row r="49">
      <x:c r="A49" s="109" t="n">
        <x:v>46247</x:v>
      </x:c>
      <x:c r="B49" s="58" t="str">
        <x:v>원재료대금</x:v>
      </x:c>
      <x:c r="C49" s="118" t="n">
        <x:v>0</x:v>
      </x:c>
      <x:c r="D49" s="119" t="n">
        <x:v>2800000</x:v>
      </x:c>
      <x:c r="E49" s="120" t="n">
        <x:f>C49-D49</x:f>
        <x:v>-2800000</x:v>
      </x:c>
      <x:c r="F49" s="121" t="n">
        <x:f>G48</x:f>
        <x:v>20500000</x:v>
      </x:c>
      <x:c r="G49" s="121" t="n">
        <x:f>F49+E49</x:f>
        <x:v>17700000</x:v>
      </x:c>
      <x:c r="H49" s="96" t="str">
        <x:f>IF(G49&lt;'설정'!$B$7,"부족","정상")</x:f>
        <x:v>정상</x:v>
      </x:c>
    </x:row>
    <x:row r="50">
      <x:c r="A50" s="109" t="n">
        <x:v>46248</x:v>
      </x:c>
      <x:c r="B50" s="58" t="str">
        <x:v>급여</x:v>
      </x:c>
      <x:c r="C50" s="118" t="n">
        <x:v>0</x:v>
      </x:c>
      <x:c r="D50" s="119" t="n">
        <x:v>9500000</x:v>
      </x:c>
      <x:c r="E50" s="120" t="n">
        <x:f>C50-D50</x:f>
        <x:v>-9500000</x:v>
      </x:c>
      <x:c r="F50" s="121" t="n">
        <x:f>G49</x:f>
        <x:v>17700000</x:v>
      </x:c>
      <x:c r="G50" s="121" t="n">
        <x:f>F50+E50</x:f>
        <x:v>8200000</x:v>
      </x:c>
      <x:c r="H50" s="96" t="str">
        <x:f>IF(G50&lt;'설정'!$B$7,"부족","정상")</x:f>
        <x:v>부족</x:v>
      </x:c>
    </x:row>
    <x:row r="51">
      <x:c r="A51" s="109" t="n">
        <x:v>46249</x:v>
      </x:c>
      <x:c r="B51" s="58" t="str">
        <x:v>임차료</x:v>
      </x:c>
      <x:c r="C51" s="118" t="n">
        <x:v>9200000</x:v>
      </x:c>
      <x:c r="D51" s="119" t="n">
        <x:v>500000</x:v>
      </x:c>
      <x:c r="E51" s="120" t="n">
        <x:f>C51-D51</x:f>
        <x:v>8700000</x:v>
      </x:c>
      <x:c r="F51" s="121" t="n">
        <x:f>G50</x:f>
        <x:v>8200000</x:v>
      </x:c>
      <x:c r="G51" s="121" t="n">
        <x:f>F51+E51</x:f>
        <x:v>16900000</x:v>
      </x:c>
      <x:c r="H51" s="96" t="str">
        <x:f>IF(G51&lt;'설정'!$B$7,"부족","정상")</x:f>
        <x:v>정상</x:v>
      </x:c>
    </x:row>
    <x:row r="52">
      <x:c r="A52" s="109" t="n">
        <x:v>46250</x:v>
      </x:c>
      <x:c r="B52" s="58" t="str">
        <x:v>세금</x:v>
      </x:c>
      <x:c r="C52" s="118" t="n">
        <x:v>0</x:v>
      </x:c>
      <x:c r="D52" s="119" t="n">
        <x:v>5200000</x:v>
      </x:c>
      <x:c r="E52" s="120" t="n">
        <x:f>C52-D52</x:f>
        <x:v>-5200000</x:v>
      </x:c>
      <x:c r="F52" s="121" t="n">
        <x:f>G51</x:f>
        <x:v>16900000</x:v>
      </x:c>
      <x:c r="G52" s="121" t="n">
        <x:f>F52+E52</x:f>
        <x:v>11700000</x:v>
      </x:c>
      <x:c r="H52" s="96" t="str">
        <x:f>IF(G52&lt;'설정'!$B$7,"부족","정상")</x:f>
        <x:v>부족</x:v>
      </x:c>
    </x:row>
    <x:row r="53">
      <x:c r="A53" s="109" t="n">
        <x:v>46251</x:v>
      </x:c>
      <x:c r="B53" s="58" t="str">
        <x:v>기타</x:v>
      </x:c>
      <x:c r="C53" s="118" t="n">
        <x:v>0</x:v>
      </x:c>
      <x:c r="D53" s="119" t="n">
        <x:v>5900000</x:v>
      </x:c>
      <x:c r="E53" s="120" t="n">
        <x:f>C53-D53</x:f>
        <x:v>-5900000</x:v>
      </x:c>
      <x:c r="F53" s="121" t="n">
        <x:f>G52</x:f>
        <x:v>11700000</x:v>
      </x:c>
      <x:c r="G53" s="121" t="n">
        <x:f>F53+E53</x:f>
        <x:v>5800000</x:v>
      </x:c>
      <x:c r="H53" s="96" t="str">
        <x:f>IF(G53&lt;'설정'!$B$7,"부족","정상")</x:f>
        <x:v>부족</x:v>
      </x:c>
    </x:row>
    <x:row r="54">
      <x:c r="A54" s="109" t="n">
        <x:v>46252</x:v>
      </x:c>
      <x:c r="B54" s="58" t="str">
        <x:v>매출입금</x:v>
      </x:c>
      <x:c r="C54" s="118" t="n">
        <x:v>2300000</x:v>
      </x:c>
      <x:c r="D54" s="119" t="n">
        <x:v>1300000</x:v>
      </x:c>
      <x:c r="E54" s="120" t="n">
        <x:f>C54-D54</x:f>
        <x:v>1000000</x:v>
      </x:c>
      <x:c r="F54" s="121" t="n">
        <x:f>G53</x:f>
        <x:v>5800000</x:v>
      </x:c>
      <x:c r="G54" s="121" t="n">
        <x:f>F54+E54</x:f>
        <x:v>6800000</x:v>
      </x:c>
      <x:c r="H54" s="96" t="str">
        <x:f>IF(G54&lt;'설정'!$B$7,"부족","정상")</x:f>
        <x:v>부족</x:v>
      </x:c>
    </x:row>
    <x:row r="55">
      <x:c r="A55" s="109" t="n">
        <x:v>46253</x:v>
      </x:c>
      <x:c r="B55" s="58" t="str">
        <x:v>원재료대금</x:v>
      </x:c>
      <x:c r="C55" s="118" t="n">
        <x:v>0</x:v>
      </x:c>
      <x:c r="D55" s="119" t="n">
        <x:v>2900000</x:v>
      </x:c>
      <x:c r="E55" s="120" t="n">
        <x:f>C55-D55</x:f>
        <x:v>-2900000</x:v>
      </x:c>
      <x:c r="F55" s="121" t="n">
        <x:f>G54</x:f>
        <x:v>6800000</x:v>
      </x:c>
      <x:c r="G55" s="121" t="n">
        <x:f>F55+E55</x:f>
        <x:v>3900000</x:v>
      </x:c>
      <x:c r="H55" s="96" t="str">
        <x:f>IF(G55&lt;'설정'!$B$7,"부족","정상")</x:f>
        <x:v>부족</x:v>
      </x:c>
    </x:row>
    <x:row r="56">
      <x:c r="A56" s="109" t="n">
        <x:v>46254</x:v>
      </x:c>
      <x:c r="B56" s="58" t="str">
        <x:v>급여</x:v>
      </x:c>
      <x:c r="C56" s="118" t="n">
        <x:v>0</x:v>
      </x:c>
      <x:c r="D56" s="119" t="n">
        <x:v>6000000</x:v>
      </x:c>
      <x:c r="E56" s="120" t="n">
        <x:f>C56-D56</x:f>
        <x:v>-6000000</x:v>
      </x:c>
      <x:c r="F56" s="121" t="n">
        <x:f>G55</x:f>
        <x:v>3900000</x:v>
      </x:c>
      <x:c r="G56" s="121" t="n">
        <x:f>F56+E56</x:f>
        <x:v>-2100000</x:v>
      </x:c>
      <x:c r="H56" s="96" t="str">
        <x:f>IF(G56&lt;'설정'!$B$7,"부족","정상")</x:f>
        <x:v>부족</x:v>
      </x:c>
    </x:row>
    <x:row r="57">
      <x:c r="A57" s="109" t="n">
        <x:v>46255</x:v>
      </x:c>
      <x:c r="B57" s="58" t="str">
        <x:v>임차료</x:v>
      </x:c>
      <x:c r="C57" s="118" t="n">
        <x:v>9900000</x:v>
      </x:c>
      <x:c r="D57" s="119" t="n">
        <x:v>3600000</x:v>
      </x:c>
      <x:c r="E57" s="120" t="n">
        <x:f>C57-D57</x:f>
        <x:v>6300000</x:v>
      </x:c>
      <x:c r="F57" s="121" t="n">
        <x:f>G56</x:f>
        <x:v>-2100000</x:v>
      </x:c>
      <x:c r="G57" s="121" t="n">
        <x:f>F57+E57</x:f>
        <x:v>4200000</x:v>
      </x:c>
      <x:c r="H57" s="96"/>
    </x:row>
    <x:row r="58">
      <x:c r="A58" s="109" t="n">
        <x:v>46256</x:v>
      </x:c>
      <x:c r="B58" s="58" t="str">
        <x:v>세금</x:v>
      </x:c>
      <x:c r="C58" s="118" t="n">
        <x:v>0</x:v>
      </x:c>
      <x:c r="D58" s="119" t="n">
        <x:v>8900000</x:v>
      </x:c>
      <x:c r="E58" s="120" t="n">
        <x:f>C58-D58</x:f>
        <x:v>-8900000</x:v>
      </x:c>
      <x:c r="F58" s="121" t="n">
        <x:f>G57</x:f>
        <x:v>4200000</x:v>
      </x:c>
      <x:c r="G58" s="121" t="n">
        <x:f>F58+E58</x:f>
        <x:v>-4700000</x:v>
      </x:c>
      <x:c r="H58" s="96" t="str">
        <x:f>IF(G58&lt;'설정'!$B$7,"부족","정상")</x:f>
        <x:v>부족</x:v>
      </x:c>
    </x:row>
    <x:row r="59">
      <x:c r="A59" s="109" t="n">
        <x:v>46257</x:v>
      </x:c>
      <x:c r="B59" s="58" t="str">
        <x:v>기타</x:v>
      </x:c>
      <x:c r="C59" s="118" t="n">
        <x:v>0</x:v>
      </x:c>
      <x:c r="D59" s="119" t="n">
        <x:v>7500000</x:v>
      </x:c>
      <x:c r="E59" s="120" t="n">
        <x:f>C59-D59</x:f>
        <x:v>-7500000</x:v>
      </x:c>
      <x:c r="F59" s="121" t="n">
        <x:f>G58</x:f>
        <x:v>-4700000</x:v>
      </x:c>
      <x:c r="G59" s="121" t="n">
        <x:f>F59+E59</x:f>
        <x:v>-12200000</x:v>
      </x:c>
      <x:c r="H59" s="96" t="str">
        <x:f>IF(G59&lt;'설정'!$B$7,"부족","정상")</x:f>
        <x:v>부족</x:v>
      </x:c>
    </x:row>
    <x:row r="60">
      <x:c r="A60" s="109" t="n">
        <x:v>46258</x:v>
      </x:c>
      <x:c r="B60" s="58" t="str">
        <x:v>매출입금</x:v>
      </x:c>
      <x:c r="C60" s="118" t="n">
        <x:v>8100000</x:v>
      </x:c>
      <x:c r="D60" s="119" t="n">
        <x:v>2200000</x:v>
      </x:c>
      <x:c r="E60" s="120" t="n">
        <x:f>C60-D60</x:f>
        <x:v>5900000</x:v>
      </x:c>
      <x:c r="F60" s="121" t="n">
        <x:f>G59</x:f>
        <x:v>-12200000</x:v>
      </x:c>
      <x:c r="G60" s="121" t="n">
        <x:f>F60+E60</x:f>
        <x:v>-6300000</x:v>
      </x:c>
      <x:c r="H60" s="96" t="str">
        <x:f>IF(G60&lt;'설정'!$B$7,"부족","정상")</x:f>
        <x:v>부족</x:v>
      </x:c>
    </x:row>
    <x:row r="61">
      <x:c r="A61" s="109" t="n">
        <x:v>46259</x:v>
      </x:c>
      <x:c r="B61" s="58" t="str">
        <x:v>원재료대금</x:v>
      </x:c>
      <x:c r="C61" s="118" t="n">
        <x:v>0</x:v>
      </x:c>
      <x:c r="D61" s="119" t="n">
        <x:v>1600000</x:v>
      </x:c>
      <x:c r="E61" s="120" t="n">
        <x:f>C61-D61</x:f>
        <x:v>-1600000</x:v>
      </x:c>
      <x:c r="F61" s="121" t="n">
        <x:f>G60</x:f>
        <x:v>-6300000</x:v>
      </x:c>
      <x:c r="G61" s="121" t="n">
        <x:f>F61+E61</x:f>
        <x:v>-7900000</x:v>
      </x:c>
      <x:c r="H61" s="96" t="str">
        <x:f>IF(G61&lt;'설정'!$B$7,"부족","정상")</x:f>
        <x:v>부족</x:v>
      </x:c>
    </x:row>
    <x:row r="62">
      <x:c r="A62" s="109" t="n">
        <x:v>46260</x:v>
      </x:c>
      <x:c r="B62" s="58" t="str">
        <x:v>급여</x:v>
      </x:c>
      <x:c r="C62" s="118" t="n">
        <x:v>0</x:v>
      </x:c>
      <x:c r="D62" s="119" t="n">
        <x:v>9900000</x:v>
      </x:c>
      <x:c r="E62" s="120" t="n">
        <x:f>C62-D62</x:f>
        <x:v>-9900000</x:v>
      </x:c>
      <x:c r="F62" s="121" t="n">
        <x:f>G61</x:f>
        <x:v>-7900000</x:v>
      </x:c>
      <x:c r="G62" s="121" t="n">
        <x:f>F62+E62</x:f>
        <x:v>-17800000</x:v>
      </x:c>
      <x:c r="H62" s="96" t="str">
        <x:f>IF(G62&lt;'설정'!$B$7,"부족","정상")</x:f>
        <x:v>부족</x:v>
      </x:c>
    </x:row>
    <x:row r="63">
      <x:c r="A63" s="109" t="n">
        <x:v>46261</x:v>
      </x:c>
      <x:c r="B63" s="58" t="str">
        <x:v>임차료</x:v>
      </x:c>
      <x:c r="C63" s="118" t="n">
        <x:v>11100000</x:v>
      </x:c>
      <x:c r="D63" s="119" t="n">
        <x:v>100000</x:v>
      </x:c>
      <x:c r="E63" s="120" t="n">
        <x:f>C63-D63</x:f>
        <x:v>11000000</x:v>
      </x:c>
      <x:c r="F63" s="121" t="n">
        <x:f>G62</x:f>
        <x:v>-17800000</x:v>
      </x:c>
      <x:c r="G63" s="121" t="n">
        <x:f>F63+E63</x:f>
        <x:v>-6800000</x:v>
      </x:c>
      <x:c r="H63" s="96" t="str">
        <x:f>IF(G63&lt;'설정'!$B$7,"부족","정상")</x:f>
        <x:v>부족</x:v>
      </x:c>
    </x:row>
    <x:row r="64">
      <x:c r="A64" s="109" t="n">
        <x:v>46262</x:v>
      </x:c>
      <x:c r="B64" s="58" t="str">
        <x:v>세금</x:v>
      </x:c>
      <x:c r="C64" s="118" t="n">
        <x:v>0</x:v>
      </x:c>
      <x:c r="D64" s="119" t="n">
        <x:v>9500000</x:v>
      </x:c>
      <x:c r="E64" s="120" t="n">
        <x:f>C64-D64</x:f>
        <x:v>-9500000</x:v>
      </x:c>
      <x:c r="F64" s="121" t="n">
        <x:f>G63</x:f>
        <x:v>-6800000</x:v>
      </x:c>
      <x:c r="G64" s="121" t="n">
        <x:f>F64+E64</x:f>
        <x:v>-16300000</x:v>
      </x:c>
      <x:c r="H64" s="96" t="str">
        <x:f>IF(G64&lt;'설정'!$B$7,"부족","정상")</x:f>
        <x:v>부족</x:v>
      </x:c>
    </x:row>
    <x:row r="65">
      <x:c r="A65" s="110" t="n">
        <x:v>46263</x:v>
      </x:c>
      <x:c r="B65" s="82" t="str">
        <x:v>기타</x:v>
      </x:c>
      <x:c r="C65" s="122" t="n">
        <x:v>0</x:v>
      </x:c>
      <x:c r="D65" s="123" t="n">
        <x:v>3900000</x:v>
      </x:c>
      <x:c r="E65" s="124" t="n">
        <x:f>C65-D65</x:f>
        <x:v>-3900000</x:v>
      </x:c>
      <x:c r="F65" s="125" t="n">
        <x:f>G64</x:f>
        <x:v>-16300000</x:v>
      </x:c>
      <x:c r="G65" s="125" t="n">
        <x:f>F65+E65</x:f>
        <x:v>-20200000</x:v>
      </x:c>
      <x:c r="H65" s="99" t="str">
        <x:f>IF(G65&lt;'설정'!$B$7,"부족","정상")</x:f>
        <x:v>부족</x:v>
      </x:c>
    </x:row>
    <x:row r="66">
      <x:c r="A66" s="144" t="str">
        <x:v>월간 소계</x:v>
      </x:c>
      <x:c r="B66" s="145" t="str"/>
      <x:c r="C66" s="146" t="n">
        <x:f>SUM(C6:C65)</x:f>
        <x:v>180500000</x:v>
      </x:c>
      <x:c r="D66" s="146" t="n">
        <x:f>SUM(D6:D65)</x:f>
        <x:v>302500000</x:v>
      </x:c>
      <x:c r="E66" s="146" t="n">
        <x:f>SUM(E6:E65)</x:f>
        <x:v>-114800000</x:v>
      </x:c>
      <x:c r="F66" s="146" t="str"/>
      <x:c r="G66" s="146" t="str"/>
      <x:c r="H66" s="147" t="str"/>
    </x:row>
    <x:row r="67">
      <x:c r="A67" s="160" t="str">
        <x:v>차입 조정</x:v>
      </x:c>
      <x:c r="B67" s="161" t="str">
        <x:v>단기차입</x:v>
      </x:c>
      <x:c r="C67" s="162" t="n">
        <x:v>30000000</x:v>
      </x:c>
      <x:c r="D67" s="162" t="n">
        <x:v>0</x:v>
      </x:c>
      <x:c r="E67" s="162" t="n">
        <x:v>30000000</x:v>
      </x:c>
      <x:c r="F67" s="162" t="str"/>
      <x:c r="G67" s="162" t="str"/>
      <x:c r="H67" s="163" t="str">
        <x:v>수기 자금조정</x:v>
      </x:c>
    </x:row>
    <x:row r="68">
      <x:c r="A68" s="144" t="str">
        <x:v>조정 후 합계</x:v>
      </x:c>
      <x:c r="B68" s="145" t="str"/>
      <x:c r="C68" s="146" t="n">
        <x:f>C66+C67</x:f>
        <x:v>210500000</x:v>
      </x:c>
      <x:c r="D68" s="146" t="n">
        <x:f>D66+D67</x:f>
        <x:v>302500000</x:v>
      </x:c>
      <x:c r="E68" s="146" t="n">
        <x:f>E66+E67</x:f>
        <x:v>-84800000</x:v>
      </x:c>
      <x:c r="F68" s="146" t="str"/>
      <x:c r="G68" s="146" t="n">
        <x:f>G65+E67</x:f>
        <x:v>9800000</x:v>
      </x:c>
      <x:c r="H68" s="147" t="str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7" hidden="0" customWidth="1"/>
  </x:cols>
  <x:sheetData>
    <x:row r="1" ht="30" customHeight="1">
      <x:c r="A1" s="5" t="str">
        <x:v>월별 자금 요약</x:v>
      </x:c>
      <x:c r="B1" s="5"/>
      <x:c r="C1" s="5"/>
      <x:c r="D1" s="5"/>
    </x:row>
    <x:row r="2" ht="24" customHeight="1">
      <x:c r="A2" s="12" t="str">
        <x:v>월별 입금·출금·순현금흐름</x:v>
      </x:c>
      <x:c r="B2" s="12"/>
      <x:c r="C2" s="12"/>
      <x:c r="D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</x:row>
    <x:row r="5" ht="28" customHeight="1">
      <x:c r="A5" s="30" t="str">
        <x:v>월</x:v>
      </x:c>
      <x:c r="B5" s="71" t="str">
        <x:v>입금예정</x:v>
      </x:c>
      <x:c r="C5" s="71" t="str">
        <x:v>출금예정</x:v>
      </x:c>
      <x:c r="D5" s="31" t="str">
        <x:v>순현금흐름</x:v>
      </x:c>
    </x:row>
    <x:row r="6">
      <x:c r="A6" s="174" t="n">
        <x:v>46204</x:v>
      </x:c>
      <x:c r="B6" s="116" t="n">
        <x:f>SUMIFS('자금계획'!$C$6:$C$65,'자금계획'!$A$6:$A$65,"&gt;="&amp;A6,'자금계획'!$A$6:$A$65,"&lt;"&amp;EDATE(A6,1))</x:f>
        <x:v>97400000</x:v>
      </x:c>
      <x:c r="C6" s="117" t="n">
        <x:f>SUMIFS('자금계획'!$D$6:$D$65,'자금계획'!$A$6:$A$65,"&gt;="&amp;A6,'자금계획'!$A$6:$A$65,"&lt;"&amp;EDATE(A6,1))</x:f>
        <x:v>162700000</x:v>
      </x:c>
      <x:c r="D6" s="180" t="n">
        <x:f>B6-C6</x:f>
        <x:v>-65300000</x:v>
      </x:c>
    </x:row>
    <x:row r="7">
      <x:c r="A7" s="175" t="n">
        <x:v>46235</x:v>
      </x:c>
      <x:c r="B7" s="120" t="n">
        <x:f>SUMIFS('자금계획'!$C$6:$C$65,'자금계획'!$A$6:$A$65,"&gt;="&amp;A7,'자금계획'!$A$6:$A$65,"&lt;"&amp;EDATE(A7,1))</x:f>
        <x:v>83100000</x:v>
      </x:c>
      <x:c r="C7" s="121" t="n">
        <x:f>SUMIFS('자금계획'!$D$6:$D$65,'자금계획'!$A$6:$A$65,"&gt;="&amp;A7,'자금계획'!$A$6:$A$65,"&lt;"&amp;EDATE(A7,1))</x:f>
        <x:v>139800000</x:v>
      </x:c>
      <x:c r="D7" s="181" t="n">
        <x:f>B7-C7</x:f>
        <x:v>-56700000</x:v>
      </x:c>
    </x:row>
    <x:row r="8">
      <x:c r="A8" s="176" t="n">
        <x:v>46266</x:v>
      </x:c>
      <x:c r="B8" s="124" t="n">
        <x:f>SUMIFS('자금계획'!$C$6:$C$65,'자금계획'!$A$6:$A$65,"&gt;="&amp;A8,'자금계획'!$A$6:$A$65,"&lt;"&amp;EDATE(A8,1))</x:f>
        <x:v>0</x:v>
      </x:c>
      <x:c r="C8" s="125" t="n">
        <x:f>SUMIFS('자금계획'!$D$6:$D$65,'자금계획'!$A$6:$A$65,"&gt;="&amp;A8,'자금계획'!$A$6:$A$65,"&lt;"&amp;EDATE(A8,1))</x:f>
        <x:v>0</x:v>
      </x:c>
      <x:c r="D8" s="182" t="n">
        <x:f>B8-C8</x:f>
        <x:v>0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자금 KPI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최종잔액과 부족일수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87" t="str">
        <x:v>기초잔액</x:v>
      </x:c>
      <x:c r="B5" s="187"/>
      <x:c r="C5" s="187" t="str">
        <x:v>최종잔액</x:v>
      </x:c>
      <x:c r="D5" s="187"/>
      <x:c r="E5" s="187" t="str">
        <x:v>부족일수</x:v>
      </x:c>
      <x:c r="F5" s="187"/>
      <x:c r="G5" s="187" t="str">
        <x:v>순현금흐름</x:v>
      </x:c>
      <x:c r="H5" s="187"/>
    </x:row>
    <x:row r="6">
      <x:c r="A6" s="192" t="n">
        <x:f>'설정'!B6</x:f>
        <x:v>85000000</x:v>
      </x:c>
      <x:c r="B6" s="192"/>
      <x:c r="C6" s="192" t="n">
        <x:f>'자금계획'!G68</x:f>
        <x:v>9800000</x:v>
      </x:c>
      <x:c r="D6" s="192"/>
      <x:c r="E6" s="192" t="n">
        <x:f>COUNTIF('자금계획'!H6:H65,"부족")</x:f>
        <x:v>22</x:v>
      </x:c>
      <x:c r="F6" s="192"/>
      <x:c r="G6" s="192" t="n">
        <x:f>'자금계획'!E68</x:f>
        <x:v>-84800000</x:v>
      </x:c>
      <x:c r="H6" s="192"/>
    </x:row>
    <x:row r="7">
      <x:c r="A7" s="192"/>
      <x:c r="B7" s="192"/>
      <x:c r="C7" s="192"/>
      <x:c r="D7" s="192"/>
      <x:c r="E7" s="192"/>
      <x:c r="F7" s="192"/>
      <x:c r="G7" s="192"/>
      <x:c r="H7" s="192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