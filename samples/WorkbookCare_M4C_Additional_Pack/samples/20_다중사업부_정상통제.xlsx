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9f8be676ff45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8ef38ebea90246a4"/>
    <x:sheet xmlns:r="http://schemas.openxmlformats.org/officeDocument/2006/relationships" name="원천데이터" sheetId="2" r:id="Rf1dbe210383d4eea"/>
    <x:sheet xmlns:r="http://schemas.openxmlformats.org/officeDocument/2006/relationships" name="사업부요약" sheetId="3" r:id="R34138db0060742bc"/>
    <x:sheet xmlns:r="http://schemas.openxmlformats.org/officeDocument/2006/relationships" name="월별추이" sheetId="4" r:id="R9bc407709458411f"/>
    <x:sheet xmlns:r="http://schemas.openxmlformats.org/officeDocument/2006/relationships" name="분기요약" sheetId="5" r:id="Rd2458b7afc724160"/>
    <x:sheet xmlns:r="http://schemas.openxmlformats.org/officeDocument/2006/relationships" name="대시보드" sheetId="6" r:id="Re2e31cad25b841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"/>
    <x:numFmt numFmtId="201" formatCode="#,##0"/>
    <x:numFmt numFmtId="202" formatCode="0.0%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95959"/>
      <x:name val="Carlito"/>
    </x:font>
    <x:font>
      <x:sz val="9"/>
      <x:color rgb="FF666666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9C0006"/>
      <x:name val="Carlito"/>
    </x:font>
    <x:font>
      <x:b/>
      <x:sz val="11"/>
      <x:color rgb="FF595959"/>
      <x:name val="Carlito"/>
    </x:font>
    <x:font>
      <x:b/>
      <x:sz val="15"/>
      <x:color rgb="FF17365D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2F75B5"/>
      </x:patternFill>
    </x:fill>
    <x:fill>
      <x:patternFill patternType="solid">
        <x:fgColor rgb="FFE7E6E6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0F6B78"/>
      </x:patternFill>
    </x:fill>
    <x:fill>
      <x:patternFill patternType="solid">
        <x:fgColor rgb="FFFCE4D6"/>
      </x:patternFill>
    </x:fill>
  </x:fills>
  <x:borders count="42">
    <x:border/>
    <x:border/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left style="hair">
        <x:color rgb="FFD9D9D9"/>
      </x:left>
      <x:top style="hair">
        <x:color rgb="FFD9D9D9"/>
      </x:top>
    </x:border>
    <x:border>
      <x:top style="hair">
        <x:color rgb="FFD9D9D9"/>
      </x:top>
    </x:border>
    <x:border>
      <x:right style="hair">
        <x:color rgb="FFD9D9D9"/>
      </x:right>
      <x:top style="hair">
        <x:color rgb="FFD9D9D9"/>
      </x:top>
    </x:border>
    <x:border>
      <x:left style="hair">
        <x:color rgb="FFD9D9D9"/>
      </x:left>
    </x:border>
    <x:border>
      <x:right style="hair">
        <x:color rgb="FFD9D9D9"/>
      </x:right>
    </x:border>
    <x:border>
      <x:left style="hair">
        <x:color rgb="FFD9D9D9"/>
      </x:left>
      <x:bottom style="hair">
        <x:color rgb="FFD9D9D9"/>
      </x:bottom>
    </x:border>
    <x:border>
      <x:bottom style="hair">
        <x:color rgb="FFD9D9D9"/>
      </x:bottom>
    </x:border>
    <x:border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top style="hair">
        <x:color rgb="FFD9D9D9"/>
      </x:top>
    </x:border>
    <x:border>
      <x:top style="hair">
        <x:color rgb="FFD9D9D9"/>
      </x:top>
    </x:border>
    <x:border>
      <x:right style="hair">
        <x:color rgb="FFD9D9D9"/>
      </x:right>
      <x:top style="hair">
        <x:color rgb="FFD9D9D9"/>
      </x:top>
    </x:border>
    <x:border>
      <x:left style="hair">
        <x:color rgb="FFD9D9D9"/>
      </x:left>
    </x:border>
    <x:border>
      <x:right style="hair">
        <x:color rgb="FFD9D9D9"/>
      </x:right>
    </x:border>
    <x:border>
      <x:left style="hair">
        <x:color rgb="FFD9D9D9"/>
      </x:left>
      <x:bottom style="hair">
        <x:color rgb="FFD9D9D9"/>
      </x:bottom>
    </x:border>
    <x:border>
      <x:bottom style="hair">
        <x:color rgb="FFD9D9D9"/>
      </x:bottom>
    </x:border>
    <x:border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right style="hair">
        <x:color rgb="FFD9D9D9"/>
      </x:right>
      <x:top style="hair">
        <x:color rgb="FFD9D9D9"/>
      </x:top>
    </x:border>
    <x:border>
      <x:left style="hair">
        <x:color rgb="FFD9D9D9"/>
      </x:left>
      <x:right style="hair">
        <x:color rgb="FFD9D9D9"/>
      </x:right>
    </x:border>
    <x:border>
      <x:left style="hair">
        <x:color rgb="FFD9D9D9"/>
      </x:left>
      <x:right style="hair">
        <x:color rgb="FFD9D9D9"/>
      </x:right>
      <x:bottom style="hair">
        <x:color rgb="FFD9D9D9"/>
      </x:bottom>
    </x:border>
    <x:border>
      <x:left style="hair">
        <x:color rgb="FFD9D9D9"/>
      </x:left>
      <x:right style="hair">
        <x:color rgb="FFD9D9D9"/>
      </x:right>
      <x:top style="hair">
        <x:color rgb="FFD9D9D9"/>
      </x:top>
    </x:border>
    <x:border>
      <x:left style="hair">
        <x:color rgb="FFD9D9D9"/>
      </x:left>
      <x:right style="hair">
        <x:color rgb="FFD9D9D9"/>
      </x:right>
    </x:border>
    <x:border>
      <x:left style="hair">
        <x:color rgb="FFD9D9D9"/>
      </x:left>
      <x:right style="hair">
        <x:color rgb="FFD9D9D9"/>
      </x:right>
      <x:bottom style="hair">
        <x:color rgb="FFD9D9D9"/>
      </x:bottom>
    </x:border>
    <x:border>
      <x:left style="thin">
        <x:color rgb="FF0F6B78"/>
      </x:left>
      <x:top style="thin">
        <x:color rgb="FF0F6B78"/>
      </x:top>
      <x:bottom style="thin">
        <x:color rgb="FF0F6B78"/>
      </x:bottom>
    </x:border>
    <x:border>
      <x:top style="thin">
        <x:color rgb="FF0F6B78"/>
      </x:top>
      <x:bottom style="thin">
        <x:color rgb="FF0F6B78"/>
      </x:bottom>
    </x:border>
    <x:border>
      <x:right style="thin">
        <x:color rgb="FF0F6B78"/>
      </x:right>
      <x:top style="thin">
        <x:color rgb="FF0F6B78"/>
      </x:top>
      <x:bottom style="thin">
        <x:color rgb="FF0F6B78"/>
      </x:bottom>
    </x:border>
    <x:border>
      <x:left style="thin">
        <x:color rgb="FF0F6B78"/>
      </x:left>
      <x:top style="thin">
        <x:color rgb="FF0F6B78"/>
      </x:top>
      <x:bottom style="thin">
        <x:color rgb="FF0F6B78"/>
      </x:bottom>
    </x:border>
    <x:border>
      <x:top style="thin">
        <x:color rgb="FF0F6B78"/>
      </x:top>
      <x:bottom style="thin">
        <x:color rgb="FF0F6B78"/>
      </x:bottom>
    </x:border>
    <x:border>
      <x:right style="thin">
        <x:color rgb="FF0F6B78"/>
      </x:right>
      <x:top style="thin">
        <x:color rgb="FF0F6B78"/>
      </x:top>
      <x:bottom style="thin">
        <x:color rgb="FF0F6B78"/>
      </x:bottom>
    </x:border>
    <x:border>
      <x:left style="thin">
        <x:color rgb="FFF4B084"/>
      </x:left>
      <x:top style="thin">
        <x:color rgb="FFF4B084"/>
      </x:top>
      <x:bottom style="thin">
        <x:color rgb="FFF4B084"/>
      </x:bottom>
    </x:border>
    <x:border>
      <x:top style="thin">
        <x:color rgb="FFF4B084"/>
      </x:top>
      <x:bottom style="thin">
        <x:color rgb="FFF4B084"/>
      </x:bottom>
    </x:border>
    <x:border>
      <x:right style="thin">
        <x:color rgb="FFF4B084"/>
      </x:right>
      <x:top style="thin">
        <x:color rgb="FFF4B084"/>
      </x:top>
      <x:bottom style="thin">
        <x:color rgb="FFF4B084"/>
      </x:bottom>
    </x:border>
    <x:border>
      <x:left style="thin">
        <x:color rgb="FFF4B084"/>
      </x:left>
      <x:top style="thin">
        <x:color rgb="FFF4B084"/>
      </x:top>
      <x:bottom style="thin">
        <x:color rgb="FFF4B084"/>
      </x:bottom>
    </x:border>
    <x:border>
      <x:top style="thin">
        <x:color rgb="FFF4B084"/>
      </x:top>
      <x:bottom style="thin">
        <x:color rgb="FFF4B084"/>
      </x:bottom>
    </x:border>
    <x:border>
      <x:right style="thin">
        <x:color rgb="FFF4B084"/>
      </x:right>
      <x:top style="thin">
        <x:color rgb="FFF4B084"/>
      </x:top>
      <x:bottom style="thin">
        <x:color rgb="FFF4B084"/>
      </x:bottom>
    </x:border>
  </x:borders>
  <x:cellStyleXfs count="1">
    <x:xf numFmtId="0" fontId="0" fillId="0" borderId="0"/>
  </x:cellStyleXfs>
  <x:cellXfs count="18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horizontal="center" wrapText="1"/>
    </x:xf>
    <x:xf numFmtId="0" fontId="4" fillId="5" borderId="5" xfId="0" applyNumberFormat="1" applyFont="1" applyFill="1" applyBorder="1" applyAlignment="1">
      <x:alignment horizont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4" fillId="5" borderId="6" xfId="0" applyNumberFormat="1" applyFont="1" applyFill="1" applyBorder="1"/>
    <x:xf numFmtId="0" fontId="4" fillId="5" borderId="6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horizontal="center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/>
    <x:xf numFmtId="0" fontId="4" fillId="5" borderId="7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horizont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0" fillId="8" borderId="8" xfId="0" applyNumberFormat="1" applyFont="1" applyFill="1" applyBorder="1"/>
    <x:xf numFmtId="0" fontId="0" fillId="8" borderId="9" xfId="0" applyNumberFormat="1" applyFont="1" applyFill="1" applyBorder="1"/>
    <x:xf numFmtId="0" fontId="0" fillId="8" borderId="10" xfId="0" applyNumberFormat="1" applyFont="1" applyFill="1" applyBorder="1"/>
    <x:xf numFmtId="0" fontId="0" fillId="8" borderId="11" xfId="0" applyNumberFormat="1" applyFont="1" applyFill="1" applyBorder="1"/>
    <x:xf numFmtId="0" fontId="0" fillId="8" borderId="12" xfId="0" applyNumberFormat="1" applyFont="1" applyFill="1" applyBorder="1"/>
    <x:xf numFmtId="0" fontId="0" fillId="8" borderId="13" xfId="0" applyNumberFormat="1" applyFont="1" applyFill="1" applyBorder="1"/>
    <x:xf numFmtId="0" fontId="0" fillId="8" borderId="14" xfId="0" applyNumberFormat="1" applyFont="1" applyFill="1" applyBorder="1"/>
    <x:xf numFmtId="0" fontId="0" fillId="8" borderId="15" xfId="0" applyNumberFormat="1" applyFont="1" applyFill="1" applyBorder="1"/>
    <x:xf numFmtId="0" fontId="0" fillId="8" borderId="1" xfId="0" applyNumberFormat="1" applyFont="1" applyFill="1" applyBorder="1"/>
    <x:xf numFmtId="0" fontId="0" fillId="8" borderId="16" xfId="0" applyNumberFormat="1" applyFont="1" applyFill="1" applyBorder="1"/>
    <x:xf numFmtId="0" fontId="0" fillId="8" borderId="17" xfId="0" applyNumberFormat="1" applyFont="1" applyFill="1" applyBorder="1"/>
    <x:xf numFmtId="0" fontId="0" fillId="8" borderId="18" xfId="0" applyNumberFormat="1" applyFont="1" applyFill="1" applyBorder="1"/>
    <x:xf numFmtId="0" fontId="0" fillId="8" borderId="19" xfId="0" applyNumberFormat="1" applyFont="1" applyFill="1" applyBorder="1"/>
    <x:xf numFmtId="0" fontId="0" fillId="8" borderId="20" xfId="0" applyNumberFormat="1" applyFont="1" applyFill="1" applyBorder="1"/>
    <x:xf numFmtId="0" fontId="0" fillId="8" borderId="21" xfId="0" applyNumberFormat="1" applyFont="1" applyFill="1" applyBorder="1"/>
    <x:xf numFmtId="0" fontId="0" fillId="8" borderId="22" xfId="0" applyNumberFormat="1" applyFont="1" applyFill="1" applyBorder="1"/>
    <x:xf numFmtId="0" fontId="0" fillId="8" borderId="23" xfId="0" applyNumberFormat="1" applyFont="1" applyFill="1" applyBorder="1"/>
    <x:xf numFmtId="200" fontId="0" fillId="8" borderId="8" xfId="0" applyNumberFormat="1" applyFont="1" applyFill="1" applyBorder="1"/>
    <x:xf numFmtId="200" fontId="0" fillId="8" borderId="11" xfId="0" applyNumberFormat="1" applyFont="1" applyFill="1" applyBorder="1"/>
    <x:xf numFmtId="200" fontId="0" fillId="8" borderId="13" xfId="0" applyNumberFormat="1" applyFont="1" applyFill="1" applyBorder="1"/>
    <x:xf numFmtId="200" fontId="0" fillId="8" borderId="16" xfId="0" applyNumberFormat="1" applyFont="1" applyFill="1" applyBorder="1"/>
    <x:xf numFmtId="200" fontId="0" fillId="8" borderId="19" xfId="0" applyNumberFormat="1" applyFont="1" applyFill="1" applyBorder="1"/>
    <x:xf numFmtId="200" fontId="0" fillId="8" borderId="21" xfId="0" applyNumberFormat="1" applyFont="1" applyFill="1" applyBorder="1"/>
    <x:xf numFmtId="201" fontId="0" fillId="8" borderId="9" xfId="0" applyNumberFormat="1" applyFont="1" applyFill="1" applyBorder="1"/>
    <x:xf numFmtId="201" fontId="0" fillId="8" borderId="0" xfId="0" applyNumberFormat="1" applyFont="1" applyFill="1" applyBorder="1"/>
    <x:xf numFmtId="201" fontId="0" fillId="8" borderId="14" xfId="0" applyNumberFormat="1" applyFont="1" applyFill="1" applyBorder="1"/>
    <x:xf numFmtId="201" fontId="0" fillId="8" borderId="17" xfId="0" applyNumberFormat="1" applyFont="1" applyFill="1" applyBorder="1"/>
    <x:xf numFmtId="201" fontId="0" fillId="8" borderId="1" xfId="0" applyNumberFormat="1" applyFont="1" applyFill="1" applyBorder="1"/>
    <x:xf numFmtId="201" fontId="0" fillId="8" borderId="22" xfId="0" applyNumberFormat="1" applyFont="1" applyFill="1" applyBorder="1"/>
    <x:xf numFmtId="0" fontId="0" fillId="8" borderId="24" xfId="0" applyNumberFormat="1" applyFont="1" applyFill="1" applyBorder="1"/>
    <x:xf numFmtId="0" fontId="0" fillId="8" borderId="25" xfId="0" applyNumberFormat="1" applyFont="1" applyFill="1" applyBorder="1"/>
    <x:xf numFmtId="0" fontId="0" fillId="8" borderId="26" xfId="0" applyNumberFormat="1" applyFont="1" applyFill="1" applyBorder="1"/>
    <x:xf numFmtId="0" fontId="0" fillId="8" borderId="27" xfId="0" applyNumberFormat="1" applyFont="1" applyFill="1" applyBorder="1"/>
    <x:xf numFmtId="0" fontId="0" fillId="8" borderId="28" xfId="0" applyNumberFormat="1" applyFont="1" applyFill="1" applyBorder="1"/>
    <x:xf numFmtId="0" fontId="0" fillId="8" borderId="29" xfId="0" applyNumberFormat="1" applyFont="1" applyFill="1" applyBorder="1"/>
    <x:xf numFmtId="0" fontId="0" fillId="7" borderId="8" xfId="0" applyNumberFormat="1" applyFont="1" applyFill="1" applyBorder="1"/>
    <x:xf numFmtId="0" fontId="0" fillId="7" borderId="9" xfId="0" applyNumberFormat="1" applyFont="1" applyFill="1" applyBorder="1"/>
    <x:xf numFmtId="0" fontId="0" fillId="7" borderId="10" xfId="0" applyNumberFormat="1" applyFont="1" applyFill="1" applyBorder="1"/>
    <x:xf numFmtId="0" fontId="0" fillId="7" borderId="11" xfId="0" applyNumberFormat="1" applyFont="1" applyFill="1" applyBorder="1"/>
    <x:xf numFmtId="0" fontId="0" fillId="7" borderId="12" xfId="0" applyNumberFormat="1" applyFont="1" applyFill="1" applyBorder="1"/>
    <x:xf numFmtId="0" fontId="0" fillId="7" borderId="13" xfId="0" applyNumberFormat="1" applyFont="1" applyFill="1" applyBorder="1"/>
    <x:xf numFmtId="0" fontId="0" fillId="7" borderId="14" xfId="0" applyNumberFormat="1" applyFont="1" applyFill="1" applyBorder="1"/>
    <x:xf numFmtId="0" fontId="0" fillId="7" borderId="15" xfId="0" applyNumberFormat="1" applyFont="1" applyFill="1" applyBorder="1"/>
    <x:xf numFmtId="0" fontId="0" fillId="7" borderId="16" xfId="0" applyNumberFormat="1" applyFont="1" applyFill="1" applyBorder="1"/>
    <x:xf numFmtId="0" fontId="0" fillId="7" borderId="17" xfId="0" applyNumberFormat="1" applyFont="1" applyFill="1" applyBorder="1"/>
    <x:xf numFmtId="0" fontId="0" fillId="7" borderId="18" xfId="0" applyNumberFormat="1" applyFont="1" applyFill="1" applyBorder="1"/>
    <x:xf numFmtId="0" fontId="0" fillId="7" borderId="19" xfId="0" applyNumberFormat="1" applyFont="1" applyFill="1" applyBorder="1"/>
    <x:xf numFmtId="0" fontId="0" fillId="7" borderId="20" xfId="0" applyNumberFormat="1" applyFont="1" applyFill="1" applyBorder="1"/>
    <x:xf numFmtId="0" fontId="0" fillId="7" borderId="21" xfId="0" applyNumberFormat="1" applyFont="1" applyFill="1" applyBorder="1"/>
    <x:xf numFmtId="0" fontId="0" fillId="7" borderId="22" xfId="0" applyNumberFormat="1" applyFont="1" applyFill="1" applyBorder="1"/>
    <x:xf numFmtId="0" fontId="0" fillId="7" borderId="23" xfId="0" applyNumberFormat="1" applyFont="1" applyFill="1" applyBorder="1"/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30" xfId="0" applyNumberFormat="1" applyFont="1" applyFill="1" applyBorder="1"/>
    <x:xf numFmtId="0" fontId="4" fillId="9" borderId="31" xfId="0" applyNumberFormat="1" applyFont="1" applyFill="1" applyBorder="1"/>
    <x:xf numFmtId="0" fontId="4" fillId="9" borderId="32" xfId="0" applyNumberFormat="1" applyFont="1" applyFill="1" applyBorder="1"/>
    <x:xf numFmtId="0" fontId="0" fillId="9" borderId="1" xfId="0" applyNumberFormat="1" applyFont="1" applyFill="1" applyBorder="1"/>
    <x:xf numFmtId="0" fontId="4" fillId="9" borderId="1" xfId="0" applyNumberFormat="1" applyFont="1" applyFill="1" applyBorder="1"/>
    <x:xf numFmtId="0" fontId="4" fillId="9" borderId="33" xfId="0" applyNumberFormat="1" applyFont="1" applyFill="1" applyBorder="1"/>
    <x:xf numFmtId="0" fontId="4" fillId="9" borderId="34" xfId="0" applyNumberFormat="1" applyFont="1" applyFill="1" applyBorder="1"/>
    <x:xf numFmtId="0" fontId="4" fillId="9" borderId="35" xfId="0" applyNumberFormat="1" applyFont="1" applyFill="1" applyBorder="1"/>
    <x:xf numFmtId="201" fontId="0" fillId="7" borderId="8" xfId="0" applyNumberFormat="1" applyFont="1" applyFill="1" applyBorder="1"/>
    <x:xf numFmtId="201" fontId="0" fillId="7" borderId="9" xfId="0" applyNumberFormat="1" applyFont="1" applyFill="1" applyBorder="1"/>
    <x:xf numFmtId="201" fontId="0" fillId="7" borderId="11" xfId="0" applyNumberFormat="1" applyFont="1" applyFill="1" applyBorder="1"/>
    <x:xf numFmtId="201" fontId="0" fillId="7" borderId="0" xfId="0" applyNumberFormat="1" applyFont="1" applyFill="1" applyBorder="1"/>
    <x:xf numFmtId="201" fontId="0" fillId="7" borderId="13" xfId="0" applyNumberFormat="1" applyFont="1" applyFill="1" applyBorder="1"/>
    <x:xf numFmtId="201" fontId="0" fillId="7" borderId="14" xfId="0" applyNumberFormat="1" applyFont="1" applyFill="1" applyBorder="1"/>
    <x:xf numFmtId="201" fontId="4" fillId="9" borderId="31" xfId="0" applyNumberFormat="1" applyFont="1" applyFill="1" applyBorder="1"/>
    <x:xf numFmtId="201" fontId="0" fillId="7" borderId="16" xfId="0" applyNumberFormat="1" applyFont="1" applyFill="1" applyBorder="1"/>
    <x:xf numFmtId="201" fontId="0" fillId="7" borderId="17" xfId="0" applyNumberFormat="1" applyFont="1" applyFill="1" applyBorder="1"/>
    <x:xf numFmtId="201" fontId="0" fillId="7" borderId="19" xfId="0" applyNumberFormat="1" applyFont="1" applyFill="1" applyBorder="1"/>
    <x:xf numFmtId="201" fontId="0" fillId="7" borderId="1" xfId="0" applyNumberFormat="1" applyFont="1" applyFill="1" applyBorder="1"/>
    <x:xf numFmtId="201" fontId="0" fillId="7" borderId="21" xfId="0" applyNumberFormat="1" applyFont="1" applyFill="1" applyBorder="1"/>
    <x:xf numFmtId="201" fontId="0" fillId="7" borderId="22" xfId="0" applyNumberFormat="1" applyFont="1" applyFill="1" applyBorder="1"/>
    <x:xf numFmtId="201" fontId="4" fillId="9" borderId="34" xfId="0" applyNumberFormat="1" applyFont="1" applyFill="1" applyBorder="1"/>
    <x:xf numFmtId="202" fontId="0" fillId="7" borderId="9" xfId="0" applyNumberFormat="1" applyFont="1" applyFill="1" applyBorder="1"/>
    <x:xf numFmtId="202" fontId="0" fillId="7" borderId="0" xfId="0" applyNumberFormat="1" applyFont="1" applyFill="1" applyBorder="1"/>
    <x:xf numFmtId="202" fontId="0" fillId="7" borderId="14" xfId="0" applyNumberFormat="1" applyFont="1" applyFill="1" applyBorder="1"/>
    <x:xf numFmtId="202" fontId="4" fillId="9" borderId="31" xfId="0" applyNumberFormat="1" applyFont="1" applyFill="1" applyBorder="1"/>
    <x:xf numFmtId="202" fontId="0" fillId="7" borderId="17" xfId="0" applyNumberFormat="1" applyFont="1" applyFill="1" applyBorder="1"/>
    <x:xf numFmtId="202" fontId="0" fillId="7" borderId="1" xfId="0" applyNumberFormat="1" applyFont="1" applyFill="1" applyBorder="1"/>
    <x:xf numFmtId="202" fontId="0" fillId="7" borderId="22" xfId="0" applyNumberFormat="1" applyFont="1" applyFill="1" applyBorder="1"/>
    <x:xf numFmtId="202" fontId="4" fillId="9" borderId="34" xfId="0" applyNumberFormat="1" applyFont="1" applyFill="1" applyBorder="1"/>
    <x:xf numFmtId="202" fontId="0" fillId="7" borderId="10" xfId="0" applyNumberFormat="1" applyFont="1" applyFill="1" applyBorder="1"/>
    <x:xf numFmtId="202" fontId="0" fillId="7" borderId="12" xfId="0" applyNumberFormat="1" applyFont="1" applyFill="1" applyBorder="1"/>
    <x:xf numFmtId="202" fontId="0" fillId="7" borderId="15" xfId="0" applyNumberFormat="1" applyFont="1" applyFill="1" applyBorder="1"/>
    <x:xf numFmtId="202" fontId="4" fillId="9" borderId="32" xfId="0" applyNumberFormat="1" applyFont="1" applyFill="1" applyBorder="1"/>
    <x:xf numFmtId="202" fontId="0" fillId="7" borderId="18" xfId="0" applyNumberFormat="1" applyFont="1" applyFill="1" applyBorder="1"/>
    <x:xf numFmtId="202" fontId="0" fillId="7" borderId="20" xfId="0" applyNumberFormat="1" applyFont="1" applyFill="1" applyBorder="1"/>
    <x:xf numFmtId="202" fontId="0" fillId="7" borderId="23" xfId="0" applyNumberFormat="1" applyFont="1" applyFill="1" applyBorder="1"/>
    <x:xf numFmtId="202" fontId="4" fillId="9" borderId="35" xfId="0" applyNumberFormat="1" applyFont="1" applyFill="1" applyBorder="1"/>
    <x:xf numFmtId="200" fontId="0" fillId="8" borderId="24" xfId="0" applyNumberFormat="1" applyFont="1" applyFill="1" applyBorder="1"/>
    <x:xf numFmtId="200" fontId="0" fillId="8" borderId="25" xfId="0" applyNumberFormat="1" applyFont="1" applyFill="1" applyBorder="1"/>
    <x:xf numFmtId="200" fontId="0" fillId="8" borderId="26" xfId="0" applyNumberFormat="1" applyFont="1" applyFill="1" applyBorder="1"/>
    <x:xf numFmtId="200" fontId="0" fillId="8" borderId="27" xfId="0" applyNumberFormat="1" applyFont="1" applyFill="1" applyBorder="1"/>
    <x:xf numFmtId="200" fontId="0" fillId="8" borderId="28" xfId="0" applyNumberFormat="1" applyFont="1" applyFill="1" applyBorder="1"/>
    <x:xf numFmtId="200" fontId="0" fillId="8" borderId="29" xfId="0" applyNumberFormat="1" applyFont="1" applyFill="1" applyBorder="1"/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36" xfId="0" applyNumberFormat="1" applyFont="1" applyFill="1" applyBorder="1"/>
    <x:xf numFmtId="0" fontId="6" fillId="10" borderId="37" xfId="0" applyNumberFormat="1" applyFont="1" applyFill="1" applyBorder="1"/>
    <x:xf numFmtId="0" fontId="6" fillId="10" borderId="38" xfId="0" applyNumberFormat="1" applyFont="1" applyFill="1" applyBorder="1"/>
    <x:xf numFmtId="0" fontId="0" fillId="10" borderId="1" xfId="0" applyNumberFormat="1" applyFont="1" applyFill="1" applyBorder="1"/>
    <x:xf numFmtId="0" fontId="6" fillId="10" borderId="1" xfId="0" applyNumberFormat="1" applyFont="1" applyFill="1" applyBorder="1"/>
    <x:xf numFmtId="0" fontId="6" fillId="10" borderId="39" xfId="0" applyNumberFormat="1" applyFont="1" applyFill="1" applyBorder="1"/>
    <x:xf numFmtId="0" fontId="6" fillId="10" borderId="40" xfId="0" applyNumberFormat="1" applyFont="1" applyFill="1" applyBorder="1"/>
    <x:xf numFmtId="0" fontId="6" fillId="10" borderId="41" xfId="0" applyNumberFormat="1" applyFont="1" applyFill="1" applyBorder="1"/>
    <x:xf numFmtId="201" fontId="6" fillId="10" borderId="37" xfId="0" applyNumberFormat="1" applyFont="1" applyFill="1" applyBorder="1"/>
    <x:xf numFmtId="201" fontId="6" fillId="10" borderId="40" xfId="0" applyNumberFormat="1" applyFont="1" applyFill="1" applyBorder="1"/>
    <x:xf numFmtId="202" fontId="6" fillId="10" borderId="38" xfId="0" applyNumberFormat="1" applyFont="1" applyFill="1" applyBorder="1"/>
    <x:xf numFmtId="202" fontId="6" fillId="10" borderId="41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 vertical="center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horizontal="center"/>
    </x:xf>
    <x:xf numFmtId="0" fontId="8" fillId="7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4ba3e611b4473a" /><Relationship Type="http://schemas.openxmlformats.org/officeDocument/2006/relationships/theme" Target="/xl/theme/theme1.xml" Id="R34e3ff4192984547" /><Relationship Type="http://schemas.openxmlformats.org/officeDocument/2006/relationships/sharedStrings" Target="/xl/sharedStrings.xml" Id="Ra1a1df79f4bb447f" /><Relationship Type="http://schemas.openxmlformats.org/officeDocument/2006/relationships/worksheet" Target="/xl/worksheets/sheet1.xml" Id="R8ef38ebea90246a4" /><Relationship Type="http://schemas.openxmlformats.org/officeDocument/2006/relationships/worksheet" Target="/xl/worksheets/sheet2.xml" Id="Rf1dbe210383d4eea" /><Relationship Type="http://schemas.openxmlformats.org/officeDocument/2006/relationships/worksheet" Target="/xl/worksheets/sheet3.xml" Id="R34138db0060742bc" /><Relationship Type="http://schemas.openxmlformats.org/officeDocument/2006/relationships/worksheet" Target="/xl/worksheets/sheet4.xml" Id="R9bc407709458411f" /><Relationship Type="http://schemas.openxmlformats.org/officeDocument/2006/relationships/worksheet" Target="/xl/worksheets/sheet5.xml" Id="Rd2458b7afc724160" /><Relationship Type="http://schemas.openxmlformats.org/officeDocument/2006/relationships/worksheet" Target="/xl/worksheets/sheet6.xml" Id="Re2e31cad25b841da" /></Relationships>
</file>

<file path=xl/tables/table1.xml><?xml version="1.0" encoding="utf-8"?>
<x:table xmlns:x="http://schemas.openxmlformats.org/spreadsheetml/2006/main" id="1" name="DivisionSourceTable" displayName="DivisionSourceTable" ref="A5:G53" headerRowCount="1" totalsRowCount="0" totalsRowShown="0">
  <x:tableColumns count="7">
    <x:tableColumn id="1" name="월"/>
    <x:tableColumn id="2" name="사업부"/>
    <x:tableColumn id="3" name="매출"/>
    <x:tableColumn id="4" name="변동비"/>
    <x:tableColumn id="5" name="고정비"/>
    <x:tableColumn id="6" name="예산"/>
    <x:tableColumn id="7" name="인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dd71e8b1fb4600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4" hidden="0" customWidth="1"/>
  </x:cols>
  <x:sheetData>
    <x:row r="1" ht="30" customHeight="1">
      <x:c r="A1" s="5" t="str">
        <x:v>다중사업부 통합 경영관리 정상 통제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여러 사업부의 월별 매출·비용·인원·예산을 통합한 정상 패턴 중심의 Holdout 통제 파일</x:v>
      </x:c>
      <x:c r="B2" s="12"/>
      <x:c r="C2" s="12"/>
      <x:c r="D2" s="12"/>
      <x:c r="E2" s="12"/>
      <x:c r="F2" s="12"/>
      <x:c r="G2" s="12"/>
      <x:c r="H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</x:row>
    <x:row r="5" ht="28" customHeight="1">
      <x:c r="A5" s="30" t="str">
        <x:v>구분</x:v>
      </x:c>
      <x:c r="B5" s="31" t="str">
        <x:v>내용</x:v>
      </x:c>
    </x:row>
    <x:row r="6">
      <x:c r="A6" s="45" t="str">
        <x:v>샘플 성격</x:v>
      </x:c>
      <x:c r="B6" s="51" t="str">
        <x:v>실제 회사·개인정보를 사용하지 않은 합성 업무 파일</x:v>
      </x:c>
    </x:row>
    <x:row r="7">
      <x:c r="A7" s="45" t="str">
        <x:v>검증 용도</x:v>
      </x:c>
      <x:c r="B7" s="51" t="str">
        <x:v>Holdout</x:v>
      </x:c>
    </x:row>
    <x:row r="8">
      <x:c r="A8" s="45" t="str">
        <x:v>핵심 검증</x:v>
      </x:c>
      <x:c r="B8" s="51" t="str">
        <x:v>정상 반복 수식, Excel Table, 소계·경영조정·합계, 서로 다른 정상 계산 블록에서 오탐이 없는지 확인</x:v>
      </x:c>
    </x:row>
    <x:row r="9">
      <x:c r="A9" s="45" t="str">
        <x:v>사용 방법</x:v>
      </x:c>
      <x:c r="B9" s="51" t="str">
        <x:v>기본 무료 진단 후 M4 수식 패턴 정밀검사를 선택 실행</x:v>
      </x:c>
    </x:row>
    <x:row r="10">
      <x:c r="A10" s="45" t="str">
        <x:v>주의</x:v>
      </x:c>
      <x:c r="B10" s="51" t="str">
        <x:v>Finding은 업무 오류 확정이 아니라 사람이 확인할 이상 후보입니다.</x:v>
      </x:c>
    </x:row>
    <x:row r="12" ht="28" customHeight="1">
      <x:c r="A12" s="30" t="str">
        <x:v>시트</x:v>
      </x:c>
      <x:c r="B12" s="31" t="str">
        <x:v>업무 역할</x:v>
      </x:c>
    </x:row>
    <x:row r="13">
      <x:c r="A13" s="55" t="str">
        <x:v>원천데이터</x:v>
      </x:c>
      <x:c r="B13" s="50" t="str">
        <x:v>사업부·월별 원천</x:v>
      </x:c>
    </x:row>
    <x:row r="14">
      <x:c r="A14" s="55" t="str">
        <x:v>사업부요약</x:v>
      </x:c>
      <x:c r="B14" s="50" t="str">
        <x:v>사업부별 수익성</x:v>
      </x:c>
    </x:row>
    <x:row r="15">
      <x:c r="A15" s="55" t="str">
        <x:v>월별추이</x:v>
      </x:c>
      <x:c r="B15" s="50" t="str">
        <x:v>월별 전사 실적</x:v>
      </x:c>
    </x:row>
    <x:row r="16">
      <x:c r="A16" s="55" t="str">
        <x:v>분기요약</x:v>
      </x:c>
      <x:c r="B16" s="50" t="str">
        <x:v>분기별 실적</x:v>
      </x:c>
    </x:row>
    <x:row r="17">
      <x:c r="A17" s="55" t="str">
        <x:v>대시보드</x:v>
      </x:c>
      <x:c r="B17" s="50" t="str">
        <x:v>핵심 KPI</x:v>
      </x:c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0" hidden="0" customWidth="1"/>
  </x:cols>
  <x:sheetData>
    <x:row r="1" ht="30" customHeight="1">
      <x:c r="A1" s="5" t="str">
        <x:v>사업부 원천데이터</x:v>
      </x:c>
      <x:c r="B1" s="5"/>
      <x:c r="C1" s="5"/>
      <x:c r="D1" s="5"/>
      <x:c r="E1" s="5"/>
      <x:c r="F1" s="5"/>
      <x:c r="G1" s="5"/>
    </x:row>
    <x:row r="2" ht="24" customHeight="1">
      <x:c r="A2" s="12" t="str">
        <x:v>합성 월별 매출·비용·예산·인원</x:v>
      </x:c>
      <x:c r="B2" s="12"/>
      <x:c r="C2" s="12"/>
      <x:c r="D2" s="12"/>
      <x:c r="E2" s="12"/>
      <x:c r="F2" s="12"/>
      <x:c r="G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  <x:c r="E3" s="18"/>
      <x:c r="F3" s="18"/>
      <x:c r="G3" s="18"/>
    </x:row>
    <x:row r="5" ht="28" customHeight="1">
      <x:c r="A5" s="30" t="str">
        <x:v>월</x:v>
      </x:c>
      <x:c r="B5" s="61" t="str">
        <x:v>사업부</x:v>
      </x:c>
      <x:c r="C5" s="61" t="str">
        <x:v>매출</x:v>
      </x:c>
      <x:c r="D5" s="61" t="str">
        <x:v>변동비</x:v>
      </x:c>
      <x:c r="E5" s="61" t="str">
        <x:v>고정비</x:v>
      </x:c>
      <x:c r="F5" s="61" t="str">
        <x:v>예산</x:v>
      </x:c>
      <x:c r="G5" s="31" t="str">
        <x:v>인원</x:v>
      </x:c>
    </x:row>
    <x:row r="6">
      <x:c r="A6" s="84" t="n">
        <x:v>46023</x:v>
      </x:c>
      <x:c r="B6" s="68" t="str">
        <x:v>소비재</x:v>
      </x:c>
      <x:c r="C6" s="90" t="n">
        <x:v>50380000</x:v>
      </x:c>
      <x:c r="D6" s="90" t="n">
        <x:v>23874991</x:v>
      </x:c>
      <x:c r="E6" s="90" t="n">
        <x:v>10720000</x:v>
      </x:c>
      <x:c r="F6" s="90" t="n">
        <x:v>54054724</x:v>
      </x:c>
      <x:c r="G6" s="69" t="n">
        <x:v>26</x:v>
      </x:c>
    </x:row>
    <x:row r="7">
      <x:c r="A7" s="85" t="n">
        <x:v>46023</x:v>
      </x:c>
      <x:c r="B7" s="66" t="str">
        <x:v>B2B</x:v>
      </x:c>
      <x:c r="C7" s="91" t="n">
        <x:v>44420000</x:v>
      </x:c>
      <x:c r="D7" s="91" t="n">
        <x:v>18821973</x:v>
      </x:c>
      <x:c r="E7" s="91" t="n">
        <x:v>10290000</x:v>
      </x:c>
      <x:c r="F7" s="91" t="n">
        <x:v>45334524</x:v>
      </x:c>
      <x:c r="G7" s="71" t="n">
        <x:v>34</x:v>
      </x:c>
    </x:row>
    <x:row r="8">
      <x:c r="A8" s="85" t="n">
        <x:v>46023</x:v>
      </x:c>
      <x:c r="B8" s="66" t="str">
        <x:v>디지털</x:v>
      </x:c>
      <x:c r="C8" s="91" t="n">
        <x:v>50290000</x:v>
      </x:c>
      <x:c r="D8" s="91" t="n">
        <x:v>18523519</x:v>
      </x:c>
      <x:c r="E8" s="91" t="n">
        <x:v>8450000</x:v>
      </x:c>
      <x:c r="F8" s="91" t="n">
        <x:v>53774650</x:v>
      </x:c>
      <x:c r="G8" s="71" t="n">
        <x:v>42</x:v>
      </x:c>
    </x:row>
    <x:row r="9">
      <x:c r="A9" s="85" t="n">
        <x:v>46023</x:v>
      </x:c>
      <x:c r="B9" s="66" t="str">
        <x:v>해외</x:v>
      </x:c>
      <x:c r="C9" s="91" t="n">
        <x:v>41780000</x:v>
      </x:c>
      <x:c r="D9" s="91" t="n">
        <x:v>20223465</x:v>
      </x:c>
      <x:c r="E9" s="91" t="n">
        <x:v>7520000</x:v>
      </x:c>
      <x:c r="F9" s="91" t="n">
        <x:v>42251847</x:v>
      </x:c>
      <x:c r="G9" s="71" t="n">
        <x:v>50</x:v>
      </x:c>
    </x:row>
    <x:row r="10">
      <x:c r="A10" s="85" t="n">
        <x:v>46054</x:v>
      </x:c>
      <x:c r="B10" s="66" t="str">
        <x:v>소비재</x:v>
      </x:c>
      <x:c r="C10" s="91" t="n">
        <x:v>29300000</x:v>
      </x:c>
      <x:c r="D10" s="91" t="n">
        <x:v>14390198</x:v>
      </x:c>
      <x:c r="E10" s="91" t="n">
        <x:v>7650000</x:v>
      </x:c>
      <x:c r="F10" s="91" t="n">
        <x:v>29705740</x:v>
      </x:c>
      <x:c r="G10" s="71" t="n">
        <x:v>27</x:v>
      </x:c>
    </x:row>
    <x:row r="11">
      <x:c r="A11" s="85" t="n">
        <x:v>46054</x:v>
      </x:c>
      <x:c r="B11" s="66" t="str">
        <x:v>B2B</x:v>
      </x:c>
      <x:c r="C11" s="91" t="n">
        <x:v>60750000</x:v>
      </x:c>
      <x:c r="D11" s="91" t="n">
        <x:v>28815064</x:v>
      </x:c>
      <x:c r="E11" s="91" t="n">
        <x:v>10860000</x:v>
      </x:c>
      <x:c r="F11" s="91" t="n">
        <x:v>64039413</x:v>
      </x:c>
      <x:c r="G11" s="71" t="n">
        <x:v>35</x:v>
      </x:c>
    </x:row>
    <x:row r="12">
      <x:c r="A12" s="85" t="n">
        <x:v>46054</x:v>
      </x:c>
      <x:c r="B12" s="66" t="str">
        <x:v>디지털</x:v>
      </x:c>
      <x:c r="C12" s="91" t="n">
        <x:v>43130000</x:v>
      </x:c>
      <x:c r="D12" s="91" t="n">
        <x:v>15521123</x:v>
      </x:c>
      <x:c r="E12" s="91" t="n">
        <x:v>9530000</x:v>
      </x:c>
      <x:c r="F12" s="91" t="n">
        <x:v>46157553</x:v>
      </x:c>
      <x:c r="G12" s="71" t="n">
        <x:v>43</x:v>
      </x:c>
    </x:row>
    <x:row r="13">
      <x:c r="A13" s="85" t="n">
        <x:v>46054</x:v>
      </x:c>
      <x:c r="B13" s="66" t="str">
        <x:v>해외</x:v>
      </x:c>
      <x:c r="C13" s="91" t="n">
        <x:v>33880000</x:v>
      </x:c>
      <x:c r="D13" s="91" t="n">
        <x:v>12681962</x:v>
      </x:c>
      <x:c r="E13" s="91" t="n">
        <x:v>11440000</x:v>
      </x:c>
      <x:c r="F13" s="91" t="n">
        <x:v>35236264</x:v>
      </x:c>
      <x:c r="G13" s="71" t="n">
        <x:v>51</x:v>
      </x:c>
    </x:row>
    <x:row r="14">
      <x:c r="A14" s="85" t="n">
        <x:v>46082</x:v>
      </x:c>
      <x:c r="B14" s="66" t="str">
        <x:v>소비재</x:v>
      </x:c>
      <x:c r="C14" s="91" t="n">
        <x:v>28830000</x:v>
      </x:c>
      <x:c r="D14" s="91" t="n">
        <x:v>15838577</x:v>
      </x:c>
      <x:c r="E14" s="91" t="n">
        <x:v>8690000</x:v>
      </x:c>
      <x:c r="F14" s="91" t="n">
        <x:v>30205213</x:v>
      </x:c>
      <x:c r="G14" s="71" t="n">
        <x:v>25</x:v>
      </x:c>
    </x:row>
    <x:row r="15">
      <x:c r="A15" s="85" t="n">
        <x:v>46082</x:v>
      </x:c>
      <x:c r="B15" s="66" t="str">
        <x:v>B2B</x:v>
      </x:c>
      <x:c r="C15" s="91" t="n">
        <x:v>31360000</x:v>
      </x:c>
      <x:c r="D15" s="91" t="n">
        <x:v>11140725</x:v>
      </x:c>
      <x:c r="E15" s="91" t="n">
        <x:v>11520000</x:v>
      </x:c>
      <x:c r="F15" s="91" t="n">
        <x:v>31016576</x:v>
      </x:c>
      <x:c r="G15" s="71" t="n">
        <x:v>33</x:v>
      </x:c>
    </x:row>
    <x:row r="16">
      <x:c r="A16" s="85" t="n">
        <x:v>46082</x:v>
      </x:c>
      <x:c r="B16" s="66" t="str">
        <x:v>디지털</x:v>
      </x:c>
      <x:c r="C16" s="91" t="n">
        <x:v>34720000</x:v>
      </x:c>
      <x:c r="D16" s="91" t="n">
        <x:v>14284899</x:v>
      </x:c>
      <x:c r="E16" s="91" t="n">
        <x:v>10700000</x:v>
      </x:c>
      <x:c r="F16" s="91" t="n">
        <x:v>34088492</x:v>
      </x:c>
      <x:c r="G16" s="71" t="n">
        <x:v>41</x:v>
      </x:c>
    </x:row>
    <x:row r="17">
      <x:c r="A17" s="85" t="n">
        <x:v>46082</x:v>
      </x:c>
      <x:c r="B17" s="66" t="str">
        <x:v>해외</x:v>
      </x:c>
      <x:c r="C17" s="91" t="n">
        <x:v>26670000</x:v>
      </x:c>
      <x:c r="D17" s="91" t="n">
        <x:v>12622308</x:v>
      </x:c>
      <x:c r="E17" s="91" t="n">
        <x:v>11340000</x:v>
      </x:c>
      <x:c r="F17" s="91" t="n">
        <x:v>27497670</x:v>
      </x:c>
      <x:c r="G17" s="71" t="n">
        <x:v>49</x:v>
      </x:c>
    </x:row>
    <x:row r="18">
      <x:c r="A18" s="85" t="n">
        <x:v>46113</x:v>
      </x:c>
      <x:c r="B18" s="66" t="str">
        <x:v>소비재</x:v>
      </x:c>
      <x:c r="C18" s="91" t="n">
        <x:v>34850000</x:v>
      </x:c>
      <x:c r="D18" s="91" t="n">
        <x:v>17312614</x:v>
      </x:c>
      <x:c r="E18" s="91" t="n">
        <x:v>11820000</x:v>
      </x:c>
      <x:c r="F18" s="91" t="n">
        <x:v>36855346</x:v>
      </x:c>
      <x:c r="G18" s="71" t="n">
        <x:v>26</x:v>
      </x:c>
    </x:row>
    <x:row r="19">
      <x:c r="A19" s="85" t="n">
        <x:v>46113</x:v>
      </x:c>
      <x:c r="B19" s="66" t="str">
        <x:v>B2B</x:v>
      </x:c>
      <x:c r="C19" s="91" t="n">
        <x:v>37050000</x:v>
      </x:c>
      <x:c r="D19" s="91" t="n">
        <x:v>19718683</x:v>
      </x:c>
      <x:c r="E19" s="91" t="n">
        <x:v>7310000</x:v>
      </x:c>
      <x:c r="F19" s="91" t="n">
        <x:v>38691610</x:v>
      </x:c>
      <x:c r="G19" s="71" t="n">
        <x:v>34</x:v>
      </x:c>
    </x:row>
    <x:row r="20">
      <x:c r="A20" s="85" t="n">
        <x:v>46113</x:v>
      </x:c>
      <x:c r="B20" s="66" t="str">
        <x:v>디지털</x:v>
      </x:c>
      <x:c r="C20" s="91" t="n">
        <x:v>42320000</x:v>
      </x:c>
      <x:c r="D20" s="91" t="n">
        <x:v>18082982</x:v>
      </x:c>
      <x:c r="E20" s="91" t="n">
        <x:v>8970000</x:v>
      </x:c>
      <x:c r="F20" s="91" t="n">
        <x:v>41095257</x:v>
      </x:c>
      <x:c r="G20" s="71" t="n">
        <x:v>42</x:v>
      </x:c>
    </x:row>
    <x:row r="21">
      <x:c r="A21" s="85" t="n">
        <x:v>46113</x:v>
      </x:c>
      <x:c r="B21" s="66" t="str">
        <x:v>해외</x:v>
      </x:c>
      <x:c r="C21" s="91" t="n">
        <x:v>43400000</x:v>
      </x:c>
      <x:c r="D21" s="91" t="n">
        <x:v>22524449</x:v>
      </x:c>
      <x:c r="E21" s="91" t="n">
        <x:v>7010000</x:v>
      </x:c>
      <x:c r="F21" s="91" t="n">
        <x:v>41731602</x:v>
      </x:c>
      <x:c r="G21" s="71" t="n">
        <x:v>50</x:v>
      </x:c>
    </x:row>
    <x:row r="22">
      <x:c r="A22" s="85" t="n">
        <x:v>46143</x:v>
      </x:c>
      <x:c r="B22" s="66" t="str">
        <x:v>소비재</x:v>
      </x:c>
      <x:c r="C22" s="91" t="n">
        <x:v>34620000</x:v>
      </x:c>
      <x:c r="D22" s="91" t="n">
        <x:v>16057542</x:v>
      </x:c>
      <x:c r="E22" s="91" t="n">
        <x:v>11670000</x:v>
      </x:c>
      <x:c r="F22" s="91" t="n">
        <x:v>37261868</x:v>
      </x:c>
      <x:c r="G22" s="71" t="n">
        <x:v>27</x:v>
      </x:c>
    </x:row>
    <x:row r="23">
      <x:c r="A23" s="85" t="n">
        <x:v>46143</x:v>
      </x:c>
      <x:c r="B23" s="66" t="str">
        <x:v>B2B</x:v>
      </x:c>
      <x:c r="C23" s="91" t="n">
        <x:v>57780000</x:v>
      </x:c>
      <x:c r="D23" s="91" t="n">
        <x:v>26010250</x:v>
      </x:c>
      <x:c r="E23" s="91" t="n">
        <x:v>6460000</x:v>
      </x:c>
      <x:c r="F23" s="91" t="n">
        <x:v>58653157</x:v>
      </x:c>
      <x:c r="G23" s="71" t="n">
        <x:v>35</x:v>
      </x:c>
    </x:row>
    <x:row r="24">
      <x:c r="A24" s="85" t="n">
        <x:v>46143</x:v>
      </x:c>
      <x:c r="B24" s="66" t="str">
        <x:v>디지털</x:v>
      </x:c>
      <x:c r="C24" s="91" t="n">
        <x:v>30690000</x:v>
      </x:c>
      <x:c r="D24" s="91" t="n">
        <x:v>11096784</x:v>
      </x:c>
      <x:c r="E24" s="91" t="n">
        <x:v>9610000</x:v>
      </x:c>
      <x:c r="F24" s="91" t="n">
        <x:v>30126174</x:v>
      </x:c>
      <x:c r="G24" s="71" t="n">
        <x:v>43</x:v>
      </x:c>
    </x:row>
    <x:row r="25">
      <x:c r="A25" s="85" t="n">
        <x:v>46143</x:v>
      </x:c>
      <x:c r="B25" s="66" t="str">
        <x:v>해외</x:v>
      </x:c>
      <x:c r="C25" s="91" t="n">
        <x:v>47930000</x:v>
      </x:c>
      <x:c r="D25" s="91" t="n">
        <x:v>26173150</x:v>
      </x:c>
      <x:c r="E25" s="91" t="n">
        <x:v>7060000</x:v>
      </x:c>
      <x:c r="F25" s="91" t="n">
        <x:v>48179506</x:v>
      </x:c>
      <x:c r="G25" s="71" t="n">
        <x:v>51</x:v>
      </x:c>
    </x:row>
    <x:row r="26">
      <x:c r="A26" s="85" t="n">
        <x:v>46174</x:v>
      </x:c>
      <x:c r="B26" s="66" t="str">
        <x:v>소비재</x:v>
      </x:c>
      <x:c r="C26" s="91" t="n">
        <x:v>57430000</x:v>
      </x:c>
      <x:c r="D26" s="91" t="n">
        <x:v>30098365</x:v>
      </x:c>
      <x:c r="E26" s="91" t="n">
        <x:v>11020000</x:v>
      </x:c>
      <x:c r="F26" s="91" t="n">
        <x:v>61007756</x:v>
      </x:c>
      <x:c r="G26" s="71" t="n">
        <x:v>25</x:v>
      </x:c>
    </x:row>
    <x:row r="27">
      <x:c r="A27" s="85" t="n">
        <x:v>46174</x:v>
      </x:c>
      <x:c r="B27" s="66" t="str">
        <x:v>B2B</x:v>
      </x:c>
      <x:c r="C27" s="91" t="n">
        <x:v>57890000</x:v>
      </x:c>
      <x:c r="D27" s="91" t="n">
        <x:v>24193046</x:v>
      </x:c>
      <x:c r="E27" s="91" t="n">
        <x:v>10520000</x:v>
      </x:c>
      <x:c r="F27" s="91" t="n">
        <x:v>55600164</x:v>
      </x:c>
      <x:c r="G27" s="71" t="n">
        <x:v>33</x:v>
      </x:c>
    </x:row>
    <x:row r="28">
      <x:c r="A28" s="85" t="n">
        <x:v>46174</x:v>
      </x:c>
      <x:c r="B28" s="66" t="str">
        <x:v>디지털</x:v>
      </x:c>
      <x:c r="C28" s="91" t="n">
        <x:v>37850000</x:v>
      </x:c>
      <x:c r="D28" s="91" t="n">
        <x:v>15881119</x:v>
      </x:c>
      <x:c r="E28" s="91" t="n">
        <x:v>11320000</x:v>
      </x:c>
      <x:c r="F28" s="91" t="n">
        <x:v>38305143</x:v>
      </x:c>
      <x:c r="G28" s="71" t="n">
        <x:v>41</x:v>
      </x:c>
    </x:row>
    <x:row r="29">
      <x:c r="A29" s="85" t="n">
        <x:v>46174</x:v>
      </x:c>
      <x:c r="B29" s="66" t="str">
        <x:v>해외</x:v>
      </x:c>
      <x:c r="C29" s="91" t="n">
        <x:v>60240000</x:v>
      </x:c>
      <x:c r="D29" s="91" t="n">
        <x:v>31058788</x:v>
      </x:c>
      <x:c r="E29" s="91" t="n">
        <x:v>11440000</x:v>
      </x:c>
      <x:c r="F29" s="91" t="n">
        <x:v>63152028</x:v>
      </x:c>
      <x:c r="G29" s="71" t="n">
        <x:v>49</x:v>
      </x:c>
    </x:row>
    <x:row r="30">
      <x:c r="A30" s="85" t="n">
        <x:v>46204</x:v>
      </x:c>
      <x:c r="B30" s="66" t="str">
        <x:v>소비재</x:v>
      </x:c>
      <x:c r="C30" s="91" t="n">
        <x:v>64040000</x:v>
      </x:c>
      <x:c r="D30" s="91" t="n">
        <x:v>27437963</x:v>
      </x:c>
      <x:c r="E30" s="91" t="n">
        <x:v>8590000</x:v>
      </x:c>
      <x:c r="F30" s="91" t="n">
        <x:v>66375117</x:v>
      </x:c>
      <x:c r="G30" s="71" t="n">
        <x:v>26</x:v>
      </x:c>
    </x:row>
    <x:row r="31">
      <x:c r="A31" s="85" t="n">
        <x:v>46204</x:v>
      </x:c>
      <x:c r="B31" s="66" t="str">
        <x:v>B2B</x:v>
      </x:c>
      <x:c r="C31" s="91" t="n">
        <x:v>51140000</x:v>
      </x:c>
      <x:c r="D31" s="91" t="n">
        <x:v>18584147</x:v>
      </x:c>
      <x:c r="E31" s="91" t="n">
        <x:v>7130000</x:v>
      </x:c>
      <x:c r="F31" s="91" t="n">
        <x:v>54157815</x:v>
      </x:c>
      <x:c r="G31" s="71" t="n">
        <x:v>34</x:v>
      </x:c>
    </x:row>
    <x:row r="32">
      <x:c r="A32" s="85" t="n">
        <x:v>46204</x:v>
      </x:c>
      <x:c r="B32" s="66" t="str">
        <x:v>디지털</x:v>
      </x:c>
      <x:c r="C32" s="91" t="n">
        <x:v>44610000</x:v>
      </x:c>
      <x:c r="D32" s="91" t="n">
        <x:v>23568815</x:v>
      </x:c>
      <x:c r="E32" s="91" t="n">
        <x:v>10040000</x:v>
      </x:c>
      <x:c r="F32" s="91" t="n">
        <x:v>45486287</x:v>
      </x:c>
      <x:c r="G32" s="71" t="n">
        <x:v>42</x:v>
      </x:c>
    </x:row>
    <x:row r="33">
      <x:c r="A33" s="85" t="n">
        <x:v>46204</x:v>
      </x:c>
      <x:c r="B33" s="66" t="str">
        <x:v>해외</x:v>
      </x:c>
      <x:c r="C33" s="91" t="n">
        <x:v>34280000</x:v>
      </x:c>
      <x:c r="D33" s="91" t="n">
        <x:v>16110252</x:v>
      </x:c>
      <x:c r="E33" s="91" t="n">
        <x:v>6270000</x:v>
      </x:c>
      <x:c r="F33" s="91" t="n">
        <x:v>34357384</x:v>
      </x:c>
      <x:c r="G33" s="71" t="n">
        <x:v>50</x:v>
      </x:c>
    </x:row>
    <x:row r="34">
      <x:c r="A34" s="85" t="n">
        <x:v>46235</x:v>
      </x:c>
      <x:c r="B34" s="66" t="str">
        <x:v>소비재</x:v>
      </x:c>
      <x:c r="C34" s="91" t="n">
        <x:v>52200000</x:v>
      </x:c>
      <x:c r="D34" s="91" t="n">
        <x:v>19565046</x:v>
      </x:c>
      <x:c r="E34" s="91" t="n">
        <x:v>11240000</x:v>
      </x:c>
      <x:c r="F34" s="91" t="n">
        <x:v>51834253</x:v>
      </x:c>
      <x:c r="G34" s="71" t="n">
        <x:v>27</x:v>
      </x:c>
    </x:row>
    <x:row r="35">
      <x:c r="A35" s="85" t="n">
        <x:v>46235</x:v>
      </x:c>
      <x:c r="B35" s="66" t="str">
        <x:v>B2B</x:v>
      </x:c>
      <x:c r="C35" s="91" t="n">
        <x:v>43260000</x:v>
      </x:c>
      <x:c r="D35" s="91" t="n">
        <x:v>18174499</x:v>
      </x:c>
      <x:c r="E35" s="91" t="n">
        <x:v>11430000</x:v>
      </x:c>
      <x:c r="F35" s="91" t="n">
        <x:v>41817184</x:v>
      </x:c>
      <x:c r="G35" s="71" t="n">
        <x:v>35</x:v>
      </x:c>
    </x:row>
    <x:row r="36">
      <x:c r="A36" s="85" t="n">
        <x:v>46235</x:v>
      </x:c>
      <x:c r="B36" s="66" t="str">
        <x:v>디지털</x:v>
      </x:c>
      <x:c r="C36" s="91" t="n">
        <x:v>54580000</x:v>
      </x:c>
      <x:c r="D36" s="91" t="n">
        <x:v>23598466</x:v>
      </x:c>
      <x:c r="E36" s="91" t="n">
        <x:v>6130000</x:v>
      </x:c>
      <x:c r="F36" s="91" t="n">
        <x:v>55393649</x:v>
      </x:c>
      <x:c r="G36" s="71" t="n">
        <x:v>43</x:v>
      </x:c>
    </x:row>
    <x:row r="37">
      <x:c r="A37" s="85" t="n">
        <x:v>46235</x:v>
      </x:c>
      <x:c r="B37" s="66" t="str">
        <x:v>해외</x:v>
      </x:c>
      <x:c r="C37" s="91" t="n">
        <x:v>63970000</x:v>
      </x:c>
      <x:c r="D37" s="91" t="n">
        <x:v>29235844</x:v>
      </x:c>
      <x:c r="E37" s="91" t="n">
        <x:v>6230000</x:v>
      </x:c>
      <x:c r="F37" s="91" t="n">
        <x:v>68624567</x:v>
      </x:c>
      <x:c r="G37" s="71" t="n">
        <x:v>51</x:v>
      </x:c>
    </x:row>
    <x:row r="38">
      <x:c r="A38" s="85" t="n">
        <x:v>46266</x:v>
      </x:c>
      <x:c r="B38" s="66" t="str">
        <x:v>소비재</x:v>
      </x:c>
      <x:c r="C38" s="91" t="n">
        <x:v>27760000</x:v>
      </x:c>
      <x:c r="D38" s="91" t="n">
        <x:v>10824692</x:v>
      </x:c>
      <x:c r="E38" s="91" t="n">
        <x:v>8860000</x:v>
      </x:c>
      <x:c r="F38" s="91" t="n">
        <x:v>28180668</x:v>
      </x:c>
      <x:c r="G38" s="71" t="n">
        <x:v>25</x:v>
      </x:c>
    </x:row>
    <x:row r="39">
      <x:c r="A39" s="85" t="n">
        <x:v>46266</x:v>
      </x:c>
      <x:c r="B39" s="66" t="str">
        <x:v>B2B</x:v>
      </x:c>
      <x:c r="C39" s="91" t="n">
        <x:v>43580000</x:v>
      </x:c>
      <x:c r="D39" s="91" t="n">
        <x:v>17464197</x:v>
      </x:c>
      <x:c r="E39" s="91" t="n">
        <x:v>7690000</x:v>
      </x:c>
      <x:c r="F39" s="91" t="n">
        <x:v>46238913</x:v>
      </x:c>
      <x:c r="G39" s="71" t="n">
        <x:v>33</x:v>
      </x:c>
    </x:row>
    <x:row r="40">
      <x:c r="A40" s="85" t="n">
        <x:v>46266</x:v>
      </x:c>
      <x:c r="B40" s="66" t="str">
        <x:v>디지털</x:v>
      </x:c>
      <x:c r="C40" s="91" t="n">
        <x:v>42380000</x:v>
      </x:c>
      <x:c r="D40" s="91" t="n">
        <x:v>16874563</x:v>
      </x:c>
      <x:c r="E40" s="91" t="n">
        <x:v>6030000</x:v>
      </x:c>
      <x:c r="F40" s="91" t="n">
        <x:v>42745280</x:v>
      </x:c>
      <x:c r="G40" s="71" t="n">
        <x:v>41</x:v>
      </x:c>
    </x:row>
    <x:row r="41">
      <x:c r="A41" s="85" t="n">
        <x:v>46266</x:v>
      </x:c>
      <x:c r="B41" s="66" t="str">
        <x:v>해외</x:v>
      </x:c>
      <x:c r="C41" s="91" t="n">
        <x:v>39280000</x:v>
      </x:c>
      <x:c r="D41" s="91" t="n">
        <x:v>14424262</x:v>
      </x:c>
      <x:c r="E41" s="91" t="n">
        <x:v>8490000</x:v>
      </x:c>
      <x:c r="F41" s="91" t="n">
        <x:v>40891527</x:v>
      </x:c>
      <x:c r="G41" s="71" t="n">
        <x:v>49</x:v>
      </x:c>
    </x:row>
    <x:row r="42">
      <x:c r="A42" s="85" t="n">
        <x:v>46296</x:v>
      </x:c>
      <x:c r="B42" s="66" t="str">
        <x:v>소비재</x:v>
      </x:c>
      <x:c r="C42" s="91" t="n">
        <x:v>42960000</x:v>
      </x:c>
      <x:c r="D42" s="91" t="n">
        <x:v>21559877</x:v>
      </x:c>
      <x:c r="E42" s="91" t="n">
        <x:v>11490000</x:v>
      </x:c>
      <x:c r="F42" s="91" t="n">
        <x:v>44159980</x:v>
      </x:c>
      <x:c r="G42" s="71" t="n">
        <x:v>26</x:v>
      </x:c>
    </x:row>
    <x:row r="43">
      <x:c r="A43" s="85" t="n">
        <x:v>46296</x:v>
      </x:c>
      <x:c r="B43" s="66" t="str">
        <x:v>B2B</x:v>
      </x:c>
      <x:c r="C43" s="91" t="n">
        <x:v>40680000</x:v>
      </x:c>
      <x:c r="D43" s="91" t="n">
        <x:v>15813761</x:v>
      </x:c>
      <x:c r="E43" s="91" t="n">
        <x:v>11720000</x:v>
      </x:c>
      <x:c r="F43" s="91" t="n">
        <x:v>41750654</x:v>
      </x:c>
      <x:c r="G43" s="71" t="n">
        <x:v>34</x:v>
      </x:c>
    </x:row>
    <x:row r="44">
      <x:c r="A44" s="85" t="n">
        <x:v>46296</x:v>
      </x:c>
      <x:c r="B44" s="66" t="str">
        <x:v>디지털</x:v>
      </x:c>
      <x:c r="C44" s="91" t="n">
        <x:v>44760000</x:v>
      </x:c>
      <x:c r="D44" s="91" t="n">
        <x:v>22785367</x:v>
      </x:c>
      <x:c r="E44" s="91" t="n">
        <x:v>8300000</x:v>
      </x:c>
      <x:c r="F44" s="91" t="n">
        <x:v>46408970</x:v>
      </x:c>
      <x:c r="G44" s="71" t="n">
        <x:v>42</x:v>
      </x:c>
    </x:row>
    <x:row r="45">
      <x:c r="A45" s="85" t="n">
        <x:v>46296</x:v>
      </x:c>
      <x:c r="B45" s="66" t="str">
        <x:v>해외</x:v>
      </x:c>
      <x:c r="C45" s="91" t="n">
        <x:v>39410000</x:v>
      </x:c>
      <x:c r="D45" s="91" t="n">
        <x:v>14294846</x:v>
      </x:c>
      <x:c r="E45" s="91" t="n">
        <x:v>10480000</x:v>
      </x:c>
      <x:c r="F45" s="91" t="n">
        <x:v>39458971</x:v>
      </x:c>
      <x:c r="G45" s="71" t="n">
        <x:v>50</x:v>
      </x:c>
    </x:row>
    <x:row r="46">
      <x:c r="A46" s="85" t="n">
        <x:v>46327</x:v>
      </x:c>
      <x:c r="B46" s="66" t="str">
        <x:v>소비재</x:v>
      </x:c>
      <x:c r="C46" s="91" t="n">
        <x:v>47260000</x:v>
      </x:c>
      <x:c r="D46" s="91" t="n">
        <x:v>24402775</x:v>
      </x:c>
      <x:c r="E46" s="91" t="n">
        <x:v>10110000</x:v>
      </x:c>
      <x:c r="F46" s="91" t="n">
        <x:v>46752503</x:v>
      </x:c>
      <x:c r="G46" s="71" t="n">
        <x:v>27</x:v>
      </x:c>
    </x:row>
    <x:row r="47">
      <x:c r="A47" s="85" t="n">
        <x:v>46327</x:v>
      </x:c>
      <x:c r="B47" s="66" t="str">
        <x:v>B2B</x:v>
      </x:c>
      <x:c r="C47" s="91" t="n">
        <x:v>27900000</x:v>
      </x:c>
      <x:c r="D47" s="91" t="n">
        <x:v>13819469</x:v>
      </x:c>
      <x:c r="E47" s="91" t="n">
        <x:v>11620000</x:v>
      </x:c>
      <x:c r="F47" s="91" t="n">
        <x:v>30001720</x:v>
      </x:c>
      <x:c r="G47" s="71" t="n">
        <x:v>35</x:v>
      </x:c>
    </x:row>
    <x:row r="48">
      <x:c r="A48" s="85" t="n">
        <x:v>46327</x:v>
      </x:c>
      <x:c r="B48" s="66" t="str">
        <x:v>디지털</x:v>
      </x:c>
      <x:c r="C48" s="91" t="n">
        <x:v>58030000</x:v>
      </x:c>
      <x:c r="D48" s="91" t="n">
        <x:v>25357295</x:v>
      </x:c>
      <x:c r="E48" s="91" t="n">
        <x:v>10540000</x:v>
      </x:c>
      <x:c r="F48" s="91" t="n">
        <x:v>57549045</x:v>
      </x:c>
      <x:c r="G48" s="71" t="n">
        <x:v>43</x:v>
      </x:c>
    </x:row>
    <x:row r="49">
      <x:c r="A49" s="85" t="n">
        <x:v>46327</x:v>
      </x:c>
      <x:c r="B49" s="66" t="str">
        <x:v>해외</x:v>
      </x:c>
      <x:c r="C49" s="91" t="n">
        <x:v>57910000</x:v>
      </x:c>
      <x:c r="D49" s="91" t="n">
        <x:v>27339539</x:v>
      </x:c>
      <x:c r="E49" s="91" t="n">
        <x:v>8220000</x:v>
      </x:c>
      <x:c r="F49" s="91" t="n">
        <x:v>56134233</x:v>
      </x:c>
      <x:c r="G49" s="71" t="n">
        <x:v>51</x:v>
      </x:c>
    </x:row>
    <x:row r="50">
      <x:c r="A50" s="85" t="n">
        <x:v>46357</x:v>
      </x:c>
      <x:c r="B50" s="66" t="str">
        <x:v>소비재</x:v>
      </x:c>
      <x:c r="C50" s="91" t="n">
        <x:v>42950000</x:v>
      </x:c>
      <x:c r="D50" s="91" t="n">
        <x:v>18856794</x:v>
      </x:c>
      <x:c r="E50" s="91" t="n">
        <x:v>10170000</x:v>
      </x:c>
      <x:c r="F50" s="91" t="n">
        <x:v>42579572</x:v>
      </x:c>
      <x:c r="G50" s="71" t="n">
        <x:v>25</x:v>
      </x:c>
    </x:row>
    <x:row r="51">
      <x:c r="A51" s="85" t="n">
        <x:v>46357</x:v>
      </x:c>
      <x:c r="B51" s="66" t="str">
        <x:v>B2B</x:v>
      </x:c>
      <x:c r="C51" s="91" t="n">
        <x:v>56690000</x:v>
      </x:c>
      <x:c r="D51" s="91" t="n">
        <x:v>25216411</x:v>
      </x:c>
      <x:c r="E51" s="91" t="n">
        <x:v>10670000</x:v>
      </x:c>
      <x:c r="F51" s="91" t="n">
        <x:v>59709984</x:v>
      </x:c>
      <x:c r="G51" s="71" t="n">
        <x:v>33</x:v>
      </x:c>
    </x:row>
    <x:row r="52">
      <x:c r="A52" s="85" t="n">
        <x:v>46357</x:v>
      </x:c>
      <x:c r="B52" s="66" t="str">
        <x:v>디지털</x:v>
      </x:c>
      <x:c r="C52" s="91" t="n">
        <x:v>47670000</x:v>
      </x:c>
      <x:c r="D52" s="91" t="n">
        <x:v>18722460</x:v>
      </x:c>
      <x:c r="E52" s="91" t="n">
        <x:v>9290000</x:v>
      </x:c>
      <x:c r="F52" s="91" t="n">
        <x:v>49331381</x:v>
      </x:c>
      <x:c r="G52" s="71" t="n">
        <x:v>41</x:v>
      </x:c>
    </x:row>
    <x:row r="53">
      <x:c r="A53" s="86" t="n">
        <x:v>46357</x:v>
      </x:c>
      <x:c r="B53" s="73" t="str">
        <x:v>해외</x:v>
      </x:c>
      <x:c r="C53" s="92" t="n">
        <x:v>45830000</x:v>
      </x:c>
      <x:c r="D53" s="92" t="n">
        <x:v>21094439</x:v>
      </x:c>
      <x:c r="E53" s="92" t="n">
        <x:v>10860000</x:v>
      </x:c>
      <x:c r="F53" s="92" t="n">
        <x:v>45785317</x:v>
      </x:c>
      <x:c r="G53" s="74" t="n">
        <x:v>49</x:v>
      </x:c>
    </x:row>
  </x:sheetData>
  <x:mergeCells>
    <x:mergeCell ref="A1:G1"/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e1dd71e8b1fb460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1" hidden="0" customWidth="1"/>
    <x:col min="7" max="7" width="16" hidden="0" customWidth="1"/>
    <x:col min="8" max="8" width="11" hidden="0" customWidth="1"/>
  </x:cols>
  <x:sheetData>
    <x:row r="1" ht="30" customHeight="1">
      <x:c r="A1" s="5" t="str">
        <x:v>사업부별 수익성 요약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정상 반복 수식과 전사 합계</x:v>
      </x:c>
      <x:c r="B2" s="12"/>
      <x:c r="C2" s="12"/>
      <x:c r="D2" s="12"/>
      <x:c r="E2" s="12"/>
      <x:c r="F2" s="12"/>
      <x:c r="G2" s="12"/>
      <x:c r="H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</x:row>
    <x:row r="5" ht="28" customHeight="1">
      <x:c r="A5" s="30" t="str">
        <x:v>사업부</x:v>
      </x:c>
      <x:c r="B5" s="61" t="str">
        <x:v>매출</x:v>
      </x:c>
      <x:c r="C5" s="61" t="str">
        <x:v>변동비</x:v>
      </x:c>
      <x:c r="D5" s="61" t="str">
        <x:v>고정비</x:v>
      </x:c>
      <x:c r="E5" s="61" t="str">
        <x:v>영업이익</x:v>
      </x:c>
      <x:c r="F5" s="61" t="str">
        <x:v>이익률</x:v>
      </x:c>
      <x:c r="G5" s="61" t="str">
        <x:v>예산</x:v>
      </x:c>
      <x:c r="H5" s="31" t="str">
        <x:v>달성률</x:v>
      </x:c>
    </x:row>
    <x:row r="6">
      <x:c r="A6" s="96" t="str">
        <x:v>소비재</x:v>
      </x:c>
      <x:c r="B6" s="128" t="n">
        <x:f>SUMIF('원천데이터'!$B$6:$B$53,A6,'원천데이터'!$C$6:$C$53)</x:f>
        <x:v>512580000</x:v>
      </x:c>
      <x:c r="C6" s="129" t="n">
        <x:f>SUMIF('원천데이터'!$B$6:$B$53,A6,'원천데이터'!$D$6:$D$53)</x:f>
        <x:v>240219434</x:v>
      </x:c>
      <x:c r="D6" s="129" t="n">
        <x:f>SUMIF('원천데이터'!$B$6:$B$53,A6,'원천데이터'!$E$6:$E$53)</x:f>
        <x:v>122030000</x:v>
      </x:c>
      <x:c r="E6" s="129" t="n">
        <x:f>B6-C6-D6</x:f>
        <x:v>150330566</x:v>
      </x:c>
      <x:c r="F6" s="142" t="n">
        <x:f>IFERROR(E6/B6,0)</x:f>
        <x:v>0.29328215302977095</x:v>
      </x:c>
      <x:c r="G6" s="129" t="n">
        <x:f>SUMIF('원천데이터'!$B$6:$B$53,A6,'원천데이터'!$F$6:$F$53)</x:f>
        <x:v>528972740</x:v>
      </x:c>
      <x:c r="H6" s="150" t="n">
        <x:f>IFERROR(B6/G6,0)</x:f>
        <x:v>0.9690102367089843</x:v>
      </x:c>
    </x:row>
    <x:row r="7">
      <x:c r="A7" s="97" t="str">
        <x:v>B2B</x:v>
      </x:c>
      <x:c r="B7" s="130" t="n">
        <x:f>SUMIF('원천데이터'!$B$6:$B$53,A7,'원천데이터'!$C$6:$C$53)</x:f>
        <x:v>552500000</x:v>
      </x:c>
      <x:c r="C7" s="131" t="n">
        <x:f>SUMIF('원천데이터'!$B$6:$B$53,A7,'원천데이터'!$D$6:$D$53)</x:f>
        <x:v>237772225</x:v>
      </x:c>
      <x:c r="D7" s="131" t="n">
        <x:f>SUMIF('원천데이터'!$B$6:$B$53,A7,'원천데이터'!$E$6:$E$53)</x:f>
        <x:v>117220000</x:v>
      </x:c>
      <x:c r="E7" s="131" t="n">
        <x:f>B7-C7-D7</x:f>
        <x:v>197507775</x:v>
      </x:c>
      <x:c r="F7" s="143" t="n">
        <x:f>IFERROR(E7/B7,0)</x:f>
        <x:v>0.3574801357466063</x:v>
      </x:c>
      <x:c r="G7" s="131" t="n">
        <x:f>SUMIF('원천데이터'!$B$6:$B$53,A7,'원천데이터'!$F$6:$F$53)</x:f>
        <x:v>567011714</x:v>
      </x:c>
      <x:c r="H7" s="151" t="n">
        <x:f>IFERROR(B7/G7,0)</x:f>
        <x:v>0.974406676896273</x:v>
      </x:c>
    </x:row>
    <x:row r="8">
      <x:c r="A8" s="97" t="str">
        <x:v>디지털</x:v>
      </x:c>
      <x:c r="B8" s="130" t="n">
        <x:f>SUMIF('원천데이터'!$B$6:$B$53,A8,'원천데이터'!$C$6:$C$53)</x:f>
        <x:v>531030000</x:v>
      </x:c>
      <x:c r="C8" s="131" t="n">
        <x:f>SUMIF('원천데이터'!$B$6:$B$53,A8,'원천데이터'!$D$6:$D$53)</x:f>
        <x:v>224297392</x:v>
      </x:c>
      <x:c r="D8" s="131" t="n">
        <x:f>SUMIF('원천데이터'!$B$6:$B$53,A8,'원천데이터'!$E$6:$E$53)</x:f>
        <x:v>108910000</x:v>
      </x:c>
      <x:c r="E8" s="131" t="n">
        <x:f>B8-C8-D8</x:f>
        <x:v>197822608</x:v>
      </x:c>
      <x:c r="F8" s="143" t="n">
        <x:f>IFERROR(E8/B8,0)</x:f>
        <x:v>0.37252623768901943</x:v>
      </x:c>
      <x:c r="G8" s="131" t="n">
        <x:f>SUMIF('원천데이터'!$B$6:$B$53,A8,'원천데이터'!$F$6:$F$53)</x:f>
        <x:v>540461881</x:v>
      </x:c>
      <x:c r="H8" s="151" t="n">
        <x:f>IFERROR(B8/G8,0)</x:f>
        <x:v>0.9825484806022795</x:v>
      </x:c>
    </x:row>
    <x:row r="9">
      <x:c r="A9" s="98" t="str">
        <x:v>해외</x:v>
      </x:c>
      <x:c r="B9" s="132" t="n">
        <x:f>SUMIF('원천데이터'!$B$6:$B$53,A9,'원천데이터'!$C$6:$C$53)</x:f>
        <x:v>534580000</x:v>
      </x:c>
      <x:c r="C9" s="133" t="n">
        <x:f>SUMIF('원천데이터'!$B$6:$B$53,A9,'원천데이터'!$D$6:$D$53)</x:f>
        <x:v>247783304</x:v>
      </x:c>
      <x:c r="D9" s="133" t="n">
        <x:f>SUMIF('원천데이터'!$B$6:$B$53,A9,'원천데이터'!$E$6:$E$53)</x:f>
        <x:v>106360000</x:v>
      </x:c>
      <x:c r="E9" s="133" t="n">
        <x:f>B9-C9-D9</x:f>
        <x:v>180436696</x:v>
      </x:c>
      <x:c r="F9" s="144" t="n">
        <x:f>IFERROR(E9/B9,0)</x:f>
        <x:v>0.3375298290246549</x:v>
      </x:c>
      <x:c r="G9" s="133" t="n">
        <x:f>SUMIF('원천데이터'!$B$6:$B$53,A9,'원천데이터'!$F$6:$F$53)</x:f>
        <x:v>543300916</x:v>
      </x:c>
      <x:c r="H9" s="152" t="n">
        <x:f>IFERROR(B9/G9,0)</x:f>
        <x:v>0.9839482766489575</x:v>
      </x:c>
    </x:row>
    <x:row r="10">
      <x:c r="A10" s="120" t="str">
        <x:v>전사 합계</x:v>
      </x:c>
      <x:c r="B10" s="134" t="n">
        <x:f>SUM(B6:B9)</x:f>
        <x:v>2130690000</x:v>
      </x:c>
      <x:c r="C10" s="134" t="n">
        <x:f>SUM(C6:C9)</x:f>
        <x:v>950072355</x:v>
      </x:c>
      <x:c r="D10" s="134" t="n">
        <x:f>SUM(D6:D9)</x:f>
        <x:v>454520000</x:v>
      </x:c>
      <x:c r="E10" s="134" t="n">
        <x:f>B10-C10-D10</x:f>
        <x:v>726097645</x:v>
      </x:c>
      <x:c r="F10" s="145" t="n">
        <x:f>IFERROR(E10/B10,0)</x:f>
        <x:v>0.34078051945613863</x:v>
      </x:c>
      <x:c r="G10" s="134" t="n">
        <x:f>SUM(G6:G9)</x:f>
        <x:v>2179747251</x:v>
      </x:c>
      <x:c r="H10" s="153" t="n">
        <x:f>IFERROR(B10/G10,0)</x:f>
        <x:v>0.9774940645171158</x:v>
      </x:c>
    </x:row>
  </x:sheetData>
  <x:mergeCells>
    <x:mergeCell ref="A1:H1"/>
    <x:mergeCell ref="A2:H2"/>
    <x:mergeCell ref="A3:H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1" hidden="0" customWidth="1"/>
  </x:cols>
  <x:sheetData>
    <x:row r="1" ht="30" customHeight="1">
      <x:c r="A1" s="5" t="str">
        <x:v>월별 전사 추이</x:v>
      </x:c>
      <x:c r="B1" s="5"/>
      <x:c r="C1" s="5"/>
      <x:c r="D1" s="5"/>
      <x:c r="E1" s="5"/>
      <x:c r="F1" s="5"/>
    </x:row>
    <x:row r="2" ht="24" customHeight="1">
      <x:c r="A2" s="12" t="str">
        <x:v>12개월 정상 반복 수식과 조정·합계</x:v>
      </x:c>
      <x:c r="B2" s="12"/>
      <x:c r="C2" s="12"/>
      <x:c r="D2" s="12"/>
      <x:c r="E2" s="12"/>
      <x:c r="F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  <x:c r="E3" s="18"/>
      <x:c r="F3" s="18"/>
    </x:row>
    <x:row r="5" ht="28" customHeight="1">
      <x:c r="A5" s="30" t="str">
        <x:v>월</x:v>
      </x:c>
      <x:c r="B5" s="61" t="str">
        <x:v>매출</x:v>
      </x:c>
      <x:c r="C5" s="61" t="str">
        <x:v>총비용</x:v>
      </x:c>
      <x:c r="D5" s="61" t="str">
        <x:v>영업이익</x:v>
      </x:c>
      <x:c r="E5" s="61" t="str">
        <x:v>예산</x:v>
      </x:c>
      <x:c r="F5" s="31" t="str">
        <x:v>달성률</x:v>
      </x:c>
    </x:row>
    <x:row r="6">
      <x:c r="A6" s="158" t="n">
        <x:v>46023</x:v>
      </x:c>
      <x:c r="B6" s="128" t="n">
        <x:f>SUMIFS('원천데이터'!$C$6:$C$53,'원천데이터'!$A$6:$A$53,A6)</x:f>
        <x:v>186870000</x:v>
      </x:c>
      <x:c r="C6" s="129" t="n">
        <x:f>SUMIFS('원천데이터'!$D$6:$D$53,'원천데이터'!$A$6:$A$53,A6)+SUMIFS('원천데이터'!$E$6:$E$53,'원천데이터'!$A$6:$A$53,A6)</x:f>
        <x:v>118423948</x:v>
      </x:c>
      <x:c r="D6" s="129" t="n">
        <x:f>B6-C6</x:f>
        <x:v>68446052</x:v>
      </x:c>
      <x:c r="E6" s="129" t="n">
        <x:f>SUMIFS('원천데이터'!$F$6:$F$53,'원천데이터'!$A$6:$A$53,A6)</x:f>
        <x:v>195415745</x:v>
      </x:c>
      <x:c r="F6" s="150" t="n">
        <x:f>IFERROR(B6/E6,0)</x:f>
        <x:v>0.9562689024878727</x:v>
      </x:c>
    </x:row>
    <x:row r="7">
      <x:c r="A7" s="159" t="n">
        <x:v>46054</x:v>
      </x:c>
      <x:c r="B7" s="130" t="n">
        <x:f>SUMIFS('원천데이터'!$C$6:$C$53,'원천데이터'!$A$6:$A$53,A7)</x:f>
        <x:v>167060000</x:v>
      </x:c>
      <x:c r="C7" s="131" t="n">
        <x:f>SUMIFS('원천데이터'!$D$6:$D$53,'원천데이터'!$A$6:$A$53,A7)+SUMIFS('원천데이터'!$E$6:$E$53,'원천데이터'!$A$6:$A$53,A7)</x:f>
        <x:v>110888347</x:v>
      </x:c>
      <x:c r="D7" s="131" t="n">
        <x:f>B7-C7</x:f>
        <x:v>56171653</x:v>
      </x:c>
      <x:c r="E7" s="131" t="n">
        <x:f>SUMIFS('원천데이터'!$F$6:$F$53,'원천데이터'!$A$6:$A$53,A7)</x:f>
        <x:v>175138970</x:v>
      </x:c>
      <x:c r="F7" s="151" t="n">
        <x:f>IFERROR(B7/E7,0)</x:f>
        <x:v>0.9538710887702492</x:v>
      </x:c>
    </x:row>
    <x:row r="8">
      <x:c r="A8" s="159" t="n">
        <x:v>46082</x:v>
      </x:c>
      <x:c r="B8" s="130" t="n">
        <x:f>SUMIFS('원천데이터'!$C$6:$C$53,'원천데이터'!$A$6:$A$53,A8)</x:f>
        <x:v>121580000</x:v>
      </x:c>
      <x:c r="C8" s="131" t="n">
        <x:f>SUMIFS('원천데이터'!$D$6:$D$53,'원천데이터'!$A$6:$A$53,A8)+SUMIFS('원천데이터'!$E$6:$E$53,'원천데이터'!$A$6:$A$53,A8)</x:f>
        <x:v>96136509</x:v>
      </x:c>
      <x:c r="D8" s="131" t="n">
        <x:f>B8-C8</x:f>
        <x:v>25443491</x:v>
      </x:c>
      <x:c r="E8" s="131" t="n">
        <x:f>SUMIFS('원천데이터'!$F$6:$F$53,'원천데이터'!$A$6:$A$53,A8)</x:f>
        <x:v>122807951</x:v>
      </x:c>
      <x:c r="F8" s="151" t="n">
        <x:f>IFERROR(B8/E8,0)</x:f>
        <x:v>0.9900010464306175</x:v>
      </x:c>
    </x:row>
    <x:row r="9">
      <x:c r="A9" s="159" t="n">
        <x:v>46113</x:v>
      </x:c>
      <x:c r="B9" s="130" t="n">
        <x:f>SUMIFS('원천데이터'!$C$6:$C$53,'원천데이터'!$A$6:$A$53,A9)</x:f>
        <x:v>157620000</x:v>
      </x:c>
      <x:c r="C9" s="131" t="n">
        <x:f>SUMIFS('원천데이터'!$D$6:$D$53,'원천데이터'!$A$6:$A$53,A9)+SUMIFS('원천데이터'!$E$6:$E$53,'원천데이터'!$A$6:$A$53,A9)</x:f>
        <x:v>112748728</x:v>
      </x:c>
      <x:c r="D9" s="131" t="n">
        <x:f>B9-C9</x:f>
        <x:v>44871272</x:v>
      </x:c>
      <x:c r="E9" s="131" t="n">
        <x:f>SUMIFS('원천데이터'!$F$6:$F$53,'원천데이터'!$A$6:$A$53,A9)</x:f>
        <x:v>158373815</x:v>
      </x:c>
      <x:c r="F9" s="151" t="n">
        <x:f>IFERROR(B9/E9,0)</x:f>
        <x:v>0.9952402800930191</x:v>
      </x:c>
    </x:row>
    <x:row r="10">
      <x:c r="A10" s="159" t="n">
        <x:v>46143</x:v>
      </x:c>
      <x:c r="B10" s="130" t="n">
        <x:f>SUMIFS('원천데이터'!$C$6:$C$53,'원천데이터'!$A$6:$A$53,A10)</x:f>
        <x:v>171020000</x:v>
      </x:c>
      <x:c r="C10" s="131" t="n">
        <x:f>SUMIFS('원천데이터'!$D$6:$D$53,'원천데이터'!$A$6:$A$53,A10)+SUMIFS('원천데이터'!$E$6:$E$53,'원천데이터'!$A$6:$A$53,A10)</x:f>
        <x:v>114137726</x:v>
      </x:c>
      <x:c r="D10" s="131" t="n">
        <x:f>B10-C10</x:f>
        <x:v>56882274</x:v>
      </x:c>
      <x:c r="E10" s="131" t="n">
        <x:f>SUMIFS('원천데이터'!$F$6:$F$53,'원천데이터'!$A$6:$A$53,A10)</x:f>
        <x:v>174220705</x:v>
      </x:c>
      <x:c r="F10" s="151" t="n">
        <x:f>IFERROR(B10/E10,0)</x:f>
        <x:v>0.9816284465155849</x:v>
      </x:c>
    </x:row>
    <x:row r="11">
      <x:c r="A11" s="159" t="n">
        <x:v>46174</x:v>
      </x:c>
      <x:c r="B11" s="130" t="n">
        <x:f>SUMIFS('원천데이터'!$C$6:$C$53,'원천데이터'!$A$6:$A$53,A11)</x:f>
        <x:v>213410000</x:v>
      </x:c>
      <x:c r="C11" s="131" t="n">
        <x:f>SUMIFS('원천데이터'!$D$6:$D$53,'원천데이터'!$A$6:$A$53,A11)+SUMIFS('원천데이터'!$E$6:$E$53,'원천데이터'!$A$6:$A$53,A11)</x:f>
        <x:v>145531318</x:v>
      </x:c>
      <x:c r="D11" s="131" t="n">
        <x:f>B11-C11</x:f>
        <x:v>67878682</x:v>
      </x:c>
      <x:c r="E11" s="131" t="n">
        <x:f>SUMIFS('원천데이터'!$F$6:$F$53,'원천데이터'!$A$6:$A$53,A11)</x:f>
        <x:v>218065091</x:v>
      </x:c>
      <x:c r="F11" s="151" t="n">
        <x:f>IFERROR(B11/E11,0)</x:f>
        <x:v>0.9786527454777253</x:v>
      </x:c>
    </x:row>
    <x:row r="12">
      <x:c r="A12" s="159" t="n">
        <x:v>46204</x:v>
      </x:c>
      <x:c r="B12" s="130" t="n">
        <x:f>SUMIFS('원천데이터'!$C$6:$C$53,'원천데이터'!$A$6:$A$53,A12)</x:f>
        <x:v>194070000</x:v>
      </x:c>
      <x:c r="C12" s="131" t="n">
        <x:f>SUMIFS('원천데이터'!$D$6:$D$53,'원천데이터'!$A$6:$A$53,A12)+SUMIFS('원천데이터'!$E$6:$E$53,'원천데이터'!$A$6:$A$53,A12)</x:f>
        <x:v>117731177</x:v>
      </x:c>
      <x:c r="D12" s="131" t="n">
        <x:f>B12-C12</x:f>
        <x:v>76338823</x:v>
      </x:c>
      <x:c r="E12" s="131" t="n">
        <x:f>SUMIFS('원천데이터'!$F$6:$F$53,'원천데이터'!$A$6:$A$53,A12)</x:f>
        <x:v>200376603</x:v>
      </x:c>
      <x:c r="F12" s="151" t="n">
        <x:f>IFERROR(B12/E12,0)</x:f>
        <x:v>0.968526250542335</x:v>
      </x:c>
    </x:row>
    <x:row r="13">
      <x:c r="A13" s="159" t="n">
        <x:v>46235</x:v>
      </x:c>
      <x:c r="B13" s="130" t="n">
        <x:f>SUMIFS('원천데이터'!$C$6:$C$53,'원천데이터'!$A$6:$A$53,A13)</x:f>
        <x:v>214010000</x:v>
      </x:c>
      <x:c r="C13" s="131" t="n">
        <x:f>SUMIFS('원천데이터'!$D$6:$D$53,'원천데이터'!$A$6:$A$53,A13)+SUMIFS('원천데이터'!$E$6:$E$53,'원천데이터'!$A$6:$A$53,A13)</x:f>
        <x:v>125603855</x:v>
      </x:c>
      <x:c r="D13" s="131" t="n">
        <x:f>B13-C13</x:f>
        <x:v>88406145</x:v>
      </x:c>
      <x:c r="E13" s="131" t="n">
        <x:f>SUMIFS('원천데이터'!$F$6:$F$53,'원천데이터'!$A$6:$A$53,A13)</x:f>
        <x:v>217669653</x:v>
      </x:c>
      <x:c r="F13" s="151" t="n">
        <x:f>IFERROR(B13/E13,0)</x:f>
        <x:v>0.9831871234709967</x:v>
      </x:c>
    </x:row>
    <x:row r="14">
      <x:c r="A14" s="159" t="n">
        <x:v>46266</x:v>
      </x:c>
      <x:c r="B14" s="130" t="n">
        <x:f>SUMIFS('원천데이터'!$C$6:$C$53,'원천데이터'!$A$6:$A$53,A14)</x:f>
        <x:v>153000000</x:v>
      </x:c>
      <x:c r="C14" s="131" t="n">
        <x:f>SUMIFS('원천데이터'!$D$6:$D$53,'원천데이터'!$A$6:$A$53,A14)+SUMIFS('원천데이터'!$E$6:$E$53,'원천데이터'!$A$6:$A$53,A14)</x:f>
        <x:v>90657714</x:v>
      </x:c>
      <x:c r="D14" s="131" t="n">
        <x:f>B14-C14</x:f>
        <x:v>62342286</x:v>
      </x:c>
      <x:c r="E14" s="131" t="n">
        <x:f>SUMIFS('원천데이터'!$F$6:$F$53,'원천데이터'!$A$6:$A$53,A14)</x:f>
        <x:v>158056388</x:v>
      </x:c>
      <x:c r="F14" s="151" t="n">
        <x:f>IFERROR(B14/E14,0)</x:f>
        <x:v>0.9680089614600076</x:v>
      </x:c>
    </x:row>
    <x:row r="15">
      <x:c r="A15" s="159" t="n">
        <x:v>46296</x:v>
      </x:c>
      <x:c r="B15" s="130" t="n">
        <x:f>SUMIFS('원천데이터'!$C$6:$C$53,'원천데이터'!$A$6:$A$53,A15)</x:f>
        <x:v>167810000</x:v>
      </x:c>
      <x:c r="C15" s="131" t="n">
        <x:f>SUMIFS('원천데이터'!$D$6:$D$53,'원천데이터'!$A$6:$A$53,A15)+SUMIFS('원천데이터'!$E$6:$E$53,'원천데이터'!$A$6:$A$53,A15)</x:f>
        <x:v>116443851</x:v>
      </x:c>
      <x:c r="D15" s="131" t="n">
        <x:f>B15-C15</x:f>
        <x:v>51366149</x:v>
      </x:c>
      <x:c r="E15" s="131" t="n">
        <x:f>SUMIFS('원천데이터'!$F$6:$F$53,'원천데이터'!$A$6:$A$53,A15)</x:f>
        <x:v>171778575</x:v>
      </x:c>
      <x:c r="F15" s="151" t="n">
        <x:f>IFERROR(B15/E15,0)</x:f>
        <x:v>0.9768971479708689</x:v>
      </x:c>
    </x:row>
    <x:row r="16">
      <x:c r="A16" s="159" t="n">
        <x:v>46327</x:v>
      </x:c>
      <x:c r="B16" s="130" t="n">
        <x:f>SUMIFS('원천데이터'!$C$6:$C$53,'원천데이터'!$A$6:$A$53,A16)</x:f>
        <x:v>191100000</x:v>
      </x:c>
      <x:c r="C16" s="131" t="n">
        <x:f>SUMIFS('원천데이터'!$D$6:$D$53,'원천데이터'!$A$6:$A$53,A16)+SUMIFS('원천데이터'!$E$6:$E$53,'원천데이터'!$A$6:$A$53,A16)</x:f>
        <x:v>131409078</x:v>
      </x:c>
      <x:c r="D16" s="131" t="n">
        <x:f>B16-C16</x:f>
        <x:v>59690922</x:v>
      </x:c>
      <x:c r="E16" s="131" t="n">
        <x:f>SUMIFS('원천데이터'!$F$6:$F$53,'원천데이터'!$A$6:$A$53,A16)</x:f>
        <x:v>190437501</x:v>
      </x:c>
      <x:c r="F16" s="151" t="n">
        <x:f>IFERROR(B16/E16,0)</x:f>
        <x:v>1.0034788263683423</x:v>
      </x:c>
    </x:row>
    <x:row r="17">
      <x:c r="A17" s="160" t="n">
        <x:v>46357</x:v>
      </x:c>
      <x:c r="B17" s="132" t="n">
        <x:f>SUMIFS('원천데이터'!$C$6:$C$53,'원천데이터'!$A$6:$A$53,A17)</x:f>
        <x:v>193140000</x:v>
      </x:c>
      <x:c r="C17" s="133" t="n">
        <x:f>SUMIFS('원천데이터'!$D$6:$D$53,'원천데이터'!$A$6:$A$53,A17)+SUMIFS('원천데이터'!$E$6:$E$53,'원천데이터'!$A$6:$A$53,A17)</x:f>
        <x:v>124880104</x:v>
      </x:c>
      <x:c r="D17" s="133" t="n">
        <x:f>B17-C17</x:f>
        <x:v>68259896</x:v>
      </x:c>
      <x:c r="E17" s="133" t="n">
        <x:f>SUMIFS('원천데이터'!$F$6:$F$53,'원천데이터'!$A$6:$A$53,A17)</x:f>
        <x:v>197406254</x:v>
      </x:c>
      <x:c r="F17" s="152" t="n">
        <x:f>IFERROR(B17/E17,0)</x:f>
        <x:v>0.9783884557173148</x:v>
      </x:c>
    </x:row>
    <x:row r="18">
      <x:c r="A18" s="120" t="str">
        <x:v>소계</x:v>
      </x:c>
      <x:c r="B18" s="134" t="n">
        <x:f>SUM(B6:B17)</x:f>
        <x:v>2130690000</x:v>
      </x:c>
      <x:c r="C18" s="134" t="n">
        <x:f>SUM(C6:C17)</x:f>
        <x:v>1404592355</x:v>
      </x:c>
      <x:c r="D18" s="134" t="n">
        <x:f>B18-C18</x:f>
        <x:v>726097645</x:v>
      </x:c>
      <x:c r="E18" s="134" t="n">
        <x:f>SUM(E6:E17)</x:f>
        <x:v>2179747251</x:v>
      </x:c>
      <x:c r="F18" s="153" t="n">
        <x:f>IFERROR(B18/E18,0)</x:f>
        <x:v>0.9774940645171158</x:v>
      </x:c>
    </x:row>
    <x:row r="19">
      <x:c r="A19" s="166" t="str">
        <x:v>경영조정</x:v>
      </x:c>
      <x:c r="B19" s="174" t="n">
        <x:v>0</x:v>
      </x:c>
      <x:c r="C19" s="174" t="n">
        <x:v>0</x:v>
      </x:c>
      <x:c r="D19" s="174" t="n">
        <x:v>-2000000</x:v>
      </x:c>
      <x:c r="E19" s="174" t="n">
        <x:v>0</x:v>
      </x:c>
      <x:c r="F19" s="176" t="n">
        <x:v>0</x:v>
      </x:c>
    </x:row>
    <x:row r="20">
      <x:c r="A20" s="120" t="str">
        <x:v>합계</x:v>
      </x:c>
      <x:c r="B20" s="134" t="n">
        <x:f>B18+B19</x:f>
        <x:v>2130690000</x:v>
      </x:c>
      <x:c r="C20" s="134" t="n">
        <x:f>C18+C19</x:f>
        <x:v>1404592355</x:v>
      </x:c>
      <x:c r="D20" s="134" t="n">
        <x:f>D18+D19</x:f>
        <x:v>724097645</x:v>
      </x:c>
      <x:c r="E20" s="134" t="n">
        <x:f>E18+E19</x:f>
        <x:v>2179747251</x:v>
      </x:c>
      <x:c r="F20" s="153" t="n">
        <x:f>IFERROR(B20/E20,0)</x:f>
        <x:v>0.9774940645171158</x:v>
      </x:c>
    </x:row>
  </x:sheetData>
  <x:mergeCells>
    <x:mergeCell ref="A1:F1"/>
    <x:mergeCell ref="A2:F2"/>
    <x:mergeCell ref="A3:F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1" hidden="0" customWidth="1"/>
  </x:cols>
  <x:sheetData>
    <x:row r="1" ht="30" customHeight="1">
      <x:c r="A1" s="5" t="str">
        <x:v>분기별 요약</x:v>
      </x:c>
      <x:c r="B1" s="5"/>
      <x:c r="C1" s="5"/>
      <x:c r="D1" s="5"/>
      <x:c r="E1" s="5"/>
    </x:row>
    <x:row r="2" ht="24" customHeight="1">
      <x:c r="A2" s="12" t="str">
        <x:v>월별추이를 분기별로 집계하는 정상 계산 블록</x:v>
      </x:c>
      <x:c r="B2" s="12"/>
      <x:c r="C2" s="12"/>
      <x:c r="D2" s="12"/>
      <x:c r="E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  <x:c r="E3" s="18"/>
    </x:row>
    <x:row r="5" ht="28" customHeight="1">
      <x:c r="A5" s="30" t="str">
        <x:v>분기</x:v>
      </x:c>
      <x:c r="B5" s="61" t="str">
        <x:v>매출</x:v>
      </x:c>
      <x:c r="C5" s="61" t="str">
        <x:v>총비용</x:v>
      </x:c>
      <x:c r="D5" s="61" t="str">
        <x:v>영업이익</x:v>
      </x:c>
      <x:c r="E5" s="31" t="str">
        <x:v>달성률</x:v>
      </x:c>
    </x:row>
    <x:row r="6">
      <x:c r="A6" s="96" t="str">
        <x:v>1분기</x:v>
      </x:c>
      <x:c r="B6" s="128" t="n">
        <x:f>SUM('월별추이'!B6:B8)</x:f>
        <x:v>475510000</x:v>
      </x:c>
      <x:c r="C6" s="129" t="n">
        <x:f>SUM('월별추이'!C6:C8)</x:f>
        <x:v>325448804</x:v>
      </x:c>
      <x:c r="D6" s="129" t="n">
        <x:f>B6-C6</x:f>
        <x:v>150061196</x:v>
      </x:c>
      <x:c r="E6" s="150" t="n">
        <x:f>IFERROR(B6/SUM('월별추이'!E6:E8),0)</x:f>
        <x:v>0.9638143150458814</x:v>
      </x:c>
    </x:row>
    <x:row r="7">
      <x:c r="A7" s="97" t="str">
        <x:v>2분기</x:v>
      </x:c>
      <x:c r="B7" s="130" t="n">
        <x:f>SUM('월별추이'!B9:B11)</x:f>
        <x:v>542050000</x:v>
      </x:c>
      <x:c r="C7" s="131" t="n">
        <x:f>SUM('월별추이'!C9:C11)</x:f>
        <x:v>372417772</x:v>
      </x:c>
      <x:c r="D7" s="131" t="n">
        <x:f>B7-C7</x:f>
        <x:v>169632228</x:v>
      </x:c>
      <x:c r="E7" s="151" t="n">
        <x:f>IFERROR(B7/SUM('월별추이'!E9:E11),0)</x:f>
        <x:v>0.9843649128644737</x:v>
      </x:c>
    </x:row>
    <x:row r="8">
      <x:c r="A8" s="97" t="str">
        <x:v>3분기</x:v>
      </x:c>
      <x:c r="B8" s="130" t="n">
        <x:f>SUM('월별추이'!B12:B14)</x:f>
        <x:v>561080000</x:v>
      </x:c>
      <x:c r="C8" s="131" t="n">
        <x:f>SUM('월별추이'!C12:C14)</x:f>
        <x:v>333992746</x:v>
      </x:c>
      <x:c r="D8" s="131" t="n">
        <x:f>B8-C8</x:f>
        <x:v>227087254</x:v>
      </x:c>
      <x:c r="E8" s="151" t="n">
        <x:f>IFERROR(B8/SUM('월별추이'!E12:E14),0)</x:f>
        <x:v>0.9739236676719714</x:v>
      </x:c>
    </x:row>
    <x:row r="9">
      <x:c r="A9" s="98" t="str">
        <x:v>4분기</x:v>
      </x:c>
      <x:c r="B9" s="132" t="n">
        <x:f>SUM('월별추이'!B15:B17)</x:f>
        <x:v>552050000</x:v>
      </x:c>
      <x:c r="C9" s="133" t="n">
        <x:f>SUM('월별추이'!C15:C17)</x:f>
        <x:v>372733033</x:v>
      </x:c>
      <x:c r="D9" s="133" t="n">
        <x:f>B9-C9</x:f>
        <x:v>179316967</x:v>
      </x:c>
      <x:c r="E9" s="152" t="n">
        <x:f>IFERROR(B9/SUM('월별추이'!E15:E17),0)</x:f>
        <x:v>0.9864688565947681</x:v>
      </x:c>
    </x:row>
  </x:sheetData>
  <x:mergeCells>
    <x:mergeCell ref="A1:E1"/>
    <x:mergeCell ref="A2:E2"/>
    <x:mergeCell ref="A3:E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2" hidden="0" customWidth="1"/>
    <x:col min="5" max="5" width="4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5" t="str">
        <x:v>통합 경영 대시보드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2" t="str">
        <x:v>Holdout 정상 통제의 핵심 지표</x:v>
      </x:c>
      <x:c r="B2" s="12"/>
      <x:c r="C2" s="12"/>
      <x:c r="D2" s="12"/>
      <x:c r="E2" s="12"/>
      <x:c r="F2" s="12"/>
      <x:c r="G2" s="12"/>
      <x:c r="H2" s="12"/>
    </x:row>
    <x:row r="3">
      <x:c r="A3" s="18" t="str">
        <x:v>M4-C 추가 교정용 합성 데이터입니다. 노란색은 입력, 파란색은 계산 영역입니다.</x:v>
      </x:c>
      <x:c r="B3" s="18"/>
      <x:c r="C3" s="18"/>
      <x:c r="D3" s="18"/>
      <x:c r="E3" s="18"/>
      <x:c r="F3" s="18"/>
      <x:c r="G3" s="18"/>
      <x:c r="H3" s="18"/>
    </x:row>
    <x:row r="5">
      <x:c r="A5" s="179" t="str">
        <x:v>전사매출</x:v>
      </x:c>
      <x:c r="B5" s="179"/>
      <x:c r="C5" s="179" t="str">
        <x:v>영업이익</x:v>
      </x:c>
      <x:c r="D5" s="179"/>
      <x:c r="E5" s="179" t="str">
        <x:v>이익률</x:v>
      </x:c>
      <x:c r="F5" s="179"/>
      <x:c r="G5" s="179" t="str">
        <x:v>예산달성률</x:v>
      </x:c>
      <x:c r="H5" s="179"/>
    </x:row>
    <x:row r="6">
      <x:c r="A6" s="184" t="n">
        <x:f>'사업부요약'!B10</x:f>
        <x:v>2130690000</x:v>
      </x:c>
      <x:c r="B6" s="184"/>
      <x:c r="C6" s="184" t="n">
        <x:f>'사업부요약'!E10</x:f>
        <x:v>726097645</x:v>
      </x:c>
      <x:c r="D6" s="184"/>
      <x:c r="E6" s="184" t="n">
        <x:f>'사업부요약'!F10</x:f>
        <x:v>0.34078051945613863</x:v>
      </x:c>
      <x:c r="F6" s="184"/>
      <x:c r="G6" s="184" t="n">
        <x:f>'사업부요약'!H10</x:f>
        <x:v>0.9774940645171158</x:v>
      </x:c>
      <x:c r="H6" s="184"/>
    </x:row>
    <x:row r="7">
      <x:c r="A7" s="184"/>
      <x:c r="B7" s="184"/>
      <x:c r="C7" s="184"/>
      <x:c r="D7" s="184"/>
      <x:c r="E7" s="184"/>
      <x:c r="F7" s="184"/>
      <x:c r="G7" s="184"/>
      <x:c r="H7" s="184"/>
    </x:row>
    <x:row r="10" ht="28" customHeight="1">
      <x:c r="A10" s="30" t="str">
        <x:v>사업부</x:v>
      </x:c>
      <x:c r="B10" s="61" t="str">
        <x:v>매출</x:v>
      </x:c>
      <x:c r="C10" s="61" t="str">
        <x:v>영업이익</x:v>
      </x:c>
      <x:c r="D10" s="31" t="str">
        <x:v>달성률</x:v>
      </x:c>
    </x:row>
    <x:row r="11">
      <x:c r="A11" s="102" t="str">
        <x:f>'사업부요약'!A6</x:f>
        <x:v>소비재</x:v>
      </x:c>
      <x:c r="B11" s="129" t="n">
        <x:f>'사업부요약'!B6</x:f>
        <x:v>512580000</x:v>
      </x:c>
      <x:c r="C11" s="129" t="n">
        <x:f>'사업부요약'!E6</x:f>
        <x:v>150330566</x:v>
      </x:c>
      <x:c r="D11" s="150" t="n">
        <x:f>'사업부요약'!H6</x:f>
        <x:v>0.9690102367089843</x:v>
      </x:c>
    </x:row>
    <x:row r="12">
      <x:c r="A12" s="105" t="str">
        <x:f>'사업부요약'!A7</x:f>
        <x:v>B2B</x:v>
      </x:c>
      <x:c r="B12" s="131" t="n">
        <x:f>'사업부요약'!B7</x:f>
        <x:v>552500000</x:v>
      </x:c>
      <x:c r="C12" s="131" t="n">
        <x:f>'사업부요약'!E7</x:f>
        <x:v>197507775</x:v>
      </x:c>
      <x:c r="D12" s="151" t="n">
        <x:f>'사업부요약'!H7</x:f>
        <x:v>0.974406676896273</x:v>
      </x:c>
    </x:row>
    <x:row r="13">
      <x:c r="A13" s="105" t="str">
        <x:f>'사업부요약'!A8</x:f>
        <x:v>디지털</x:v>
      </x:c>
      <x:c r="B13" s="131" t="n">
        <x:f>'사업부요약'!B8</x:f>
        <x:v>531030000</x:v>
      </x:c>
      <x:c r="C13" s="131" t="n">
        <x:f>'사업부요약'!E8</x:f>
        <x:v>197822608</x:v>
      </x:c>
      <x:c r="D13" s="151" t="n">
        <x:f>'사업부요약'!H8</x:f>
        <x:v>0.9825484806022795</x:v>
      </x:c>
    </x:row>
    <x:row r="14">
      <x:c r="A14" s="107" t="str">
        <x:f>'사업부요약'!A9</x:f>
        <x:v>해외</x:v>
      </x:c>
      <x:c r="B14" s="133" t="n">
        <x:f>'사업부요약'!B9</x:f>
        <x:v>534580000</x:v>
      </x:c>
      <x:c r="C14" s="133" t="n">
        <x:f>'사업부요약'!E9</x:f>
        <x:v>180436696</x:v>
      </x:c>
      <x:c r="D14" s="152" t="n">
        <x:f>'사업부요약'!H9</x:f>
        <x:v>0.9839482766489575</x:v>
      </x:c>
    </x:row>
  </x:sheetData>
  <x:mergeCells>
    <x:mergeCell ref="A1:H1"/>
    <x:mergeCell ref="A2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</x:mergeCells>
  <x:pageMargins left="0.7" right="0.7" top="0.75" bottom="0.75" header="0.3" footer="0.3"/>
</x:worksheet>
</file>