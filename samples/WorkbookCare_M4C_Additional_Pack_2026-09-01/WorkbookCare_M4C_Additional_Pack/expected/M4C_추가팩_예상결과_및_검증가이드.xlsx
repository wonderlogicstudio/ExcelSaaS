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262128cdd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95da509d30744889"/>
    <x:sheet xmlns:r="http://schemas.openxmlformats.org/officeDocument/2006/relationships" name="01_예상탐지" sheetId="2" r:id="Rc0c103fb4bd142d3"/>
    <x:sheet xmlns:r="http://schemas.openxmlformats.org/officeDocument/2006/relationships" name="02_정상예외" sheetId="3" r:id="R3215b80caa8b4592"/>
    <x:sheet xmlns:r="http://schemas.openxmlformats.org/officeDocument/2006/relationships" name="03_시나리오" sheetId="4" r:id="R783375a297874cf4"/>
    <x:sheet xmlns:r="http://schemas.openxmlformats.org/officeDocument/2006/relationships" name="04_검증절차" sheetId="5" r:id="R8db8627ae6cd4283"/>
    <x:sheet xmlns:r="http://schemas.openxmlformats.org/officeDocument/2006/relationships" name="05_성과지표" sheetId="6" r:id="R67c7cac80c2f4b10"/>
    <x:sheet xmlns:r="http://schemas.openxmlformats.org/officeDocument/2006/relationships" name="06_Holdout" sheetId="7" r:id="R1b706dae6c844fa8"/>
    <x:sheet xmlns:r="http://schemas.openxmlformats.org/officeDocument/2006/relationships" name="07_수동판정로그" sheetId="8" r:id="R8961a19e63f2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1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33" xfId="0" applyNumberFormat="1" applyFont="1" applyFill="1" applyBorder="1"/>
    <x:xf numFmtId="0" fontId="4" fillId="7" borderId="34" xfId="0" applyNumberFormat="1" applyFont="1" applyFill="1" applyBorder="1"/>
    <x:xf numFmtId="0" fontId="4" fillId="7" borderId="35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36" xfId="0" applyNumberFormat="1" applyFont="1" applyFill="1" applyBorder="1"/>
    <x:xf numFmtId="0" fontId="6" fillId="9" borderId="37" xfId="0" applyNumberFormat="1" applyFont="1" applyFill="1" applyBorder="1"/>
    <x:xf numFmtId="0" fontId="6" fillId="9" borderId="38" xfId="0" applyNumberFormat="1" applyFont="1" applyFill="1" applyBorder="1"/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39" xfId="0" applyNumberFormat="1" applyFont="1" applyFill="1" applyBorder="1"/>
    <x:xf numFmtId="0" fontId="6" fillId="9" borderId="40" xfId="0" applyNumberFormat="1" applyFont="1" applyFill="1" applyBorder="1"/>
    <x:xf numFmtId="0" fontId="6" fillId="9" borderId="41" xfId="0" applyNumberFormat="1" applyFont="1" applyFill="1" applyBorder="1"/>
    <x:xf numFmtId="0" fontId="0" fillId="10" borderId="0" xfId="0" applyNumberFormat="1" applyFont="1" applyFill="1" applyBorder="1"/>
    <x:xf numFmtId="0" fontId="0" fillId="10" borderId="24" xfId="0" applyNumberFormat="1" applyFont="1" applyFill="1" applyBorder="1"/>
    <x:xf numFmtId="0" fontId="0" fillId="10" borderId="25" xfId="0" applyNumberFormat="1" applyFont="1" applyFill="1" applyBorder="1"/>
    <x:xf numFmtId="0" fontId="0" fillId="10" borderId="26" xfId="0" applyNumberFormat="1" applyFont="1" applyFill="1" applyBorder="1"/>
    <x:xf numFmtId="0" fontId="0" fillId="10" borderId="1" xfId="0" applyNumberFormat="1" applyFont="1" applyFill="1" applyBorder="1"/>
    <x:xf numFmtId="0" fontId="0" fillId="10" borderId="27" xfId="0" applyNumberFormat="1" applyFont="1" applyFill="1" applyBorder="1"/>
    <x:xf numFmtId="0" fontId="0" fillId="10" borderId="28" xfId="0" applyNumberFormat="1" applyFont="1" applyFill="1" applyBorder="1"/>
    <x:xf numFmtId="0" fontId="0" fillId="10" borderId="29" xfId="0" applyNumberFormat="1" applyFont="1" applyFill="1" applyBorder="1"/>
    <x:xf numFmtId="200" fontId="0" fillId="10" borderId="25" xfId="0" applyNumberFormat="1" applyFont="1" applyFill="1" applyBorder="1"/>
    <x:xf numFmtId="200" fontId="0" fillId="10" borderId="26" xfId="0" applyNumberFormat="1" applyFont="1" applyFill="1" applyBorder="1"/>
    <x:xf numFmtId="200" fontId="0" fillId="10" borderId="28" xfId="0" applyNumberFormat="1" applyFont="1" applyFill="1" applyBorder="1"/>
    <x:xf numFmtId="200" fontId="0" fillId="10" borderId="29" xfId="0" applyNumberFormat="1" applyFont="1" applyFill="1" applyBorder="1"/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/>
    <x:xf numFmtId="201" fontId="0" fillId="6" borderId="0" xfId="0" applyNumberFormat="1" applyFont="1" applyFill="1" applyBorder="1"/>
    <x:xf numFmtId="201" fontId="0" fillId="6" borderId="14" xfId="0" applyNumberFormat="1" applyFont="1" applyFill="1" applyBorder="1"/>
  </x:cellXfs>
  <x:cellStyles count="1">
    <x:cellStyle name="Normal" xfId="0"/>
  </x:cellStyles>
  <x:dxfs count="8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38262414f475f" /><Relationship Type="http://schemas.openxmlformats.org/officeDocument/2006/relationships/theme" Target="/xl/theme/theme1.xml" Id="R9e4c47c834fa426a" /><Relationship Type="http://schemas.openxmlformats.org/officeDocument/2006/relationships/sharedStrings" Target="/xl/sharedStrings.xml" Id="Rc5e72a454cef440e" /><Relationship Type="http://schemas.openxmlformats.org/officeDocument/2006/relationships/worksheet" Target="/xl/worksheets/sheet1.xml" Id="R95da509d30744889" /><Relationship Type="http://schemas.openxmlformats.org/officeDocument/2006/relationships/worksheet" Target="/xl/worksheets/sheet2.xml" Id="Rc0c103fb4bd142d3" /><Relationship Type="http://schemas.openxmlformats.org/officeDocument/2006/relationships/worksheet" Target="/xl/worksheets/sheet3.xml" Id="R3215b80caa8b4592" /><Relationship Type="http://schemas.openxmlformats.org/officeDocument/2006/relationships/worksheet" Target="/xl/worksheets/sheet4.xml" Id="R783375a297874cf4" /><Relationship Type="http://schemas.openxmlformats.org/officeDocument/2006/relationships/worksheet" Target="/xl/worksheets/sheet5.xml" Id="R8db8627ae6cd4283" /><Relationship Type="http://schemas.openxmlformats.org/officeDocument/2006/relationships/worksheet" Target="/xl/worksheets/sheet6.xml" Id="R67c7cac80c2f4b10" /><Relationship Type="http://schemas.openxmlformats.org/officeDocument/2006/relationships/worksheet" Target="/xl/worksheets/sheet7.xml" Id="R1b706dae6c844fa8" /><Relationship Type="http://schemas.openxmlformats.org/officeDocument/2006/relationships/worksheet" Target="/xl/worksheets/sheet8.xml" Id="R8961a19e63f2474d" /></Relationships>
</file>

<file path=xl/tables/table1.xml><?xml version="1.0" encoding="utf-8"?>
<x:table xmlns:x="http://schemas.openxmlformats.org/spreadsheetml/2006/main" id="1" name="AdditionalExpectedFindings" displayName="AdditionalExpectedFindings" ref="A5:S41" headerRowCount="1" totalsRowCount="0" totalsRowShown="0">
  <x:tableColumns count="19">
    <x:tableColumn id="1" name="ID"/>
    <x:tableColumn id="2" name="샘플 파일"/>
    <x:tableColumn id="3" name="용도"/>
    <x:tableColumn id="4" name="시나리오"/>
    <x:tableColumn id="5" name="Sheet"/>
    <x:tableColumn id="6" name="Cell"/>
    <x:tableColumn id="7" name="예상 상위 Rule"/>
    <x:tableColumn id="8" name="예상 Subtype"/>
    <x:tableColumn id="9" name="중요도"/>
    <x:tableColumn id="10" name="의도적 이상"/>
    <x:tableColumn id="11" name="업무 영향"/>
    <x:tableColumn id="12" name="수동 확인 방법"/>
    <x:tableColumn id="13" name="실제 탐지"/>
    <x:tableColumn id="14" name="실제 Rule"/>
    <x:tableColumn id="15" name="Rule 일치"/>
    <x:tableColumn id="16" name="실제 Subtype"/>
    <x:tableColumn id="17" name="Subtype 일치"/>
    <x:tableColumn id="18" name="전문가 판정"/>
    <x:tableColumn id="19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itionalNormalExceptions" displayName="AdditionalNormalExceptions" ref="A5:L41" headerRowCount="1" totalsRowCount="0" totalsRowShown="0">
  <x:tableColumns count="12">
    <x:tableColumn id="1" name="ID"/>
    <x:tableColumn id="2" name="샘플 파일"/>
    <x:tableColumn id="3" name="용도"/>
    <x:tableColumn id="4" name="시나리오"/>
    <x:tableColumn id="5" name="Sheet"/>
    <x:tableColumn id="6" name="Cell/Range"/>
    <x:tableColumn id="7" name="예외 유형"/>
    <x:tableColumn id="8" name="정상 사유"/>
    <x:tableColumn id="9" name="실제 탐지"/>
    <x:tableColumn id="10" name="오탐 여부"/>
    <x:tableColumn id="11" name="전문가 판정"/>
    <x:tableColumn id="12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itionalManualReviewLog" displayName="AdditionalManualReviewLog" ref="A5:L105" headerRowCount="1" totalsRowCount="0" totalsRowShown="0">
  <x:tableColumns count="12">
    <x:tableColumn id="1" name="검토ID"/>
    <x:tableColumn id="2" name="파일"/>
    <x:tableColumn id="3" name="검사일"/>
    <x:tableColumn id="4" name="Scanner 버전"/>
    <x:tableColumn id="5" name="Rule Set"/>
    <x:tableColumn id="6" name="Finding Key"/>
    <x:tableColumn id="7" name="Rule Code"/>
    <x:tableColumn id="8" name="Sheet"/>
    <x:tableColumn id="9" name="Cell/Range"/>
    <x:tableColumn id="10" name="전문가 판정"/>
    <x:tableColumn id="11" name="판정 근거"/>
    <x:tableColumn id="12" name="후속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41042906d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0ddd3711724a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79d3c7f38f2848a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2" hidden="0" customWidth="1"/>
    <x:col min="4" max="4" width="28" hidden="0" customWidth="1"/>
    <x:col min="5" max="5" width="18" hidden="0" customWidth="1"/>
    <x:col min="6" max="6" width="12" hidden="0" customWidth="1"/>
    <x:col min="7" max="7" width="12" hidden="0" customWidth="1"/>
    <x:col min="8" max="8" width="52" hidden="0" customWidth="1"/>
    <x:col min="9" max="9" width="16" hidden="0" customWidth="1"/>
  </x:cols>
  <x:sheetData>
    <x:row r="1" ht="30" customHeight="1">
      <x:c r="A1" s="5" t="str">
        <x:v>WorkbookCare M4-C 추가팩 검증 가이드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신규 실무 시나리오 10개, 예상 탐지 36건, 정상 예외 36건을 관리합니다.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</x:row>
    <x:row r="5" ht="28" customHeight="1">
      <x:c r="A5" s="33" t="str">
        <x:v>No.</x:v>
      </x:c>
      <x:c r="B5" s="34" t="str">
        <x:v>샘플 파일</x:v>
      </x:c>
      <x:c r="C5" s="34" t="str">
        <x:v>용도</x:v>
      </x:c>
      <x:c r="D5" s="34" t="str">
        <x:v>업무 시나리오</x:v>
      </x:c>
      <x:c r="E5" s="34" t="str">
        <x:v>업무 영역</x:v>
      </x:c>
      <x:c r="F5" s="34" t="str">
        <x:v>예상 탐지</x:v>
      </x:c>
      <x:c r="G5" s="34" t="str">
        <x:v>정상 예외</x:v>
      </x:c>
      <x:c r="H5" s="34" t="str">
        <x:v>핵심 검증 목적</x:v>
      </x:c>
      <x:c r="I5" s="35" t="str">
        <x:v>검증 상태</x:v>
      </x:c>
    </x:row>
    <x:row r="6">
      <x:c r="A6" s="68" t="n">
        <x:v>1</x:v>
      </x:c>
      <x:c r="B6" s="69" t="str">
        <x:v>11_구매발주_관리.xlsx</x:v>
      </x:c>
      <x:c r="C6" s="69" t="str">
        <x:v>Calibration</x:v>
      </x:c>
      <x:c r="D6" s="69" t="str">
        <x:v>구매·발주 및 미입고 관리</x:v>
      </x:c>
      <x:c r="E6" s="69" t="str">
        <x:v>구매/발주</x:v>
      </x:c>
      <x:c r="F6" s="69" t="n">
        <x:v>4</x:v>
      </x:c>
      <x:c r="G6" s="69" t="n">
        <x:v>3</x:v>
      </x:c>
      <x:c r="H6" s="70" t="str">
        <x:v>발주금액·미입고·상태 수식의 조용한 이상</x:v>
      </x:c>
      <x:c r="I6" s="104" t="str">
        <x:v>미실행</x:v>
      </x:c>
    </x:row>
    <x:row r="7">
      <x:c r="A7" s="71" t="n">
        <x:v>2</x:v>
      </x:c>
      <x:c r="B7" s="72" t="str">
        <x:v>12_현금흐름_자금계획.xlsx</x:v>
      </x:c>
      <x:c r="C7" s="72" t="str">
        <x:v>Calibration</x:v>
      </x:c>
      <x:c r="D7" s="72" t="str">
        <x:v>일별 현금흐름·자금계획</x:v>
      </x:c>
      <x:c r="E7" s="72" t="str">
        <x:v>자금/현금흐름</x:v>
      </x:c>
      <x:c r="F7" s="72" t="n">
        <x:v>4</x:v>
      </x:c>
      <x:c r="G7" s="72" t="n">
        <x:v>3</x:v>
      </x:c>
      <x:c r="H7" s="73" t="str">
        <x:v>연속 잔액 계산의 조용한 참조·수식 누락</x:v>
      </x:c>
      <x:c r="I7" s="105" t="str">
        <x:v>미실행</x:v>
      </x:c>
    </x:row>
    <x:row r="8">
      <x:c r="A8" s="71" t="n">
        <x:v>3</x:v>
      </x:c>
      <x:c r="B8" s="72" t="str">
        <x:v>13_고정자산_감가상각.xlsx</x:v>
      </x:c>
      <x:c r="C8" s="72" t="str">
        <x:v>Calibration</x:v>
      </x:c>
      <x:c r="D8" s="72" t="str">
        <x:v>고정자산·감가상각 관리</x:v>
      </x:c>
      <x:c r="E8" s="72" t="str">
        <x:v>고정자산/회계</x:v>
      </x:c>
      <x:c r="F8" s="72" t="n">
        <x:v>4</x:v>
      </x:c>
      <x:c r="G8" s="72" t="n">
        <x:v>3</x:v>
      </x:c>
      <x:c r="H8" s="73" t="str">
        <x:v>감가상각 연속 계산열의 함수·행 참조·상수·빈 셀</x:v>
      </x:c>
      <x:c r="I8" s="105" t="str">
        <x:v>미실행</x:v>
      </x:c>
    </x:row>
    <x:row r="9">
      <x:c r="A9" s="71" t="n">
        <x:v>4</x:v>
      </x:c>
      <x:c r="B9" s="72" t="str">
        <x:v>14_영업수수료_계산.xlsx</x:v>
      </x:c>
      <x:c r="C9" s="72" t="str">
        <x:v>Calibration</x:v>
      </x:c>
      <x:c r="D9" s="72" t="str">
        <x:v>영업사원 성과·수수료 계산</x:v>
      </x:c>
      <x:c r="E9" s="72" t="str">
        <x:v>영업/성과급</x:v>
      </x:c>
      <x:c r="F9" s="72" t="n">
        <x:v>4</x:v>
      </x:c>
      <x:c r="G9" s="72" t="n">
        <x:v>3</x:v>
      </x:c>
      <x:c r="H9" s="73" t="str">
        <x:v>순매출·수수료율·수수료·총수수료 패턴 이상</x:v>
      </x:c>
      <x:c r="I9" s="105" t="str">
        <x:v>미실행</x:v>
      </x:c>
    </x:row>
    <x:row r="10">
      <x:c r="A10" s="71" t="n">
        <x:v>5</x:v>
      </x:c>
      <x:c r="B10" s="72" t="str">
        <x:v>15_생산계획_실적.xlsx</x:v>
      </x:c>
      <x:c r="C10" s="72" t="str">
        <x:v>Calibration</x:v>
      </x:c>
      <x:c r="D10" s="72" t="str">
        <x:v>생산계획·실적·수율 관리</x:v>
      </x:c>
      <x:c r="E10" s="72" t="str">
        <x:v>생산/품질</x:v>
      </x:c>
      <x:c r="F10" s="72" t="n">
        <x:v>4</x:v>
      </x:c>
      <x:c r="G10" s="72" t="n">
        <x:v>3</x:v>
      </x:c>
      <x:c r="H10" s="73" t="str">
        <x:v>계획·실적 반복 계산열의 함수·행 참조·상수·빈 셀</x:v>
      </x:c>
      <x:c r="I10" s="105" t="str">
        <x:v>미실행</x:v>
      </x:c>
    </x:row>
    <x:row r="11">
      <x:c r="A11" s="71" t="n">
        <x:v>6</x:v>
      </x:c>
      <x:c r="B11" s="72" t="str">
        <x:v>16_근태연차_정산.xlsx</x:v>
      </x:c>
      <x:c r="C11" s="72" t="str">
        <x:v>Calibration</x:v>
      </x:c>
      <x:c r="D11" s="72" t="str">
        <x:v>근태·연차·초과근무 정산</x:v>
      </x:c>
      <x:c r="E11" s="72" t="str">
        <x:v>인사/근태</x:v>
      </x:c>
      <x:c r="F11" s="72" t="n">
        <x:v>4</x:v>
      </x:c>
      <x:c r="G11" s="72" t="n">
        <x:v>3</x:v>
      </x:c>
      <x:c r="H11" s="73" t="str">
        <x:v>연차·초과근무 연속 계산의 함수·기준행·상수·빈 셀</x:v>
      </x:c>
      <x:c r="I11" s="105" t="str">
        <x:v>미실행</x:v>
      </x:c>
    </x:row>
    <x:row r="12">
      <x:c r="A12" s="71" t="n">
        <x:v>7</x:v>
      </x:c>
      <x:c r="B12" s="72" t="str">
        <x:v>17_지점별_실적평가.xlsx</x:v>
      </x:c>
      <x:c r="C12" s="72" t="str">
        <x:v>Calibration</x:v>
      </x:c>
      <x:c r="D12" s="72" t="str">
        <x:v>지점별 실적·평가 관리</x:v>
      </x:c>
      <x:c r="E12" s="72" t="str">
        <x:v>영업/지점관리</x:v>
      </x:c>
      <x:c r="F12" s="72" t="n">
        <x:v>4</x:v>
      </x:c>
      <x:c r="G12" s="72" t="n">
        <x:v>3</x:v>
      </x:c>
      <x:c r="H12" s="73" t="str">
        <x:v>지점 집계·이익·점수·등급 연속 계산 이상</x:v>
      </x:c>
      <x:c r="I12" s="105" t="str">
        <x:v>미실행</x:v>
      </x:c>
    </x:row>
    <x:row r="13">
      <x:c r="A13" s="71" t="n">
        <x:v>8</x:v>
      </x:c>
      <x:c r="B13" s="72" t="str">
        <x:v>18_공통비_원가배부.xlsx</x:v>
      </x:c>
      <x:c r="C13" s="72" t="str">
        <x:v>Calibration</x:v>
      </x:c>
      <x:c r="D13" s="72" t="str">
        <x:v>부서별 공통비 원가배부</x:v>
      </x:c>
      <x:c r="E13" s="72" t="str">
        <x:v>관리회계/배부</x:v>
      </x:c>
      <x:c r="F13" s="72" t="n">
        <x:v>4</x:v>
      </x:c>
      <x:c r="G13" s="72" t="n">
        <x:v>3</x:v>
      </x:c>
      <x:c r="H13" s="73" t="str">
        <x:v>배부기준·비율·금액·검증 연속 수식 이상</x:v>
      </x:c>
      <x:c r="I13" s="105" t="str">
        <x:v>미실행</x:v>
      </x:c>
    </x:row>
    <x:row r="14">
      <x:c r="A14" s="71" t="n">
        <x:v>9</x:v>
      </x:c>
      <x:c r="B14" s="72" t="str">
        <x:v>19_계정잔액_대사.xlsx</x:v>
      </x:c>
      <x:c r="C14" s="72" t="str">
        <x:v>Holdout</x:v>
      </x:c>
      <x:c r="D14" s="72" t="str">
        <x:v>총계정원장·보조부 계정잔액 대사</x:v>
      </x:c>
      <x:c r="E14" s="72" t="str">
        <x:v>회계/대사</x:v>
      </x:c>
      <x:c r="F14" s="72" t="n">
        <x:v>4</x:v>
      </x:c>
      <x:c r="G14" s="72" t="n">
        <x:v>3</x:v>
      </x:c>
      <x:c r="H14" s="73" t="str">
        <x:v>GL·보조부 대사 계산의 기준행·함수·상수·빈 셀</x:v>
      </x:c>
      <x:c r="I14" s="105" t="str">
        <x:v>미실행</x:v>
      </x:c>
    </x:row>
    <x:row r="15">
      <x:c r="A15" s="74" t="n">
        <x:v>10</x:v>
      </x:c>
      <x:c r="B15" s="75" t="str">
        <x:v>20_다중사업부_정상통제.xlsx</x:v>
      </x:c>
      <x:c r="C15" s="75" t="str">
        <x:v>Holdout</x:v>
      </x:c>
      <x:c r="D15" s="75" t="str">
        <x:v>다중사업부 통합 경영관리 정상 통제</x:v>
      </x:c>
      <x:c r="E15" s="75" t="str">
        <x:v>경영관리/통제</x:v>
      </x:c>
      <x:c r="F15" s="75" t="n">
        <x:v>0</x:v>
      </x:c>
      <x:c r="G15" s="75" t="n">
        <x:v>9</x:v>
      </x:c>
      <x:c r="H15" s="76" t="str">
        <x:v>다양한 정상 수식·Table·조정·합계에서 오탐 0건 확인</x:v>
      </x:c>
      <x:c r="I15" s="106" t="str">
        <x:v>미실행</x:v>
      </x:c>
    </x:row>
    <x:row r="18">
      <x:c r="A18" s="113" t="str">
        <x:v>이번 추가팩의 1차 완료 기준</x:v>
      </x:c>
      <x:c r="B18" s="114"/>
      <x:c r="C18" s="114"/>
      <x:c r="D18" s="114"/>
      <x:c r="E18" s="114"/>
      <x:c r="F18" s="114"/>
      <x:c r="G18" s="114"/>
      <x:c r="H18" s="114"/>
      <x:c r="I18" s="115"/>
    </x:row>
    <x:row r="19">
      <x:c r="A19" s="123" t="str">
        <x:v>1</x:v>
      </x:c>
      <x:c r="B19" s="63" t="str">
        <x:v>예상 위치 36건이 FORMULA_PATTERN_OUTLIER 또는 FORMULA_PATTERN_GAP으로 탐지되는가</x:v>
      </x:c>
    </x:row>
    <x:row r="20">
      <x:c r="A20" s="123" t="str">
        <x:v>2</x:v>
      </x:c>
      <x:c r="B20" s="63" t="str">
        <x:v>Subtype은 2차 지표이며, 위치와 상위 Rule 탐지를 먼저 평가하는가</x:v>
      </x:c>
    </x:row>
    <x:row r="21">
      <x:c r="A21" s="123" t="str">
        <x:v>3</x:v>
      </x:c>
      <x:c r="B21" s="63" t="str">
        <x:v>정상 예외 36건이 M4 Finding으로 노출되지 않는가</x:v>
      </x:c>
    </x:row>
    <x:row r="22">
      <x:c r="A22" s="123" t="str">
        <x:v>4</x:v>
      </x:c>
      <x:c r="B22" s="63" t="str">
        <x:v>20_다중사업부_정상통제.xlsx에서 M4 Finding이 0건인가</x:v>
      </x:c>
    </x:row>
    <x:row r="23">
      <x:c r="A23" s="123" t="str">
        <x:v>5</x:v>
      </x:c>
      <x:c r="B23" s="63" t="str">
        <x:v>19·20번 Holdout은 엔진 교정이 끝난 뒤 마지막에 실행하는가</x:v>
      </x:c>
    </x:row>
  </x:sheetData>
  <x:mergeCells>
    <x:mergeCell ref="A1:I1"/>
    <x:mergeCell ref="A2:I2"/>
    <x:mergeCell ref="A3:I3"/>
    <x:mergeCell ref="A18:I18"/>
  </x:mergeCells>
  <x:conditionalFormatting sqref="I6:I15">
    <x:cfRule type="expression" dxfId="0" priority="1">
      <x:formula>I6="완료"</x:formula>
    </x:cfRule>
    <x:cfRule type="expression" dxfId="1" priority="2">
      <x:formula>I6="재검토 필요"</x:formula>
    </x:cfRule>
  </x:conditionalFormatting>
  <x:dataValidations count="1">
    <x:dataValidation type="list" sqref="I6:I15">
      <x:formula1>"미실행,진행 중,완료,재검토 필요"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28" hidden="0" customWidth="1"/>
    <x:col min="5" max="5" width="18" hidden="0" customWidth="1"/>
    <x:col min="6" max="6" width="11" hidden="0" customWidth="1"/>
    <x:col min="7" max="7" width="28" hidden="0" customWidth="1"/>
    <x:col min="8" max="8" width="28" hidden="0" customWidth="1"/>
    <x:col min="9" max="9" width="10" hidden="0" customWidth="1"/>
    <x:col min="10" max="10" width="40" hidden="0" customWidth="1"/>
    <x:col min="11" max="11" width="40" hidden="0" customWidth="1"/>
    <x:col min="12" max="12" width="34" hidden="0" customWidth="1"/>
    <x:col min="13" max="13" width="12" hidden="0" customWidth="1"/>
    <x:col min="14" max="14" width="28" hidden="0" customWidth="1"/>
    <x:col min="15" max="15" width="11" hidden="0" customWidth="1"/>
    <x:col min="16" max="16" width="28" hidden="0" customWidth="1"/>
    <x:col min="17" max="17" width="12" hidden="0" customWidth="1"/>
    <x:col min="18" max="18" width="22" hidden="0" customWidth="1"/>
    <x:col min="19" max="19" width="30" hidden="0" customWidth="1"/>
  </x:cols>
  <x:sheetData>
    <x:row r="1" ht="30" customHeight="1">
      <x:c r="A1" s="5" t="str">
        <x:v>예상 탐지 36건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4" customHeight="1">
      <x:c r="A2" s="12" t="str">
        <x:v>위치와 상위 Rule을 1차 기준으로, Subtype을 2차 기준으로 기록합니다.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5" ht="28" customHeight="1">
      <x:c r="A5" s="33" t="str">
        <x:v>ID</x:v>
      </x:c>
      <x:c r="B5" s="34" t="str">
        <x:v>샘플 파일</x:v>
      </x:c>
      <x:c r="C5" s="34" t="str">
        <x:v>용도</x:v>
      </x:c>
      <x:c r="D5" s="34" t="str">
        <x:v>시나리오</x:v>
      </x:c>
      <x:c r="E5" s="34" t="str">
        <x:v>Sheet</x:v>
      </x:c>
      <x:c r="F5" s="34" t="str">
        <x:v>Cell</x:v>
      </x:c>
      <x:c r="G5" s="34" t="str">
        <x:v>예상 상위 Rule</x:v>
      </x:c>
      <x:c r="H5" s="34" t="str">
        <x:v>예상 Subtype</x:v>
      </x:c>
      <x:c r="I5" s="34" t="str">
        <x:v>중요도</x:v>
      </x:c>
      <x:c r="J5" s="34" t="str">
        <x:v>의도적 이상</x:v>
      </x:c>
      <x:c r="K5" s="34" t="str">
        <x:v>업무 영향</x:v>
      </x:c>
      <x:c r="L5" s="34" t="str">
        <x:v>수동 확인 방법</x:v>
      </x:c>
      <x:c r="M5" s="34" t="str">
        <x:v>실제 탐지</x:v>
      </x:c>
      <x:c r="N5" s="34" t="str">
        <x:v>실제 Rule</x:v>
      </x:c>
      <x:c r="O5" s="34" t="str">
        <x:v>Rule 일치</x:v>
      </x:c>
      <x:c r="P5" s="34" t="str">
        <x:v>실제 Subtype</x:v>
      </x:c>
      <x:c r="Q5" s="34" t="str">
        <x:v>Subtype 일치</x:v>
      </x:c>
      <x:c r="R5" s="34" t="str">
        <x:v>전문가 판정</x:v>
      </x:c>
      <x:c r="S5" s="35" t="str">
        <x:v>메모</x:v>
      </x:c>
    </x:row>
    <x:row r="6">
      <x:c r="A6" s="68" t="str">
        <x:v>AF001</x:v>
      </x:c>
      <x:c r="B6" s="69" t="str">
        <x:v>11_구매발주_관리.xlsx</x:v>
      </x:c>
      <x:c r="C6" s="69" t="str">
        <x:v>Calibration</x:v>
      </x:c>
      <x:c r="D6" s="69" t="str">
        <x:v>구매·발주 및 미입고 관리</x:v>
      </x:c>
      <x:c r="E6" s="69" t="str">
        <x:v>발주내역</x:v>
      </x:c>
      <x:c r="F6" s="69" t="str">
        <x:v>G19</x:v>
      </x:c>
      <x:c r="G6" s="69" t="str">
        <x:v>FORMULA_PATTERN_OUTLIER</x:v>
      </x:c>
      <x:c r="H6" s="69" t="str">
        <x:v>FUNCTION_PATTERN_DRIFT</x:v>
      </x:c>
      <x:c r="I6" s="69" t="str">
        <x:v>HIGH</x:v>
      </x:c>
      <x:c r="J6" s="69" t="str">
        <x:v>발주금액 열에서 곱셈 대신 SUM 사용</x:v>
      </x:c>
      <x:c r="K6" s="69" t="str">
        <x:v>수량과 단가를 더해 금액이 크게 왜곡될 수 있음</x:v>
      </x:c>
      <x:c r="L6" s="70" t="str">
        <x:v>G18·G20의 E×F 패턴과 비교</x:v>
      </x:c>
      <x:c r="M6" s="127" t="str">
        <x:v>미실행</x:v>
      </x:c>
      <x:c r="N6" s="128" t="str"/>
      <x:c r="O6" s="128" t="str">
        <x:f>IF(M6="미실행","",IF(M6&lt;&gt;"Y","N",IF(N6=G6,"Y","N")))</x:f>
      </x:c>
      <x:c r="P6" s="128" t="str"/>
      <x:c r="Q6" s="128" t="str">
        <x:f>IF(P6="","",IF(P6=H6,"Y","N"))</x:f>
      </x:c>
      <x:c r="R6" s="128" t="str">
        <x:v>미판정</x:v>
      </x:c>
      <x:c r="S6" s="129" t="str"/>
    </x:row>
    <x:row r="7">
      <x:c r="A7" s="71" t="str">
        <x:v>AF002</x:v>
      </x:c>
      <x:c r="B7" s="72" t="str">
        <x:v>11_구매발주_관리.xlsx</x:v>
      </x:c>
      <x:c r="C7" s="72" t="str">
        <x:v>Calibration</x:v>
      </x:c>
      <x:c r="D7" s="72" t="str">
        <x:v>구매·발주 및 미입고 관리</x:v>
      </x:c>
      <x:c r="E7" s="72" t="str">
        <x:v>발주내역</x:v>
      </x:c>
      <x:c r="F7" s="72" t="str">
        <x:v>I31</x:v>
      </x:c>
      <x:c r="G7" s="72" t="str">
        <x:v>FORMULA_PATTERN_OUTLIER</x:v>
      </x:c>
      <x:c r="H7" s="72" t="str">
        <x:v>RELATIVE_REFERENCE_DRIFT</x:v>
      </x:c>
      <x:c r="I7" s="72" t="str">
        <x:v>HIGH</x:v>
      </x:c>
      <x:c r="J7" s="72" t="str">
        <x:v>미입고수량이 현재 행이 아닌 이전 행 발주수량을 참조</x:v>
      </x:c>
      <x:c r="K7" s="72" t="str">
        <x:v>다른 발주의 수량 기준으로 미입고가 계산될 수 있음</x:v>
      </x:c>
      <x:c r="L7" s="73" t="str">
        <x:v>I30·I32의 현재 행 E-H 패턴과 비교</x:v>
      </x:c>
      <x:c r="M7" s="130" t="str">
        <x:v>미실행</x:v>
      </x:c>
      <x:c r="N7" s="103" t="str"/>
      <x:c r="O7" s="103" t="str">
        <x:f>IF(M7="미실행","",IF(M7&lt;&gt;"Y","N",IF(N7=G7,"Y","N")))</x:f>
      </x:c>
      <x:c r="P7" s="103" t="str"/>
      <x:c r="Q7" s="103" t="str">
        <x:f>IF(P7="","",IF(P7=H7,"Y","N"))</x:f>
      </x:c>
      <x:c r="R7" s="103" t="str">
        <x:v>미판정</x:v>
      </x:c>
      <x:c r="S7" s="131" t="str"/>
    </x:row>
    <x:row r="8">
      <x:c r="A8" s="71" t="str">
        <x:v>AF003</x:v>
      </x:c>
      <x:c r="B8" s="72" t="str">
        <x:v>11_구매발주_관리.xlsx</x:v>
      </x:c>
      <x:c r="C8" s="72" t="str">
        <x:v>Calibration</x:v>
      </x:c>
      <x:c r="D8" s="72" t="str">
        <x:v>구매·발주 및 미입고 관리</x:v>
      </x:c>
      <x:c r="E8" s="72" t="str">
        <x:v>발주내역</x:v>
      </x:c>
      <x:c r="F8" s="72" t="str">
        <x:v>J43</x:v>
      </x:c>
      <x:c r="G8" s="72" t="str">
        <x:v>FORMULA_PATTERN_GAP</x:v>
      </x:c>
      <x:c r="H8" s="72" t="str">
        <x:v>CONSTANT_OVERRIDE_CANDIDATE</x:v>
      </x:c>
      <x:c r="I8" s="72" t="str">
        <x:v>MEDIUM</x:v>
      </x:c>
      <x:c r="J8" s="72" t="str">
        <x:v>납기상태 계산열에 고정 텍스트 입력</x:v>
      </x:c>
      <x:c r="K8" s="72" t="str">
        <x:v>입고수량이나 납기일이 바뀌어도 상태가 갱신되지 않음</x:v>
      </x:c>
      <x:c r="L8" s="73" t="str">
        <x:v>J42·J44의 IF 상태식과 비교</x:v>
      </x:c>
      <x:c r="M8" s="130" t="str">
        <x:v>미실행</x:v>
      </x:c>
      <x:c r="N8" s="103" t="str"/>
      <x:c r="O8" s="103" t="str">
        <x:f>IF(M8="미실행","",IF(M8&lt;&gt;"Y","N",IF(N8=G8,"Y","N")))</x:f>
      </x:c>
      <x:c r="P8" s="103" t="str"/>
      <x:c r="Q8" s="103" t="str">
        <x:f>IF(P8="","",IF(P8=H8,"Y","N"))</x:f>
      </x:c>
      <x:c r="R8" s="103" t="str">
        <x:v>미판정</x:v>
      </x:c>
      <x:c r="S8" s="131" t="str"/>
    </x:row>
    <x:row r="9">
      <x:c r="A9" s="71" t="str">
        <x:v>AF004</x:v>
      </x:c>
      <x:c r="B9" s="72" t="str">
        <x:v>11_구매발주_관리.xlsx</x:v>
      </x:c>
      <x:c r="C9" s="72" t="str">
        <x:v>Calibration</x:v>
      </x:c>
      <x:c r="D9" s="72" t="str">
        <x:v>구매·발주 및 미입고 관리</x:v>
      </x:c>
      <x:c r="E9" s="72" t="str">
        <x:v>발주내역</x:v>
      </x:c>
      <x:c r="F9" s="72" t="str">
        <x:v>G54</x:v>
      </x:c>
      <x:c r="G9" s="72" t="str">
        <x:v>FORMULA_PATTERN_GAP</x:v>
      </x:c>
      <x:c r="H9" s="72" t="str">
        <x:v>BLANK_GAP_CANDIDATE</x:v>
      </x:c>
      <x:c r="I9" s="72" t="str">
        <x:v>HIGH</x:v>
      </x:c>
      <x:c r="J9" s="72" t="str">
        <x:v>발주금액 계산열 중간 셀이 비어 있음</x:v>
      </x:c>
      <x:c r="K9" s="72" t="str">
        <x:v>공급처별 발주금액 집계에서 누락될 수 있음</x:v>
      </x:c>
      <x:c r="L9" s="73" t="str">
        <x:v>G53·G55의 E×F 패턴과 비교</x:v>
      </x:c>
      <x:c r="M9" s="130" t="str">
        <x:v>미실행</x:v>
      </x:c>
      <x:c r="N9" s="103" t="str"/>
      <x:c r="O9" s="103" t="str">
        <x:f>IF(M9="미실행","",IF(M9&lt;&gt;"Y","N",IF(N9=G9,"Y","N")))</x:f>
      </x:c>
      <x:c r="P9" s="103" t="str"/>
      <x:c r="Q9" s="103" t="str">
        <x:f>IF(P9="","",IF(P9=H9,"Y","N"))</x:f>
      </x:c>
      <x:c r="R9" s="103" t="str">
        <x:v>미판정</x:v>
      </x:c>
      <x:c r="S9" s="131" t="str"/>
    </x:row>
    <x:row r="10">
      <x:c r="A10" s="71" t="str">
        <x:v>AF005</x:v>
      </x:c>
      <x:c r="B10" s="72" t="str">
        <x:v>12_현금흐름_자금계획.xlsx</x:v>
      </x:c>
      <x:c r="C10" s="72" t="str">
        <x:v>Calibration</x:v>
      </x:c>
      <x:c r="D10" s="72" t="str">
        <x:v>일별 현금흐름·자금계획</x:v>
      </x:c>
      <x:c r="E10" s="72" t="str">
        <x:v>자금계획</x:v>
      </x:c>
      <x:c r="F10" s="72" t="str">
        <x:v>E21</x:v>
      </x:c>
      <x:c r="G10" s="72" t="str">
        <x:v>FORMULA_PATTERN_OUTLIER</x:v>
      </x:c>
      <x:c r="H10" s="72" t="str">
        <x:v>FUNCTION_PATTERN_DRIFT</x:v>
      </x:c>
      <x:c r="I10" s="72" t="str">
        <x:v>HIGH</x:v>
      </x:c>
      <x:c r="J10" s="72" t="str">
        <x:v>순현금흐름 열에서 차감 대신 SUM 사용</x:v>
      </x:c>
      <x:c r="K10" s="72" t="str">
        <x:v>출금이 차감되지 않고 더해져 잔액이 과대 계산될 수 있음</x:v>
      </x:c>
      <x:c r="L10" s="73" t="str">
        <x:v>E20·E22의 C-D 패턴과 비교</x:v>
      </x:c>
      <x:c r="M10" s="130" t="str">
        <x:v>미실행</x:v>
      </x:c>
      <x:c r="N10" s="103" t="str"/>
      <x:c r="O10" s="103" t="str">
        <x:f>IF(M10="미실행","",IF(M10&lt;&gt;"Y","N",IF(N10=G10,"Y","N")))</x:f>
      </x:c>
      <x:c r="P10" s="103" t="str"/>
      <x:c r="Q10" s="103" t="str">
        <x:f>IF(P10="","",IF(P10=H10,"Y","N"))</x:f>
      </x:c>
      <x:c r="R10" s="103" t="str">
        <x:v>미판정</x:v>
      </x:c>
      <x:c r="S10" s="131" t="str"/>
    </x:row>
    <x:row r="11">
      <x:c r="A11" s="71" t="str">
        <x:v>AF006</x:v>
      </x:c>
      <x:c r="B11" s="72" t="str">
        <x:v>12_현금흐름_자금계획.xlsx</x:v>
      </x:c>
      <x:c r="C11" s="72" t="str">
        <x:v>Calibration</x:v>
      </x:c>
      <x:c r="D11" s="72" t="str">
        <x:v>일별 현금흐름·자금계획</x:v>
      </x:c>
      <x:c r="E11" s="72" t="str">
        <x:v>자금계획</x:v>
      </x:c>
      <x:c r="F11" s="72" t="str">
        <x:v>F33</x:v>
      </x:c>
      <x:c r="G11" s="72" t="str">
        <x:v>FORMULA_PATTERN_OUTLIER</x:v>
      </x:c>
      <x:c r="H11" s="72" t="str">
        <x:v>RELATIVE_REFERENCE_DRIFT</x:v>
      </x:c>
      <x:c r="I11" s="72" t="str">
        <x:v>HIGH</x:v>
      </x:c>
      <x:c r="J11" s="72" t="str">
        <x:v>기초잔액이 직전 행이 아닌 두 행 전 기말잔액을 참조</x:v>
      </x:c>
      <x:c r="K11" s="72" t="str">
        <x:v>하루의 현금흐름이 누락될 수 있음</x:v>
      </x:c>
      <x:c r="L11" s="73" t="str">
        <x:v>F32·F34의 직전 행 G 참조와 비교</x:v>
      </x:c>
      <x:c r="M11" s="130" t="str">
        <x:v>미실행</x:v>
      </x:c>
      <x:c r="N11" s="103" t="str"/>
      <x:c r="O11" s="103" t="str">
        <x:f>IF(M11="미실행","",IF(M11&lt;&gt;"Y","N",IF(N11=G11,"Y","N")))</x:f>
      </x:c>
      <x:c r="P11" s="103" t="str"/>
      <x:c r="Q11" s="103" t="str">
        <x:f>IF(P11="","",IF(P11=H11,"Y","N"))</x:f>
      </x:c>
      <x:c r="R11" s="103" t="str">
        <x:v>미판정</x:v>
      </x:c>
      <x:c r="S11" s="131" t="str"/>
    </x:row>
    <x:row r="12">
      <x:c r="A12" s="71" t="str">
        <x:v>AF007</x:v>
      </x:c>
      <x:c r="B12" s="72" t="str">
        <x:v>12_현금흐름_자금계획.xlsx</x:v>
      </x:c>
      <x:c r="C12" s="72" t="str">
        <x:v>Calibration</x:v>
      </x:c>
      <x:c r="D12" s="72" t="str">
        <x:v>일별 현금흐름·자금계획</x:v>
      </x:c>
      <x:c r="E12" s="72" t="str">
        <x:v>자금계획</x:v>
      </x:c>
      <x:c r="F12" s="72" t="str">
        <x:v>G45</x:v>
      </x:c>
      <x:c r="G12" s="72" t="str">
        <x:v>FORMULA_PATTERN_GAP</x:v>
      </x:c>
      <x:c r="H12" s="72" t="str">
        <x:v>CONSTANT_OVERRIDE_CANDIDATE</x:v>
      </x:c>
      <x:c r="I12" s="72" t="str">
        <x:v>HIGH</x:v>
      </x:c>
      <x:c r="J12" s="72" t="str">
        <x:v>기말잔액 열에 고정 금액 입력</x:v>
      </x:c>
      <x:c r="K12" s="72" t="str">
        <x:v>이후 잔액 연결 전체가 잘못될 수 있음</x:v>
      </x:c>
      <x:c r="L12" s="73" t="str">
        <x:v>G44·G46의 F+E 패턴과 비교</x:v>
      </x:c>
      <x:c r="M12" s="130" t="str">
        <x:v>미실행</x:v>
      </x:c>
      <x:c r="N12" s="103" t="str"/>
      <x:c r="O12" s="103" t="str">
        <x:f>IF(M12="미실행","",IF(M12&lt;&gt;"Y","N",IF(N12=G12,"Y","N")))</x:f>
      </x:c>
      <x:c r="P12" s="103" t="str"/>
      <x:c r="Q12" s="103" t="str">
        <x:f>IF(P12="","",IF(P12=H12,"Y","N"))</x:f>
      </x:c>
      <x:c r="R12" s="103" t="str">
        <x:v>미판정</x:v>
      </x:c>
      <x:c r="S12" s="131" t="str"/>
    </x:row>
    <x:row r="13">
      <x:c r="A13" s="71" t="str">
        <x:v>AF008</x:v>
      </x:c>
      <x:c r="B13" s="72" t="str">
        <x:v>12_현금흐름_자금계획.xlsx</x:v>
      </x:c>
      <x:c r="C13" s="72" t="str">
        <x:v>Calibration</x:v>
      </x:c>
      <x:c r="D13" s="72" t="str">
        <x:v>일별 현금흐름·자금계획</x:v>
      </x:c>
      <x:c r="E13" s="72" t="str">
        <x:v>자금계획</x:v>
      </x:c>
      <x:c r="F13" s="72" t="str">
        <x:v>H57</x:v>
      </x:c>
      <x:c r="G13" s="72" t="str">
        <x:v>FORMULA_PATTERN_GAP</x:v>
      </x:c>
      <x:c r="H13" s="72" t="str">
        <x:v>BLANK_GAP_CANDIDATE</x:v>
      </x:c>
      <x:c r="I13" s="72" t="str">
        <x:v>MEDIUM</x:v>
      </x:c>
      <x:c r="J13" s="72" t="str">
        <x:v>자금상태 계산열 중간 셀이 비어 있음</x:v>
      </x:c>
      <x:c r="K13" s="72" t="str">
        <x:v>부족일수 집계에서 누락될 수 있음</x:v>
      </x:c>
      <x:c r="L13" s="73" t="str">
        <x:v>H56·H58의 IF 상태식과 비교</x:v>
      </x:c>
      <x:c r="M13" s="130" t="str">
        <x:v>미실행</x:v>
      </x:c>
      <x:c r="N13" s="103" t="str"/>
      <x:c r="O13" s="103" t="str">
        <x:f>IF(M13="미실행","",IF(M13&lt;&gt;"Y","N",IF(N13=G13,"Y","N")))</x:f>
      </x:c>
      <x:c r="P13" s="103" t="str"/>
      <x:c r="Q13" s="103" t="str">
        <x:f>IF(P13="","",IF(P13=H13,"Y","N"))</x:f>
      </x:c>
      <x:c r="R13" s="103" t="str">
        <x:v>미판정</x:v>
      </x:c>
      <x:c r="S13" s="131" t="str"/>
    </x:row>
    <x:row r="14">
      <x:c r="A14" s="71" t="str">
        <x:v>AF009</x:v>
      </x:c>
      <x:c r="B14" s="72" t="str">
        <x:v>13_고정자산_감가상각.xlsx</x:v>
      </x:c>
      <x:c r="C14" s="72" t="str">
        <x:v>Calibration</x:v>
      </x:c>
      <x:c r="D14" s="72" t="str">
        <x:v>고정자산·감가상각 관리</x:v>
      </x:c>
      <x:c r="E14" s="72" t="str">
        <x:v>자산대장</x:v>
      </x:c>
      <x:c r="F14" s="72" t="str">
        <x:v>G17</x:v>
      </x:c>
      <x:c r="G14" s="72" t="str">
        <x:v>FORMULA_PATTERN_OUTLIER</x:v>
      </x:c>
      <x:c r="H14" s="72" t="str">
        <x:v>FUNCTION_PATTERN_DRIFT</x:v>
      </x:c>
      <x:c r="I14" s="72" t="str">
        <x:v>HIGH</x:v>
      </x:c>
      <x:c r="J14" s="72" t="str">
        <x:v>월상각액 열에서 나눗셈 대신 SUM 사용</x:v>
      </x:c>
      <x:c r="K14" s="72" t="str">
        <x:v>월상각액이 비정상적으로 커질 수 있음</x:v>
      </x:c>
      <x:c r="L14" s="73" t="str">
        <x:v>G16·G18의 D/E 패턴과 비교</x:v>
      </x:c>
      <x:c r="M14" s="130" t="str">
        <x:v>미실행</x:v>
      </x:c>
      <x:c r="N14" s="103" t="str"/>
      <x:c r="O14" s="103" t="str">
        <x:f>IF(M14="미실행","",IF(M14&lt;&gt;"Y","N",IF(N14=G14,"Y","N")))</x:f>
      </x:c>
      <x:c r="P14" s="103" t="str"/>
      <x:c r="Q14" s="103" t="str">
        <x:f>IF(P14="","",IF(P14=H14,"Y","N"))</x:f>
      </x:c>
      <x:c r="R14" s="103" t="str">
        <x:v>미판정</x:v>
      </x:c>
      <x:c r="S14" s="131" t="str"/>
    </x:row>
    <x:row r="15">
      <x:c r="A15" s="71" t="str">
        <x:v>AF010</x:v>
      </x:c>
      <x:c r="B15" s="72" t="str">
        <x:v>13_고정자산_감가상각.xlsx</x:v>
      </x:c>
      <x:c r="C15" s="72" t="str">
        <x:v>Calibration</x:v>
      </x:c>
      <x:c r="D15" s="72" t="str">
        <x:v>고정자산·감가상각 관리</x:v>
      </x:c>
      <x:c r="E15" s="72" t="str">
        <x:v>자산대장</x:v>
      </x:c>
      <x:c r="F15" s="72" t="str">
        <x:v>H28</x:v>
      </x:c>
      <x:c r="G15" s="72" t="str">
        <x:v>FORMULA_PATTERN_OUTLIER</x:v>
      </x:c>
      <x:c r="H15" s="72" t="str">
        <x:v>RELATIVE_REFERENCE_DRIFT</x:v>
      </x:c>
      <x:c r="I15" s="72" t="str">
        <x:v>HIGH</x:v>
      </x:c>
      <x:c r="J15" s="72" t="str">
        <x:v>누계상각이 현재 자산이 아닌 이전 행 경과개월을 참조</x:v>
      </x:c>
      <x:c r="K15" s="72" t="str">
        <x:v>다른 자산의 사용기간이 적용될 수 있음</x:v>
      </x:c>
      <x:c r="L15" s="73" t="str">
        <x:v>H27·H29의 현재 행 F×G 패턴과 비교</x:v>
      </x:c>
      <x:c r="M15" s="130" t="str">
        <x:v>미실행</x:v>
      </x:c>
      <x:c r="N15" s="103" t="str"/>
      <x:c r="O15" s="103" t="str">
        <x:f>IF(M15="미실행","",IF(M15&lt;&gt;"Y","N",IF(N15=G15,"Y","N")))</x:f>
      </x:c>
      <x:c r="P15" s="103" t="str"/>
      <x:c r="Q15" s="103" t="str">
        <x:f>IF(P15="","",IF(P15=H15,"Y","N"))</x:f>
      </x:c>
      <x:c r="R15" s="103" t="str">
        <x:v>미판정</x:v>
      </x:c>
      <x:c r="S15" s="131" t="str"/>
    </x:row>
    <x:row r="16">
      <x:c r="A16" s="71" t="str">
        <x:v>AF011</x:v>
      </x:c>
      <x:c r="B16" s="72" t="str">
        <x:v>13_고정자산_감가상각.xlsx</x:v>
      </x:c>
      <x:c r="C16" s="72" t="str">
        <x:v>Calibration</x:v>
      </x:c>
      <x:c r="D16" s="72" t="str">
        <x:v>고정자산·감가상각 관리</x:v>
      </x:c>
      <x:c r="E16" s="72" t="str">
        <x:v>자산대장</x:v>
      </x:c>
      <x:c r="F16" s="72" t="str">
        <x:v>I39</x:v>
      </x:c>
      <x:c r="G16" s="72" t="str">
        <x:v>FORMULA_PATTERN_GAP</x:v>
      </x:c>
      <x:c r="H16" s="72" t="str">
        <x:v>CONSTANT_OVERRIDE_CANDIDATE</x:v>
      </x:c>
      <x:c r="I16" s="72" t="str">
        <x:v>HIGH</x:v>
      </x:c>
      <x:c r="J16" s="72" t="str">
        <x:v>장부가액 계산열에 고정 금액 입력</x:v>
      </x:c>
      <x:c r="K16" s="72" t="str">
        <x:v>취득가액과 누계상각 변경이 반영되지 않음</x:v>
      </x:c>
      <x:c r="L16" s="73" t="str">
        <x:v>I38·I40의 D-H 패턴과 비교</x:v>
      </x:c>
      <x:c r="M16" s="130" t="str">
        <x:v>미실행</x:v>
      </x:c>
      <x:c r="N16" s="103" t="str"/>
      <x:c r="O16" s="103" t="str">
        <x:f>IF(M16="미실행","",IF(M16&lt;&gt;"Y","N",IF(N16=G16,"Y","N")))</x:f>
      </x:c>
      <x:c r="P16" s="103" t="str"/>
      <x:c r="Q16" s="103" t="str">
        <x:f>IF(P16="","",IF(P16=H16,"Y","N"))</x:f>
      </x:c>
      <x:c r="R16" s="103" t="str">
        <x:v>미판정</x:v>
      </x:c>
      <x:c r="S16" s="131" t="str"/>
    </x:row>
    <x:row r="17">
      <x:c r="A17" s="71" t="str">
        <x:v>AF012</x:v>
      </x:c>
      <x:c r="B17" s="72" t="str">
        <x:v>13_고정자산_감가상각.xlsx</x:v>
      </x:c>
      <x:c r="C17" s="72" t="str">
        <x:v>Calibration</x:v>
      </x:c>
      <x:c r="D17" s="72" t="str">
        <x:v>고정자산·감가상각 관리</x:v>
      </x:c>
      <x:c r="E17" s="72" t="str">
        <x:v>자산대장</x:v>
      </x:c>
      <x:c r="F17" s="72" t="str">
        <x:v>F46</x:v>
      </x:c>
      <x:c r="G17" s="72" t="str">
        <x:v>FORMULA_PATTERN_GAP</x:v>
      </x:c>
      <x:c r="H17" s="72" t="str">
        <x:v>BLANK_GAP_CANDIDATE</x:v>
      </x:c>
      <x:c r="I17" s="72" t="str">
        <x:v>MEDIUM</x:v>
      </x:c>
      <x:c r="J17" s="72" t="str">
        <x:v>경과개월 계산열의 중간 셀이 비어 있음</x:v>
      </x:c>
      <x:c r="K17" s="72" t="str">
        <x:v>누계상각과 장부가액 계산이 누락될 수 있음</x:v>
      </x:c>
      <x:c r="L17" s="73" t="str">
        <x:v>F45·F47의 DATEDIF 패턴과 비교</x:v>
      </x:c>
      <x:c r="M17" s="130" t="str">
        <x:v>미실행</x:v>
      </x:c>
      <x:c r="N17" s="103" t="str"/>
      <x:c r="O17" s="103" t="str">
        <x:f>IF(M17="미실행","",IF(M17&lt;&gt;"Y","N",IF(N17=G17,"Y","N")))</x:f>
      </x:c>
      <x:c r="P17" s="103" t="str"/>
      <x:c r="Q17" s="103" t="str">
        <x:f>IF(P17="","",IF(P17=H17,"Y","N"))</x:f>
      </x:c>
      <x:c r="R17" s="103" t="str">
        <x:v>미판정</x:v>
      </x:c>
      <x:c r="S17" s="131" t="str"/>
    </x:row>
    <x:row r="18">
      <x:c r="A18" s="71" t="str">
        <x:v>AF013</x:v>
      </x:c>
      <x:c r="B18" s="72" t="str">
        <x:v>14_영업수수료_계산.xlsx</x:v>
      </x:c>
      <x:c r="C18" s="72" t="str">
        <x:v>Calibration</x:v>
      </x:c>
      <x:c r="D18" s="72" t="str">
        <x:v>영업사원 성과·수수료 계산</x:v>
      </x:c>
      <x:c r="E18" s="72" t="str">
        <x:v>수수료계산</x:v>
      </x:c>
      <x:c r="F18" s="72" t="str">
        <x:v>F14</x:v>
      </x:c>
      <x:c r="G18" s="72" t="str">
        <x:v>FORMULA_PATTERN_OUTLIER</x:v>
      </x:c>
      <x:c r="H18" s="72" t="str">
        <x:v>FUNCTION_PATTERN_DRIFT</x:v>
      </x:c>
      <x:c r="I18" s="72" t="str">
        <x:v>HIGH</x:v>
      </x:c>
      <x:c r="J18" s="72" t="str">
        <x:v>순매출 열에서 매출-반품 대신 SUM 사용</x:v>
      </x:c>
      <x:c r="K18" s="72" t="str">
        <x:v>반품이 차감되지 않아 순매출이 과대 계산될 수 있음</x:v>
      </x:c>
      <x:c r="L18" s="73" t="str">
        <x:v>F13·F15의 D-E 패턴과 비교</x:v>
      </x:c>
      <x:c r="M18" s="130" t="str">
        <x:v>미실행</x:v>
      </x:c>
      <x:c r="N18" s="103" t="str"/>
      <x:c r="O18" s="103" t="str">
        <x:f>IF(M18="미실행","",IF(M18&lt;&gt;"Y","N",IF(N18=G18,"Y","N")))</x:f>
      </x:c>
      <x:c r="P18" s="103" t="str"/>
      <x:c r="Q18" s="103" t="str">
        <x:f>IF(P18="","",IF(P18=H18,"Y","N"))</x:f>
      </x:c>
      <x:c r="R18" s="103" t="str">
        <x:v>미판정</x:v>
      </x:c>
      <x:c r="S18" s="131" t="str"/>
    </x:row>
    <x:row r="19">
      <x:c r="A19" s="71" t="str">
        <x:v>AF014</x:v>
      </x:c>
      <x:c r="B19" s="72" t="str">
        <x:v>14_영업수수료_계산.xlsx</x:v>
      </x:c>
      <x:c r="C19" s="72" t="str">
        <x:v>Calibration</x:v>
      </x:c>
      <x:c r="D19" s="72" t="str">
        <x:v>영업사원 성과·수수료 계산</x:v>
      </x:c>
      <x:c r="E19" s="72" t="str">
        <x:v>수수료계산</x:v>
      </x:c>
      <x:c r="F19" s="72" t="str">
        <x:v>G22</x:v>
      </x:c>
      <x:c r="G19" s="72" t="str">
        <x:v>FORMULA_PATTERN_OUTLIER</x:v>
      </x:c>
      <x:c r="H19" s="72" t="str">
        <x:v>RELATIVE_REFERENCE_DRIFT</x:v>
      </x:c>
      <x:c r="I19" s="72" t="str">
        <x:v>HIGH</x:v>
      </x:c>
      <x:c r="J19" s="72" t="str">
        <x:v>수수료율이 현재 행이 아닌 이전 행 순매출을 참조</x:v>
      </x:c>
      <x:c r="K19" s="72" t="str">
        <x:v>다른 사원의 실적 기준으로 요율이 결정될 수 있음</x:v>
      </x:c>
      <x:c r="L19" s="73" t="str">
        <x:v>G21·G23의 현재 행 F/C 참조와 비교</x:v>
      </x:c>
      <x:c r="M19" s="130" t="str">
        <x:v>미실행</x:v>
      </x:c>
      <x:c r="N19" s="103" t="str"/>
      <x:c r="O19" s="103" t="str">
        <x:f>IF(M19="미실행","",IF(M19&lt;&gt;"Y","N",IF(N19=G19,"Y","N")))</x:f>
      </x:c>
      <x:c r="P19" s="103" t="str"/>
      <x:c r="Q19" s="103" t="str">
        <x:f>IF(P19="","",IF(P19=H19,"Y","N"))</x:f>
      </x:c>
      <x:c r="R19" s="103" t="str">
        <x:v>미판정</x:v>
      </x:c>
      <x:c r="S19" s="131" t="str"/>
    </x:row>
    <x:row r="20">
      <x:c r="A20" s="71" t="str">
        <x:v>AF015</x:v>
      </x:c>
      <x:c r="B20" s="72" t="str">
        <x:v>14_영업수수료_계산.xlsx</x:v>
      </x:c>
      <x:c r="C20" s="72" t="str">
        <x:v>Calibration</x:v>
      </x:c>
      <x:c r="D20" s="72" t="str">
        <x:v>영업사원 성과·수수료 계산</x:v>
      </x:c>
      <x:c r="E20" s="72" t="str">
        <x:v>수수료계산</x:v>
      </x:c>
      <x:c r="F20" s="72" t="str">
        <x:v>H31</x:v>
      </x:c>
      <x:c r="G20" s="72" t="str">
        <x:v>FORMULA_PATTERN_GAP</x:v>
      </x:c>
      <x:c r="H20" s="72" t="str">
        <x:v>CONSTANT_OVERRIDE_CANDIDATE</x:v>
      </x:c>
      <x:c r="I20" s="72" t="str">
        <x:v>HIGH</x:v>
      </x:c>
      <x:c r="J20" s="72" t="str">
        <x:v>수수료 계산열에 고정 금액 입력</x:v>
      </x:c>
      <x:c r="K20" s="72" t="str">
        <x:v>순매출이나 요율 변경이 반영되지 않음</x:v>
      </x:c>
      <x:c r="L20" s="73" t="str">
        <x:v>H30·H32의 F×G 패턴과 비교</x:v>
      </x:c>
      <x:c r="M20" s="130" t="str">
        <x:v>미실행</x:v>
      </x:c>
      <x:c r="N20" s="103" t="str"/>
      <x:c r="O20" s="103" t="str">
        <x:f>IF(M20="미실행","",IF(M20&lt;&gt;"Y","N",IF(N20=G20,"Y","N")))</x:f>
      </x:c>
      <x:c r="P20" s="103" t="str"/>
      <x:c r="Q20" s="103" t="str">
        <x:f>IF(P20="","",IF(P20=H20,"Y","N"))</x:f>
      </x:c>
      <x:c r="R20" s="103" t="str">
        <x:v>미판정</x:v>
      </x:c>
      <x:c r="S20" s="131" t="str"/>
    </x:row>
    <x:row r="21">
      <x:c r="A21" s="71" t="str">
        <x:v>AF016</x:v>
      </x:c>
      <x:c r="B21" s="72" t="str">
        <x:v>14_영업수수료_계산.xlsx</x:v>
      </x:c>
      <x:c r="C21" s="72" t="str">
        <x:v>Calibration</x:v>
      </x:c>
      <x:c r="D21" s="72" t="str">
        <x:v>영업사원 성과·수수료 계산</x:v>
      </x:c>
      <x:c r="E21" s="72" t="str">
        <x:v>수수료계산</x:v>
      </x:c>
      <x:c r="F21" s="72" t="str">
        <x:v>J38</x:v>
      </x:c>
      <x:c r="G21" s="72" t="str">
        <x:v>FORMULA_PATTERN_GAP</x:v>
      </x:c>
      <x:c r="H21" s="72" t="str">
        <x:v>BLANK_GAP_CANDIDATE</x:v>
      </x:c>
      <x:c r="I21" s="72" t="str">
        <x:v>MEDIUM</x:v>
      </x:c>
      <x:c r="J21" s="72" t="str">
        <x:v>총수수료 계산열 중간 셀이 비어 있음</x:v>
      </x:c>
      <x:c r="K21" s="72" t="str">
        <x:v>급여 반영 및 총액 집계에서 누락될 수 있음</x:v>
      </x:c>
      <x:c r="L21" s="73" t="str">
        <x:v>J37·J39의 H+I 패턴과 비교</x:v>
      </x:c>
      <x:c r="M21" s="130" t="str">
        <x:v>미실행</x:v>
      </x:c>
      <x:c r="N21" s="103" t="str"/>
      <x:c r="O21" s="103" t="str">
        <x:f>IF(M21="미실행","",IF(M21&lt;&gt;"Y","N",IF(N21=G21,"Y","N")))</x:f>
      </x:c>
      <x:c r="P21" s="103" t="str"/>
      <x:c r="Q21" s="103" t="str">
        <x:f>IF(P21="","",IF(P21=H21,"Y","N"))</x:f>
      </x:c>
      <x:c r="R21" s="103" t="str">
        <x:v>미판정</x:v>
      </x:c>
      <x:c r="S21" s="131" t="str"/>
    </x:row>
    <x:row r="22">
      <x:c r="A22" s="71" t="str">
        <x:v>AF017</x:v>
      </x:c>
      <x:c r="B22" s="72" t="str">
        <x:v>15_생산계획_실적.xlsx</x:v>
      </x:c>
      <x:c r="C22" s="72" t="str">
        <x:v>Calibration</x:v>
      </x:c>
      <x:c r="D22" s="72" t="str">
        <x:v>생산계획·실적·수율 관리</x:v>
      </x:c>
      <x:c r="E22" s="72" t="str">
        <x:v>생산실적</x:v>
      </x:c>
      <x:c r="F22" s="72" t="str">
        <x:v>G20</x:v>
      </x:c>
      <x:c r="G22" s="72" t="str">
        <x:v>FORMULA_PATTERN_OUTLIER</x:v>
      </x:c>
      <x:c r="H22" s="72" t="str">
        <x:v>FUNCTION_PATTERN_DRIFT</x:v>
      </x:c>
      <x:c r="I22" s="72" t="str">
        <x:v>HIGH</x:v>
      </x:c>
      <x:c r="J22" s="72" t="str">
        <x:v>계획차이 열에서 실적-계획 대신 SUM 사용</x:v>
      </x:c>
      <x:c r="K22" s="72" t="str">
        <x:v>계획 대비 차이가 과대 계산될 수 있음</x:v>
      </x:c>
      <x:c r="L22" s="73" t="str">
        <x:v>G19·G21의 E-D 패턴과 비교</x:v>
      </x:c>
      <x:c r="M22" s="130" t="str">
        <x:v>미실행</x:v>
      </x:c>
      <x:c r="N22" s="103" t="str"/>
      <x:c r="O22" s="103" t="str">
        <x:f>IF(M22="미실행","",IF(M22&lt;&gt;"Y","N",IF(N22=G22,"Y","N")))</x:f>
      </x:c>
      <x:c r="P22" s="103" t="str"/>
      <x:c r="Q22" s="103" t="str">
        <x:f>IF(P22="","",IF(P22=H22,"Y","N"))</x:f>
      </x:c>
      <x:c r="R22" s="103" t="str">
        <x:v>미판정</x:v>
      </x:c>
      <x:c r="S22" s="131" t="str"/>
    </x:row>
    <x:row r="23">
      <x:c r="A23" s="71" t="str">
        <x:v>AF018</x:v>
      </x:c>
      <x:c r="B23" s="72" t="str">
        <x:v>15_생산계획_실적.xlsx</x:v>
      </x:c>
      <x:c r="C23" s="72" t="str">
        <x:v>Calibration</x:v>
      </x:c>
      <x:c r="D23" s="72" t="str">
        <x:v>생산계획·실적·수율 관리</x:v>
      </x:c>
      <x:c r="E23" s="72" t="str">
        <x:v>생산실적</x:v>
      </x:c>
      <x:c r="F23" s="72" t="str">
        <x:v>H32</x:v>
      </x:c>
      <x:c r="G23" s="72" t="str">
        <x:v>FORMULA_PATTERN_OUTLIER</x:v>
      </x:c>
      <x:c r="H23" s="72" t="str">
        <x:v>RELATIVE_REFERENCE_DRIFT</x:v>
      </x:c>
      <x:c r="I23" s="72" t="str">
        <x:v>HIGH</x:v>
      </x:c>
      <x:c r="J23" s="72" t="str">
        <x:v>달성률이 현재 행 실적이 아닌 이전 행 실적을 참조</x:v>
      </x:c>
      <x:c r="K23" s="72" t="str">
        <x:v>다른 생산일의 실적 기준으로 달성률이 계산될 수 있음</x:v>
      </x:c>
      <x:c r="L23" s="73" t="str">
        <x:v>H31·H33의 E/D 현재행 패턴과 비교</x:v>
      </x:c>
      <x:c r="M23" s="130" t="str">
        <x:v>미실행</x:v>
      </x:c>
      <x:c r="N23" s="103" t="str"/>
      <x:c r="O23" s="103" t="str">
        <x:f>IF(M23="미실행","",IF(M23&lt;&gt;"Y","N",IF(N23=G23,"Y","N")))</x:f>
      </x:c>
      <x:c r="P23" s="103" t="str"/>
      <x:c r="Q23" s="103" t="str">
        <x:f>IF(P23="","",IF(P23=H23,"Y","N"))</x:f>
      </x:c>
      <x:c r="R23" s="103" t="str">
        <x:v>미판정</x:v>
      </x:c>
      <x:c r="S23" s="131" t="str"/>
    </x:row>
    <x:row r="24">
      <x:c r="A24" s="71" t="str">
        <x:v>AF019</x:v>
      </x:c>
      <x:c r="B24" s="72" t="str">
        <x:v>15_생산계획_실적.xlsx</x:v>
      </x:c>
      <x:c r="C24" s="72" t="str">
        <x:v>Calibration</x:v>
      </x:c>
      <x:c r="D24" s="72" t="str">
        <x:v>생산계획·실적·수율 관리</x:v>
      </x:c>
      <x:c r="E24" s="72" t="str">
        <x:v>생산실적</x:v>
      </x:c>
      <x:c r="F24" s="72" t="str">
        <x:v>I44</x:v>
      </x:c>
      <x:c r="G24" s="72" t="str">
        <x:v>FORMULA_PATTERN_GAP</x:v>
      </x:c>
      <x:c r="H24" s="72" t="str">
        <x:v>CONSTANT_OVERRIDE_CANDIDATE</x:v>
      </x:c>
      <x:c r="I24" s="72" t="str">
        <x:v>HIGH</x:v>
      </x:c>
      <x:c r="J24" s="72" t="str">
        <x:v>양품수량 계산열에 고정 값 입력</x:v>
      </x:c>
      <x:c r="K24" s="72" t="str">
        <x:v>실적·불량 변경이 양품수량에 반영되지 않음</x:v>
      </x:c>
      <x:c r="L24" s="73" t="str">
        <x:v>I43·I45의 E-F 패턴과 비교</x:v>
      </x:c>
      <x:c r="M24" s="130" t="str">
        <x:v>미실행</x:v>
      </x:c>
      <x:c r="N24" s="103" t="str"/>
      <x:c r="O24" s="103" t="str">
        <x:f>IF(M24="미실행","",IF(M24&lt;&gt;"Y","N",IF(N24=G24,"Y","N")))</x:f>
      </x:c>
      <x:c r="P24" s="103" t="str"/>
      <x:c r="Q24" s="103" t="str">
        <x:f>IF(P24="","",IF(P24=H24,"Y","N"))</x:f>
      </x:c>
      <x:c r="R24" s="103" t="str">
        <x:v>미판정</x:v>
      </x:c>
      <x:c r="S24" s="131" t="str"/>
    </x:row>
    <x:row r="25">
      <x:c r="A25" s="71" t="str">
        <x:v>AF020</x:v>
      </x:c>
      <x:c r="B25" s="72" t="str">
        <x:v>15_생산계획_실적.xlsx</x:v>
      </x:c>
      <x:c r="C25" s="72" t="str">
        <x:v>Calibration</x:v>
      </x:c>
      <x:c r="D25" s="72" t="str">
        <x:v>생산계획·실적·수율 관리</x:v>
      </x:c>
      <x:c r="E25" s="72" t="str">
        <x:v>생산실적</x:v>
      </x:c>
      <x:c r="F25" s="72" t="str">
        <x:v>J56</x:v>
      </x:c>
      <x:c r="G25" s="72" t="str">
        <x:v>FORMULA_PATTERN_GAP</x:v>
      </x:c>
      <x:c r="H25" s="72" t="str">
        <x:v>BLANK_GAP_CANDIDATE</x:v>
      </x:c>
      <x:c r="I25" s="72" t="str">
        <x:v>MEDIUM</x:v>
      </x:c>
      <x:c r="J25" s="72" t="str">
        <x:v>수율 계산열 중간 셀이 비어 있음</x:v>
      </x:c>
      <x:c r="K25" s="72" t="str">
        <x:v>제품별 수율 집계와 품질 추이에서 누락될 수 있음</x:v>
      </x:c>
      <x:c r="L25" s="73" t="str">
        <x:v>J55·J57의 I/E 패턴과 비교</x:v>
      </x:c>
      <x:c r="M25" s="130" t="str">
        <x:v>미실행</x:v>
      </x:c>
      <x:c r="N25" s="103" t="str"/>
      <x:c r="O25" s="103" t="str">
        <x:f>IF(M25="미실행","",IF(M25&lt;&gt;"Y","N",IF(N25=G25,"Y","N")))</x:f>
      </x:c>
      <x:c r="P25" s="103" t="str"/>
      <x:c r="Q25" s="103" t="str">
        <x:f>IF(P25="","",IF(P25=H25,"Y","N"))</x:f>
      </x:c>
      <x:c r="R25" s="103" t="str">
        <x:v>미판정</x:v>
      </x:c>
      <x:c r="S25" s="131" t="str"/>
    </x:row>
    <x:row r="26">
      <x:c r="A26" s="71" t="str">
        <x:v>AF021</x:v>
      </x:c>
      <x:c r="B26" s="72" t="str">
        <x:v>16_근태연차_정산.xlsx</x:v>
      </x:c>
      <x:c r="C26" s="72" t="str">
        <x:v>Calibration</x:v>
      </x:c>
      <x:c r="D26" s="72" t="str">
        <x:v>근태·연차·초과근무 정산</x:v>
      </x:c>
      <x:c r="E26" s="72" t="str">
        <x:v>정산</x:v>
      </x:c>
      <x:c r="F26" s="72" t="str">
        <x:v>F17</x:v>
      </x:c>
      <x:c r="G26" s="72" t="str">
        <x:v>FORMULA_PATTERN_OUTLIER</x:v>
      </x:c>
      <x:c r="H26" s="72" t="str">
        <x:v>FUNCTION_PATTERN_DRIFT</x:v>
      </x:c>
      <x:c r="I26" s="72" t="str">
        <x:v>HIGH</x:v>
      </x:c>
      <x:c r="J26" s="72" t="str">
        <x:v>잔여연차 열에서 발생-사용 대신 SUM 사용</x:v>
      </x:c>
      <x:c r="K26" s="72" t="str">
        <x:v>사용연차가 차감되지 않아 잔여연차가 과대 계산될 수 있음</x:v>
      </x:c>
      <x:c r="L26" s="73" t="str">
        <x:v>F16·F18의 D-E 패턴과 비교</x:v>
      </x:c>
      <x:c r="M26" s="130" t="str">
        <x:v>미실행</x:v>
      </x:c>
      <x:c r="N26" s="103" t="str"/>
      <x:c r="O26" s="103" t="str">
        <x:f>IF(M26="미실행","",IF(M26&lt;&gt;"Y","N",IF(N26=G26,"Y","N")))</x:f>
      </x:c>
      <x:c r="P26" s="103" t="str"/>
      <x:c r="Q26" s="103" t="str">
        <x:f>IF(P26="","",IF(P26=H26,"Y","N"))</x:f>
      </x:c>
      <x:c r="R26" s="103" t="str">
        <x:v>미판정</x:v>
      </x:c>
      <x:c r="S26" s="131" t="str"/>
    </x:row>
    <x:row r="27">
      <x:c r="A27" s="71" t="str">
        <x:v>AF022</x:v>
      </x:c>
      <x:c r="B27" s="72" t="str">
        <x:v>16_근태연차_정산.xlsx</x:v>
      </x:c>
      <x:c r="C27" s="72" t="str">
        <x:v>Calibration</x:v>
      </x:c>
      <x:c r="D27" s="72" t="str">
        <x:v>근태·연차·초과근무 정산</x:v>
      </x:c>
      <x:c r="E27" s="72" t="str">
        <x:v>정산</x:v>
      </x:c>
      <x:c r="F27" s="72" t="str">
        <x:v>G28</x:v>
      </x:c>
      <x:c r="G27" s="72" t="str">
        <x:v>FORMULA_PATTERN_OUTLIER</x:v>
      </x:c>
      <x:c r="H27" s="72" t="str">
        <x:v>RELATIVE_REFERENCE_DRIFT</x:v>
      </x:c>
      <x:c r="I27" s="72" t="str">
        <x:v>HIGH</x:v>
      </x:c>
      <x:c r="J27" s="72" t="str">
        <x:v>초과근무시간 SUMIFS가 현재 직원이 아닌 이전 행 사번을 참조</x:v>
      </x:c>
      <x:c r="K27" s="72" t="str">
        <x:v>다른 직원의 근무시간이 연결될 수 있음</x:v>
      </x:c>
      <x:c r="L27" s="73" t="str">
        <x:v>G27·G29의 현재 행 A 참조와 비교</x:v>
      </x:c>
      <x:c r="M27" s="130" t="str">
        <x:v>미실행</x:v>
      </x:c>
      <x:c r="N27" s="103" t="str"/>
      <x:c r="O27" s="103" t="str">
        <x:f>IF(M27="미실행","",IF(M27&lt;&gt;"Y","N",IF(N27=G27,"Y","N")))</x:f>
      </x:c>
      <x:c r="P27" s="103" t="str"/>
      <x:c r="Q27" s="103" t="str">
        <x:f>IF(P27="","",IF(P27=H27,"Y","N"))</x:f>
      </x:c>
      <x:c r="R27" s="103" t="str">
        <x:v>미판정</x:v>
      </x:c>
      <x:c r="S27" s="131" t="str"/>
    </x:row>
    <x:row r="28">
      <x:c r="A28" s="71" t="str">
        <x:v>AF023</x:v>
      </x:c>
      <x:c r="B28" s="72" t="str">
        <x:v>16_근태연차_정산.xlsx</x:v>
      </x:c>
      <x:c r="C28" s="72" t="str">
        <x:v>Calibration</x:v>
      </x:c>
      <x:c r="D28" s="72" t="str">
        <x:v>근태·연차·초과근무 정산</x:v>
      </x:c>
      <x:c r="E28" s="72" t="str">
        <x:v>정산</x:v>
      </x:c>
      <x:c r="F28" s="72" t="str">
        <x:v>I37</x:v>
      </x:c>
      <x:c r="G28" s="72" t="str">
        <x:v>FORMULA_PATTERN_GAP</x:v>
      </x:c>
      <x:c r="H28" s="72" t="str">
        <x:v>CONSTANT_OVERRIDE_CANDIDATE</x:v>
      </x:c>
      <x:c r="I28" s="72" t="str">
        <x:v>HIGH</x:v>
      </x:c>
      <x:c r="J28" s="72" t="str">
        <x:v>초과근무수당 계산열에 고정 금액 입력</x:v>
      </x:c>
      <x:c r="K28" s="72" t="str">
        <x:v>근무시간·단가 변경이 수당에 반영되지 않음</x:v>
      </x:c>
      <x:c r="L28" s="73" t="str">
        <x:v>I36·I38의 G×H 패턴과 비교</x:v>
      </x:c>
      <x:c r="M28" s="130" t="str">
        <x:v>미실행</x:v>
      </x:c>
      <x:c r="N28" s="103" t="str"/>
      <x:c r="O28" s="103" t="str">
        <x:f>IF(M28="미실행","",IF(M28&lt;&gt;"Y","N",IF(N28=G28,"Y","N")))</x:f>
      </x:c>
      <x:c r="P28" s="103" t="str"/>
      <x:c r="Q28" s="103" t="str">
        <x:f>IF(P28="","",IF(P28=H28,"Y","N"))</x:f>
      </x:c>
      <x:c r="R28" s="103" t="str">
        <x:v>미판정</x:v>
      </x:c>
      <x:c r="S28" s="131" t="str"/>
    </x:row>
    <x:row r="29">
      <x:c r="A29" s="71" t="str">
        <x:v>AF024</x:v>
      </x:c>
      <x:c r="B29" s="72" t="str">
        <x:v>16_근태연차_정산.xlsx</x:v>
      </x:c>
      <x:c r="C29" s="72" t="str">
        <x:v>Calibration</x:v>
      </x:c>
      <x:c r="D29" s="72" t="str">
        <x:v>근태·연차·초과근무 정산</x:v>
      </x:c>
      <x:c r="E29" s="72" t="str">
        <x:v>정산</x:v>
      </x:c>
      <x:c r="F29" s="72" t="str">
        <x:v>K44</x:v>
      </x:c>
      <x:c r="G29" s="72" t="str">
        <x:v>FORMULA_PATTERN_GAP</x:v>
      </x:c>
      <x:c r="H29" s="72" t="str">
        <x:v>BLANK_GAP_CANDIDATE</x:v>
      </x:c>
      <x:c r="I29" s="72" t="str">
        <x:v>MEDIUM</x:v>
      </x:c>
      <x:c r="J29" s="72" t="str">
        <x:v>총지급액 계산열 중간 셀이 비어 있음</x:v>
      </x:c>
      <x:c r="K29" s="72" t="str">
        <x:v>지급총액과 요약 집계에서 누락될 수 있음</x:v>
      </x:c>
      <x:c r="L29" s="73" t="str">
        <x:v>K43·K45의 I+J 패턴과 비교</x:v>
      </x:c>
      <x:c r="M29" s="130" t="str">
        <x:v>미실행</x:v>
      </x:c>
      <x:c r="N29" s="103" t="str"/>
      <x:c r="O29" s="103" t="str">
        <x:f>IF(M29="미실행","",IF(M29&lt;&gt;"Y","N",IF(N29=G29,"Y","N")))</x:f>
      </x:c>
      <x:c r="P29" s="103" t="str"/>
      <x:c r="Q29" s="103" t="str">
        <x:f>IF(P29="","",IF(P29=H29,"Y","N"))</x:f>
      </x:c>
      <x:c r="R29" s="103" t="str">
        <x:v>미판정</x:v>
      </x:c>
      <x:c r="S29" s="131" t="str"/>
    </x:row>
    <x:row r="30">
      <x:c r="A30" s="71" t="str">
        <x:v>AF025</x:v>
      </x:c>
      <x:c r="B30" s="72" t="str">
        <x:v>17_지점별_실적평가.xlsx</x:v>
      </x:c>
      <x:c r="C30" s="72" t="str">
        <x:v>Calibration</x:v>
      </x:c>
      <x:c r="D30" s="72" t="str">
        <x:v>지점별 실적·평가 관리</x:v>
      </x:c>
      <x:c r="E30" s="72" t="str">
        <x:v>지점평가</x:v>
      </x:c>
      <x:c r="F30" s="72" t="str">
        <x:v>C14</x:v>
      </x:c>
      <x:c r="G30" s="72" t="str">
        <x:v>FORMULA_PATTERN_OUTLIER</x:v>
      </x:c>
      <x:c r="H30" s="72" t="str">
        <x:v>RELATIVE_REFERENCE_DRIFT</x:v>
      </x:c>
      <x:c r="I30" s="72" t="str">
        <x:v>HIGH</x:v>
      </x:c>
      <x:c r="J30" s="72" t="str">
        <x:v>매출 SUMIFS가 현재 지점이 아닌 이전 행 지점코드를 참조</x:v>
      </x:c>
      <x:c r="K30" s="72" t="str">
        <x:v>다른 지점 매출이 연결될 수 있음</x:v>
      </x:c>
      <x:c r="L30" s="73" t="str">
        <x:v>C13·C15의 현재 행 A 기준과 비교</x:v>
      </x:c>
      <x:c r="M30" s="130" t="str">
        <x:v>미실행</x:v>
      </x:c>
      <x:c r="N30" s="103" t="str"/>
      <x:c r="O30" s="103" t="str">
        <x:f>IF(M30="미실행","",IF(M30&lt;&gt;"Y","N",IF(N30=G30,"Y","N")))</x:f>
      </x:c>
      <x:c r="P30" s="103" t="str"/>
      <x:c r="Q30" s="103" t="str">
        <x:f>IF(P30="","",IF(P30=H30,"Y","N"))</x:f>
      </x:c>
      <x:c r="R30" s="103" t="str">
        <x:v>미판정</x:v>
      </x:c>
      <x:c r="S30" s="131" t="str"/>
    </x:row>
    <x:row r="31">
      <x:c r="A31" s="71" t="str">
        <x:v>AF026</x:v>
      </x:c>
      <x:c r="B31" s="72" t="str">
        <x:v>17_지점별_실적평가.xlsx</x:v>
      </x:c>
      <x:c r="C31" s="72" t="str">
        <x:v>Calibration</x:v>
      </x:c>
      <x:c r="D31" s="72" t="str">
        <x:v>지점별 실적·평가 관리</x:v>
      </x:c>
      <x:c r="E31" s="72" t="str">
        <x:v>지점평가</x:v>
      </x:c>
      <x:c r="F31" s="72" t="str">
        <x:v>E23</x:v>
      </x:c>
      <x:c r="G31" s="72" t="str">
        <x:v>FORMULA_PATTERN_OUTLIER</x:v>
      </x:c>
      <x:c r="H31" s="72" t="str">
        <x:v>FUNCTION_PATTERN_DRIFT</x:v>
      </x:c>
      <x:c r="I31" s="72" t="str">
        <x:v>HIGH</x:v>
      </x:c>
      <x:c r="J31" s="72" t="str">
        <x:v>이익 열에서 매출-비용 대신 SUM 사용</x:v>
      </x:c>
      <x:c r="K31" s="72" t="str">
        <x:v>비용이 차감되지 않아 이익이 과대 계산될 수 있음</x:v>
      </x:c>
      <x:c r="L31" s="73" t="str">
        <x:v>E22·E24의 C-D 패턴과 비교</x:v>
      </x:c>
      <x:c r="M31" s="130" t="str">
        <x:v>미실행</x:v>
      </x:c>
      <x:c r="N31" s="103" t="str"/>
      <x:c r="O31" s="103" t="str">
        <x:f>IF(M31="미실행","",IF(M31&lt;&gt;"Y","N",IF(N31=G31,"Y","N")))</x:f>
      </x:c>
      <x:c r="P31" s="103" t="str"/>
      <x:c r="Q31" s="103" t="str">
        <x:f>IF(P31="","",IF(P31=H31,"Y","N"))</x:f>
      </x:c>
      <x:c r="R31" s="103" t="str">
        <x:v>미판정</x:v>
      </x:c>
      <x:c r="S31" s="131" t="str"/>
    </x:row>
    <x:row r="32">
      <x:c r="A32" s="71" t="str">
        <x:v>AF027</x:v>
      </x:c>
      <x:c r="B32" s="72" t="str">
        <x:v>17_지점별_실적평가.xlsx</x:v>
      </x:c>
      <x:c r="C32" s="72" t="str">
        <x:v>Calibration</x:v>
      </x:c>
      <x:c r="D32" s="72" t="str">
        <x:v>지점별 실적·평가 관리</x:v>
      </x:c>
      <x:c r="E32" s="72" t="str">
        <x:v>지점평가</x:v>
      </x:c>
      <x:c r="F32" s="72" t="str">
        <x:v>H31</x:v>
      </x:c>
      <x:c r="G32" s="72" t="str">
        <x:v>FORMULA_PATTERN_GAP</x:v>
      </x:c>
      <x:c r="H32" s="72" t="str">
        <x:v>CONSTANT_OVERRIDE_CANDIDATE</x:v>
      </x:c>
      <x:c r="I32" s="72" t="str">
        <x:v>MEDIUM</x:v>
      </x:c>
      <x:c r="J32" s="72" t="str">
        <x:v>평가점수 계산열에 고정 점수 입력</x:v>
      </x:c>
      <x:c r="K32" s="72" t="str">
        <x:v>매출·마진 변경이 평가점수에 반영되지 않음</x:v>
      </x:c>
      <x:c r="L32" s="73" t="str">
        <x:v>H30·H32의 F·G 가중합 패턴과 비교</x:v>
      </x:c>
      <x:c r="M32" s="130" t="str">
        <x:v>미실행</x:v>
      </x:c>
      <x:c r="N32" s="103" t="str"/>
      <x:c r="O32" s="103" t="str">
        <x:f>IF(M32="미실행","",IF(M32&lt;&gt;"Y","N",IF(N32=G32,"Y","N")))</x:f>
      </x:c>
      <x:c r="P32" s="103" t="str"/>
      <x:c r="Q32" s="103" t="str">
        <x:f>IF(P32="","",IF(P32=H32,"Y","N"))</x:f>
      </x:c>
      <x:c r="R32" s="103" t="str">
        <x:v>미판정</x:v>
      </x:c>
      <x:c r="S32" s="131" t="str"/>
    </x:row>
    <x:row r="33">
      <x:c r="A33" s="71" t="str">
        <x:v>AF028</x:v>
      </x:c>
      <x:c r="B33" s="72" t="str">
        <x:v>17_지점별_실적평가.xlsx</x:v>
      </x:c>
      <x:c r="C33" s="72" t="str">
        <x:v>Calibration</x:v>
      </x:c>
      <x:c r="D33" s="72" t="str">
        <x:v>지점별 실적·평가 관리</x:v>
      </x:c>
      <x:c r="E33" s="72" t="str">
        <x:v>지점평가</x:v>
      </x:c>
      <x:c r="F33" s="72" t="str">
        <x:v>I38</x:v>
      </x:c>
      <x:c r="G33" s="72" t="str">
        <x:v>FORMULA_PATTERN_GAP</x:v>
      </x:c>
      <x:c r="H33" s="72" t="str">
        <x:v>BLANK_GAP_CANDIDATE</x:v>
      </x:c>
      <x:c r="I33" s="72" t="str">
        <x:v>MEDIUM</x:v>
      </x:c>
      <x:c r="J33" s="72" t="str">
        <x:v>등급 계산열 중간 셀이 비어 있음</x:v>
      </x:c>
      <x:c r="K33" s="72" t="str">
        <x:v>등급별 인원과 평가보고에서 누락될 수 있음</x:v>
      </x:c>
      <x:c r="L33" s="73" t="str">
        <x:v>I37·I39의 IF 등급식과 비교</x:v>
      </x:c>
      <x:c r="M33" s="130" t="str">
        <x:v>미실행</x:v>
      </x:c>
      <x:c r="N33" s="103" t="str"/>
      <x:c r="O33" s="103" t="str">
        <x:f>IF(M33="미실행","",IF(M33&lt;&gt;"Y","N",IF(N33=G33,"Y","N")))</x:f>
      </x:c>
      <x:c r="P33" s="103" t="str"/>
      <x:c r="Q33" s="103" t="str">
        <x:f>IF(P33="","",IF(P33=H33,"Y","N"))</x:f>
      </x:c>
      <x:c r="R33" s="103" t="str">
        <x:v>미판정</x:v>
      </x:c>
      <x:c r="S33" s="131" t="str"/>
    </x:row>
    <x:row r="34">
      <x:c r="A34" s="71" t="str">
        <x:v>AF029</x:v>
      </x:c>
      <x:c r="B34" s="72" t="str">
        <x:v>18_공통비_원가배부.xlsx</x:v>
      </x:c>
      <x:c r="C34" s="72" t="str">
        <x:v>Calibration</x:v>
      </x:c>
      <x:c r="D34" s="72" t="str">
        <x:v>부서별 공통비 원가배부</x:v>
      </x:c>
      <x:c r="E34" s="72" t="str">
        <x:v>배부계산</x:v>
      </x:c>
      <x:c r="F34" s="72" t="str">
        <x:v>E13</x:v>
      </x:c>
      <x:c r="G34" s="72" t="str">
        <x:v>FORMULA_PATTERN_OUTLIER</x:v>
      </x:c>
      <x:c r="H34" s="72" t="str">
        <x:v>RELATIVE_REFERENCE_DRIFT</x:v>
      </x:c>
      <x:c r="I34" s="72" t="str">
        <x:v>HIGH</x:v>
      </x:c>
      <x:c r="J34" s="72" t="str">
        <x:v>기준합계 SUMIF가 현재 공통비코드가 아닌 이전 행 코드를 참조</x:v>
      </x:c>
      <x:c r="K34" s="72" t="str">
        <x:v>다른 배부항목의 기준합계가 사용될 수 있음</x:v>
      </x:c>
      <x:c r="L34" s="73" t="str">
        <x:v>E12·E14의 현재 행 A 참조와 비교</x:v>
      </x:c>
      <x:c r="M34" s="130" t="str">
        <x:v>미실행</x:v>
      </x:c>
      <x:c r="N34" s="103" t="str"/>
      <x:c r="O34" s="103" t="str">
        <x:f>IF(M34="미실행","",IF(M34&lt;&gt;"Y","N",IF(N34=G34,"Y","N")))</x:f>
      </x:c>
      <x:c r="P34" s="103" t="str"/>
      <x:c r="Q34" s="103" t="str">
        <x:f>IF(P34="","",IF(P34=H34,"Y","N"))</x:f>
      </x:c>
      <x:c r="R34" s="103" t="str">
        <x:v>미판정</x:v>
      </x:c>
      <x:c r="S34" s="131" t="str"/>
    </x:row>
    <x:row r="35">
      <x:c r="A35" s="71" t="str">
        <x:v>AF030</x:v>
      </x:c>
      <x:c r="B35" s="72" t="str">
        <x:v>18_공통비_원가배부.xlsx</x:v>
      </x:c>
      <x:c r="C35" s="72" t="str">
        <x:v>Calibration</x:v>
      </x:c>
      <x:c r="D35" s="72" t="str">
        <x:v>부서별 공통비 원가배부</x:v>
      </x:c>
      <x:c r="E35" s="72" t="str">
        <x:v>배부계산</x:v>
      </x:c>
      <x:c r="F35" s="72" t="str">
        <x:v>F22</x:v>
      </x:c>
      <x:c r="G35" s="72" t="str">
        <x:v>FORMULA_PATTERN_OUTLIER</x:v>
      </x:c>
      <x:c r="H35" s="72" t="str">
        <x:v>FUNCTION_PATTERN_DRIFT</x:v>
      </x:c>
      <x:c r="I35" s="72" t="str">
        <x:v>HIGH</x:v>
      </x:c>
      <x:c r="J35" s="72" t="str">
        <x:v>배부비율 열에서 나눗셈 대신 SUM 사용</x:v>
      </x:c>
      <x:c r="K35" s="72" t="str">
        <x:v>배부비율이 비정상적으로 커져 원가가 왜곡될 수 있음</x:v>
      </x:c>
      <x:c r="L35" s="73" t="str">
        <x:v>F21·F23의 D/E 패턴과 비교</x:v>
      </x:c>
      <x:c r="M35" s="130" t="str">
        <x:v>미실행</x:v>
      </x:c>
      <x:c r="N35" s="103" t="str"/>
      <x:c r="O35" s="103" t="str">
        <x:f>IF(M35="미실행","",IF(M35&lt;&gt;"Y","N",IF(N35=G35,"Y","N")))</x:f>
      </x:c>
      <x:c r="P35" s="103" t="str"/>
      <x:c r="Q35" s="103" t="str">
        <x:f>IF(P35="","",IF(P35=H35,"Y","N"))</x:f>
      </x:c>
      <x:c r="R35" s="103" t="str">
        <x:v>미판정</x:v>
      </x:c>
      <x:c r="S35" s="131" t="str"/>
    </x:row>
    <x:row r="36">
      <x:c r="A36" s="71" t="str">
        <x:v>AF031</x:v>
      </x:c>
      <x:c r="B36" s="72" t="str">
        <x:v>18_공통비_원가배부.xlsx</x:v>
      </x:c>
      <x:c r="C36" s="72" t="str">
        <x:v>Calibration</x:v>
      </x:c>
      <x:c r="D36" s="72" t="str">
        <x:v>부서별 공통비 원가배부</x:v>
      </x:c>
      <x:c r="E36" s="72" t="str">
        <x:v>배부계산</x:v>
      </x:c>
      <x:c r="F36" s="72" t="str">
        <x:v>G31</x:v>
      </x:c>
      <x:c r="G36" s="72" t="str">
        <x:v>FORMULA_PATTERN_GAP</x:v>
      </x:c>
      <x:c r="H36" s="72" t="str">
        <x:v>CONSTANT_OVERRIDE_CANDIDATE</x:v>
      </x:c>
      <x:c r="I36" s="72" t="str">
        <x:v>HIGH</x:v>
      </x:c>
      <x:c r="J36" s="72" t="str">
        <x:v>배부금액 열에 고정 금액 입력</x:v>
      </x:c>
      <x:c r="K36" s="72" t="str">
        <x:v>공통비나 배부비율 변경이 반영되지 않음</x:v>
      </x:c>
      <x:c r="L36" s="73" t="str">
        <x:v>G30·G32의 C×F 패턴과 비교</x:v>
      </x:c>
      <x:c r="M36" s="130" t="str">
        <x:v>미실행</x:v>
      </x:c>
      <x:c r="N36" s="103" t="str"/>
      <x:c r="O36" s="103" t="str">
        <x:f>IF(M36="미실행","",IF(M36&lt;&gt;"Y","N",IF(N36=G36,"Y","N")))</x:f>
      </x:c>
      <x:c r="P36" s="103" t="str"/>
      <x:c r="Q36" s="103" t="str">
        <x:f>IF(P36="","",IF(P36=H36,"Y","N"))</x:f>
      </x:c>
      <x:c r="R36" s="103" t="str">
        <x:v>미판정</x:v>
      </x:c>
      <x:c r="S36" s="131" t="str"/>
    </x:row>
    <x:row r="37">
      <x:c r="A37" s="71" t="str">
        <x:v>AF032</x:v>
      </x:c>
      <x:c r="B37" s="72" t="str">
        <x:v>18_공통비_원가배부.xlsx</x:v>
      </x:c>
      <x:c r="C37" s="72" t="str">
        <x:v>Calibration</x:v>
      </x:c>
      <x:c r="D37" s="72" t="str">
        <x:v>부서별 공통비 원가배부</x:v>
      </x:c>
      <x:c r="E37" s="72" t="str">
        <x:v>배부계산</x:v>
      </x:c>
      <x:c r="F37" s="72" t="str">
        <x:v>I40</x:v>
      </x:c>
      <x:c r="G37" s="72" t="str">
        <x:v>FORMULA_PATTERN_GAP</x:v>
      </x:c>
      <x:c r="H37" s="72" t="str">
        <x:v>BLANK_GAP_CANDIDATE</x:v>
      </x:c>
      <x:c r="I37" s="72" t="str">
        <x:v>MEDIUM</x:v>
      </x:c>
      <x:c r="J37" s="72" t="str">
        <x:v>검증차이 계산열 중간 셀이 비어 있음</x:v>
      </x:c>
      <x:c r="K37" s="72" t="str">
        <x:v>배부 총액과 공통비 일치 여부 확인에서 누락될 수 있음</x:v>
      </x:c>
      <x:c r="L37" s="73" t="str">
        <x:v>I39·I41의 H-C 패턴과 비교</x:v>
      </x:c>
      <x:c r="M37" s="130" t="str">
        <x:v>미실행</x:v>
      </x:c>
      <x:c r="N37" s="103" t="str"/>
      <x:c r="O37" s="103" t="str">
        <x:f>IF(M37="미실행","",IF(M37&lt;&gt;"Y","N",IF(N37=G37,"Y","N")))</x:f>
      </x:c>
      <x:c r="P37" s="103" t="str"/>
      <x:c r="Q37" s="103" t="str">
        <x:f>IF(P37="","",IF(P37=H37,"Y","N"))</x:f>
      </x:c>
      <x:c r="R37" s="103" t="str">
        <x:v>미판정</x:v>
      </x:c>
      <x:c r="S37" s="131" t="str"/>
    </x:row>
    <x:row r="38">
      <x:c r="A38" s="71" t="str">
        <x:v>AF033</x:v>
      </x:c>
      <x:c r="B38" s="72" t="str">
        <x:v>19_계정잔액_대사.xlsx</x:v>
      </x:c>
      <x:c r="C38" s="72" t="str">
        <x:v>Holdout</x:v>
      </x:c>
      <x:c r="D38" s="72" t="str">
        <x:v>총계정원장·보조부 계정잔액 대사</x:v>
      </x:c>
      <x:c r="E38" s="72" t="str">
        <x:v>대사표</x:v>
      </x:c>
      <x:c r="F38" s="72" t="str">
        <x:v>B15</x:v>
      </x:c>
      <x:c r="G38" s="72" t="str">
        <x:v>FORMULA_PATTERN_OUTLIER</x:v>
      </x:c>
      <x:c r="H38" s="72" t="str">
        <x:v>RELATIVE_REFERENCE_DRIFT</x:v>
      </x:c>
      <x:c r="I38" s="72" t="str">
        <x:v>HIGH</x:v>
      </x:c>
      <x:c r="J38" s="72" t="str">
        <x:v>GL잔액 SUMIFS가 현재 계정이 아닌 이전 행 계정코드를 참조</x:v>
      </x:c>
      <x:c r="K38" s="72" t="str">
        <x:v>다른 계정의 총계정원장 잔액이 연결될 수 있음</x:v>
      </x:c>
      <x:c r="L38" s="73" t="str">
        <x:v>B14·B16의 현재 행 A 기준과 비교</x:v>
      </x:c>
      <x:c r="M38" s="130" t="str">
        <x:v>미실행</x:v>
      </x:c>
      <x:c r="N38" s="103" t="str"/>
      <x:c r="O38" s="103" t="str">
        <x:f>IF(M38="미실행","",IF(M38&lt;&gt;"Y","N",IF(N38=G38,"Y","N")))</x:f>
      </x:c>
      <x:c r="P38" s="103" t="str"/>
      <x:c r="Q38" s="103" t="str">
        <x:f>IF(P38="","",IF(P38=H38,"Y","N"))</x:f>
      </x:c>
      <x:c r="R38" s="103" t="str">
        <x:v>미판정</x:v>
      </x:c>
      <x:c r="S38" s="131" t="str"/>
    </x:row>
    <x:row r="39">
      <x:c r="A39" s="71" t="str">
        <x:v>AF034</x:v>
      </x:c>
      <x:c r="B39" s="72" t="str">
        <x:v>19_계정잔액_대사.xlsx</x:v>
      </x:c>
      <x:c r="C39" s="72" t="str">
        <x:v>Holdout</x:v>
      </x:c>
      <x:c r="D39" s="72" t="str">
        <x:v>총계정원장·보조부 계정잔액 대사</x:v>
      </x:c>
      <x:c r="E39" s="72" t="str">
        <x:v>대사표</x:v>
      </x:c>
      <x:c r="F39" s="72" t="str">
        <x:v>D27</x:v>
      </x:c>
      <x:c r="G39" s="72" t="str">
        <x:v>FORMULA_PATTERN_OUTLIER</x:v>
      </x:c>
      <x:c r="H39" s="72" t="str">
        <x:v>FUNCTION_PATTERN_DRIFT</x:v>
      </x:c>
      <x:c r="I39" s="72" t="str">
        <x:v>HIGH</x:v>
      </x:c>
      <x:c r="J39" s="72" t="str">
        <x:v>차이 열에서 GL-보조부 대신 SUM 사용</x:v>
      </x:c>
      <x:c r="K39" s="72" t="str">
        <x:v>차이가 상쇄되지 않고 합산되어 대사상태가 왜곡될 수 있음</x:v>
      </x:c>
      <x:c r="L39" s="73" t="str">
        <x:v>D26·D28의 B-C 패턴과 비교</x:v>
      </x:c>
      <x:c r="M39" s="130" t="str">
        <x:v>미실행</x:v>
      </x:c>
      <x:c r="N39" s="103" t="str"/>
      <x:c r="O39" s="103" t="str">
        <x:f>IF(M39="미실행","",IF(M39&lt;&gt;"Y","N",IF(N39=G39,"Y","N")))</x:f>
      </x:c>
      <x:c r="P39" s="103" t="str"/>
      <x:c r="Q39" s="103" t="str">
        <x:f>IF(P39="","",IF(P39=H39,"Y","N"))</x:f>
      </x:c>
      <x:c r="R39" s="103" t="str">
        <x:v>미판정</x:v>
      </x:c>
      <x:c r="S39" s="131" t="str"/>
    </x:row>
    <x:row r="40">
      <x:c r="A40" s="71" t="str">
        <x:v>AF035</x:v>
      </x:c>
      <x:c r="B40" s="72" t="str">
        <x:v>19_계정잔액_대사.xlsx</x:v>
      </x:c>
      <x:c r="C40" s="72" t="str">
        <x:v>Holdout</x:v>
      </x:c>
      <x:c r="D40" s="72" t="str">
        <x:v>총계정원장·보조부 계정잔액 대사</x:v>
      </x:c>
      <x:c r="E40" s="72" t="str">
        <x:v>대사표</x:v>
      </x:c>
      <x:c r="F40" s="72" t="str">
        <x:v>E39</x:v>
      </x:c>
      <x:c r="G40" s="72" t="str">
        <x:v>FORMULA_PATTERN_GAP</x:v>
      </x:c>
      <x:c r="H40" s="72" t="str">
        <x:v>CONSTANT_OVERRIDE_CANDIDATE</x:v>
      </x:c>
      <x:c r="I40" s="72" t="str">
        <x:v>MEDIUM</x:v>
      </x:c>
      <x:c r="J40" s="72" t="str">
        <x:v>절대차이 열에 고정 금액 입력</x:v>
      </x:c>
      <x:c r="K40" s="72" t="str">
        <x:v>GL·보조부 잔액 변경이 반영되지 않음</x:v>
      </x:c>
      <x:c r="L40" s="73" t="str">
        <x:v>E38·E40의 ABS(D) 패턴과 비교</x:v>
      </x:c>
      <x:c r="M40" s="130" t="str">
        <x:v>미실행</x:v>
      </x:c>
      <x:c r="N40" s="103" t="str"/>
      <x:c r="O40" s="103" t="str">
        <x:f>IF(M40="미실행","",IF(M40&lt;&gt;"Y","N",IF(N40=G40,"Y","N")))</x:f>
      </x:c>
      <x:c r="P40" s="103" t="str"/>
      <x:c r="Q40" s="103" t="str">
        <x:f>IF(P40="","",IF(P40=H40,"Y","N"))</x:f>
      </x:c>
      <x:c r="R40" s="103" t="str">
        <x:v>미판정</x:v>
      </x:c>
      <x:c r="S40" s="131" t="str"/>
    </x:row>
    <x:row r="41">
      <x:c r="A41" s="74" t="str">
        <x:v>AF036</x:v>
      </x:c>
      <x:c r="B41" s="75" t="str">
        <x:v>19_계정잔액_대사.xlsx</x:v>
      </x:c>
      <x:c r="C41" s="75" t="str">
        <x:v>Holdout</x:v>
      </x:c>
      <x:c r="D41" s="75" t="str">
        <x:v>총계정원장·보조부 계정잔액 대사</x:v>
      </x:c>
      <x:c r="E41" s="75" t="str">
        <x:v>대사표</x:v>
      </x:c>
      <x:c r="F41" s="75" t="str">
        <x:v>G46</x:v>
      </x:c>
      <x:c r="G41" s="75" t="str">
        <x:v>FORMULA_PATTERN_GAP</x:v>
      </x:c>
      <x:c r="H41" s="75" t="str">
        <x:v>BLANK_GAP_CANDIDATE</x:v>
      </x:c>
      <x:c r="I41" s="75" t="str">
        <x:v>MEDIUM</x:v>
      </x:c>
      <x:c r="J41" s="75" t="str">
        <x:v>대사상태 계산열 중간 셀이 비어 있음</x:v>
      </x:c>
      <x:c r="K41" s="75" t="str">
        <x:v>확인 필요 계정 집계에서 누락될 수 있음</x:v>
      </x:c>
      <x:c r="L41" s="76" t="str">
        <x:v>G45·G47의 IF 상태식과 비교</x:v>
      </x:c>
      <x:c r="M41" s="132" t="str">
        <x:v>미실행</x:v>
      </x:c>
      <x:c r="N41" s="133" t="str"/>
      <x:c r="O41" s="133" t="str">
        <x:f>IF(M41="미실행","",IF(M41&lt;&gt;"Y","N",IF(N41=G41,"Y","N")))</x:f>
      </x:c>
      <x:c r="P41" s="133" t="str"/>
      <x:c r="Q41" s="133" t="str">
        <x:f>IF(P41="","",IF(P41=H41,"Y","N"))</x:f>
      </x:c>
      <x:c r="R41" s="133" t="str">
        <x:v>미판정</x:v>
      </x:c>
      <x:c r="S41" s="134" t="str"/>
    </x:row>
  </x:sheetData>
  <x:mergeCells>
    <x:mergeCell ref="A1:S1"/>
    <x:mergeCell ref="A2:S2"/>
    <x:mergeCell ref="A3:S3"/>
  </x:mergeCells>
  <x:conditionalFormatting sqref="I6:I41">
    <x:cfRule type="expression" dxfId="2" priority="1">
      <x:formula>I6="HIGH"</x:formula>
    </x:cfRule>
  </x:conditionalFormatting>
  <x:conditionalFormatting sqref="M6:M41">
    <x:cfRule type="expression" dxfId="3" priority="2">
      <x:formula>M6="Y"</x:formula>
    </x:cfRule>
    <x:cfRule type="expression" dxfId="4" priority="3">
      <x:formula>M6="N"</x:formula>
    </x:cfRule>
  </x:conditionalFormatting>
  <x:dataValidations count="2">
    <x:dataValidation type="list" sqref="M6:M41">
      <x:formula1>"미실행,Y,N,판단불가"</x:formula1>
    </x:dataValidation>
    <x:dataValidation type="list" sqref="R6:R41">
      <x:formula1>"미판정,실제 이상 후보,정상 패턴,판단 불가,업무 규칙 확인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e41042906d43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28" hidden="0" customWidth="1"/>
    <x:col min="5" max="5" width="18" hidden="0" customWidth="1"/>
    <x:col min="6" max="6" width="16" hidden="0" customWidth="1"/>
    <x:col min="7" max="7" width="30" hidden="0" customWidth="1"/>
    <x:col min="8" max="8" width="46" hidden="0" customWidth="1"/>
    <x:col min="9" max="9" width="12" hidden="0" customWidth="1"/>
    <x:col min="10" max="10" width="12" hidden="0" customWidth="1"/>
    <x:col min="11" max="11" width="20" hidden="0" customWidth="1"/>
    <x:col min="12" max="12" width="30" hidden="0" customWidth="1"/>
  </x:cols>
  <x:sheetData>
    <x:row r="1" ht="30" customHeight="1">
      <x:c r="A1" s="5" t="str">
        <x:v>정상 예외 36건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탐지되면 False Positive 후보로 기록할 정상 구조입니다.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5" ht="28" customHeight="1">
      <x:c r="A5" s="33" t="str">
        <x:v>ID</x:v>
      </x:c>
      <x:c r="B5" s="34" t="str">
        <x:v>샘플 파일</x:v>
      </x:c>
      <x:c r="C5" s="34" t="str">
        <x:v>용도</x:v>
      </x:c>
      <x:c r="D5" s="34" t="str">
        <x:v>시나리오</x:v>
      </x:c>
      <x:c r="E5" s="34" t="str">
        <x:v>Sheet</x:v>
      </x:c>
      <x:c r="F5" s="34" t="str">
        <x:v>Cell/Range</x:v>
      </x:c>
      <x:c r="G5" s="34" t="str">
        <x:v>예외 유형</x:v>
      </x:c>
      <x:c r="H5" s="34" t="str">
        <x:v>정상 사유</x:v>
      </x:c>
      <x:c r="I5" s="34" t="str">
        <x:v>실제 탐지</x:v>
      </x:c>
      <x:c r="J5" s="34" t="str">
        <x:v>오탐 여부</x:v>
      </x:c>
      <x:c r="K5" s="34" t="str">
        <x:v>전문가 판정</x:v>
      </x:c>
      <x:c r="L5" s="35" t="str">
        <x:v>메모</x:v>
      </x:c>
    </x:row>
    <x:row r="6">
      <x:c r="A6" s="68" t="str">
        <x:v>AN001</x:v>
      </x:c>
      <x:c r="B6" s="69" t="str">
        <x:v>11_구매발주_관리.xlsx</x:v>
      </x:c>
      <x:c r="C6" s="69" t="str">
        <x:v>Calibration</x:v>
      </x:c>
      <x:c r="D6" s="69" t="str">
        <x:v>구매·발주 및 미입고 관리</x:v>
      </x:c>
      <x:c r="E6" s="69" t="str">
        <x:v>발주내역</x:v>
      </x:c>
      <x:c r="F6" s="69" t="str">
        <x:v>E66:I66</x:v>
      </x:c>
      <x:c r="G6" s="69" t="str">
        <x:v>SUBTOTAL_ROW</x:v>
      </x:c>
      <x:c r="H6" s="70" t="str">
        <x:v>전체 발주 소계</x:v>
      </x:c>
      <x:c r="I6" s="127" t="str">
        <x:v>미실행</x:v>
      </x:c>
      <x:c r="J6" s="128" t="str">
        <x:f>IF(I6="미실행","",IF(I6="Y","FP",IF(I6="N","정상","판단불가")))</x:f>
      </x:c>
      <x:c r="K6" s="128" t="str">
        <x:v>미판정</x:v>
      </x:c>
      <x:c r="L6" s="129" t="str"/>
    </x:row>
    <x:row r="7">
      <x:c r="A7" s="71" t="str">
        <x:v>AN002</x:v>
      </x:c>
      <x:c r="B7" s="72" t="str">
        <x:v>11_구매발주_관리.xlsx</x:v>
      </x:c>
      <x:c r="C7" s="72" t="str">
        <x:v>Calibration</x:v>
      </x:c>
      <x:c r="D7" s="72" t="str">
        <x:v>구매·발주 및 미입고 관리</x:v>
      </x:c>
      <x:c r="E7" s="72" t="str">
        <x:v>발주내역</x:v>
      </x:c>
      <x:c r="F7" s="72" t="str">
        <x:v>E67:I67</x:v>
      </x:c>
      <x:c r="G7" s="72" t="str">
        <x:v>MANUAL_ADJUSTMENT_ROW</x:v>
      </x:c>
      <x:c r="H7" s="73" t="str">
        <x:v>긴급발주 수기 조정</x:v>
      </x:c>
      <x:c r="I7" s="130" t="str">
        <x:v>미실행</x:v>
      </x:c>
      <x:c r="J7" s="103" t="str">
        <x:f>IF(I7="미실행","",IF(I7="Y","FP",IF(I7="N","정상","판단불가")))</x:f>
      </x:c>
      <x:c r="K7" s="103" t="str">
        <x:v>미판정</x:v>
      </x:c>
      <x:c r="L7" s="131" t="str"/>
    </x:row>
    <x:row r="8">
      <x:c r="A8" s="71" t="str">
        <x:v>AN003</x:v>
      </x:c>
      <x:c r="B8" s="72" t="str">
        <x:v>11_구매발주_관리.xlsx</x:v>
      </x:c>
      <x:c r="C8" s="72" t="str">
        <x:v>Calibration</x:v>
      </x:c>
      <x:c r="D8" s="72" t="str">
        <x:v>구매·발주 및 미입고 관리</x:v>
      </x:c>
      <x:c r="E8" s="72" t="str">
        <x:v>발주내역</x:v>
      </x:c>
      <x:c r="F8" s="72" t="str">
        <x:v>E68:I68</x:v>
      </x:c>
      <x:c r="G8" s="72" t="str">
        <x:v>GRAND_TOTAL_ROW</x:v>
      </x:c>
      <x:c r="H8" s="73" t="str">
        <x:v>소계와 조정의 최종 합계</x:v>
      </x:c>
      <x:c r="I8" s="130" t="str">
        <x:v>미실행</x:v>
      </x:c>
      <x:c r="J8" s="103" t="str">
        <x:f>IF(I8="미실행","",IF(I8="Y","FP",IF(I8="N","정상","판단불가")))</x:f>
      </x:c>
      <x:c r="K8" s="103" t="str">
        <x:v>미판정</x:v>
      </x:c>
      <x:c r="L8" s="131" t="str"/>
    </x:row>
    <x:row r="9">
      <x:c r="A9" s="71" t="str">
        <x:v>AN004</x:v>
      </x:c>
      <x:c r="B9" s="72" t="str">
        <x:v>12_현금흐름_자금계획.xlsx</x:v>
      </x:c>
      <x:c r="C9" s="72" t="str">
        <x:v>Calibration</x:v>
      </x:c>
      <x:c r="D9" s="72" t="str">
        <x:v>일별 현금흐름·자금계획</x:v>
      </x:c>
      <x:c r="E9" s="72" t="str">
        <x:v>자금계획</x:v>
      </x:c>
      <x:c r="F9" s="72" t="str">
        <x:v>F6</x:v>
      </x:c>
      <x:c r="G9" s="72" t="str">
        <x:v>FIRST_PERIOD_SEED</x:v>
      </x:c>
      <x:c r="H9" s="73" t="str">
        <x:v>첫 행 기초잔액은 설정값을 직접 참조</x:v>
      </x:c>
      <x:c r="I9" s="130" t="str">
        <x:v>미실행</x:v>
      </x:c>
      <x:c r="J9" s="103" t="str">
        <x:f>IF(I9="미실행","",IF(I9="Y","FP",IF(I9="N","정상","판단불가")))</x:f>
      </x:c>
      <x:c r="K9" s="103" t="str">
        <x:v>미판정</x:v>
      </x:c>
      <x:c r="L9" s="131" t="str"/>
    </x:row>
    <x:row r="10">
      <x:c r="A10" s="71" t="str">
        <x:v>AN005</x:v>
      </x:c>
      <x:c r="B10" s="72" t="str">
        <x:v>12_현금흐름_자금계획.xlsx</x:v>
      </x:c>
      <x:c r="C10" s="72" t="str">
        <x:v>Calibration</x:v>
      </x:c>
      <x:c r="D10" s="72" t="str">
        <x:v>일별 현금흐름·자금계획</x:v>
      </x:c>
      <x:c r="E10" s="72" t="str">
        <x:v>자금계획</x:v>
      </x:c>
      <x:c r="F10" s="72" t="str">
        <x:v>C66:E66</x:v>
      </x:c>
      <x:c r="G10" s="72" t="str">
        <x:v>SUBTOTAL_ROW</x:v>
      </x:c>
      <x:c r="H10" s="73" t="str">
        <x:v>월간 입출금 소계</x:v>
      </x:c>
      <x:c r="I10" s="130" t="str">
        <x:v>미실행</x:v>
      </x:c>
      <x:c r="J10" s="103" t="str">
        <x:f>IF(I10="미실행","",IF(I10="Y","FP",IF(I10="N","정상","판단불가")))</x:f>
      </x:c>
      <x:c r="K10" s="103" t="str">
        <x:v>미판정</x:v>
      </x:c>
      <x:c r="L10" s="131" t="str"/>
    </x:row>
    <x:row r="11">
      <x:c r="A11" s="71" t="str">
        <x:v>AN006</x:v>
      </x:c>
      <x:c r="B11" s="72" t="str">
        <x:v>12_현금흐름_자금계획.xlsx</x:v>
      </x:c>
      <x:c r="C11" s="72" t="str">
        <x:v>Calibration</x:v>
      </x:c>
      <x:c r="D11" s="72" t="str">
        <x:v>일별 현금흐름·자금계획</x:v>
      </x:c>
      <x:c r="E11" s="72" t="str">
        <x:v>자금계획</x:v>
      </x:c>
      <x:c r="F11" s="72" t="str">
        <x:v>C67:G68</x:v>
      </x:c>
      <x:c r="G11" s="72" t="str">
        <x:v>FINANCING_ADJUSTMENT</x:v>
      </x:c>
      <x:c r="H11" s="73" t="str">
        <x:v>차입금 수기 조정과 조정 후 합계</x:v>
      </x:c>
      <x:c r="I11" s="130" t="str">
        <x:v>미실행</x:v>
      </x:c>
      <x:c r="J11" s="103" t="str">
        <x:f>IF(I11="미실행","",IF(I11="Y","FP",IF(I11="N","정상","판단불가")))</x:f>
      </x:c>
      <x:c r="K11" s="103" t="str">
        <x:v>미판정</x:v>
      </x:c>
      <x:c r="L11" s="131" t="str"/>
    </x:row>
    <x:row r="12">
      <x:c r="A12" s="71" t="str">
        <x:v>AN007</x:v>
      </x:c>
      <x:c r="B12" s="72" t="str">
        <x:v>13_고정자산_감가상각.xlsx</x:v>
      </x:c>
      <x:c r="C12" s="72" t="str">
        <x:v>Calibration</x:v>
      </x:c>
      <x:c r="D12" s="72" t="str">
        <x:v>고정자산·감가상각 관리</x:v>
      </x:c>
      <x:c r="E12" s="72" t="str">
        <x:v>자산대장</x:v>
      </x:c>
      <x:c r="F12" s="72" t="str">
        <x:v>D56:I56</x:v>
      </x:c>
      <x:c r="G12" s="72" t="str">
        <x:v>SUBTOTAL_ROW</x:v>
      </x:c>
      <x:c r="H12" s="73" t="str">
        <x:v>자산 전체 소계</x:v>
      </x:c>
      <x:c r="I12" s="130" t="str">
        <x:v>미실행</x:v>
      </x:c>
      <x:c r="J12" s="103" t="str">
        <x:f>IF(I12="미실행","",IF(I12="Y","FP",IF(I12="N","정상","판단불가")))</x:f>
      </x:c>
      <x:c r="K12" s="103" t="str">
        <x:v>미판정</x:v>
      </x:c>
      <x:c r="L12" s="131" t="str"/>
    </x:row>
    <x:row r="13">
      <x:c r="A13" s="71" t="str">
        <x:v>AN008</x:v>
      </x:c>
      <x:c r="B13" s="72" t="str">
        <x:v>13_고정자산_감가상각.xlsx</x:v>
      </x:c>
      <x:c r="C13" s="72" t="str">
        <x:v>Calibration</x:v>
      </x:c>
      <x:c r="D13" s="72" t="str">
        <x:v>고정자산·감가상각 관리</x:v>
      </x:c>
      <x:c r="E13" s="72" t="str">
        <x:v>자산대장</x:v>
      </x:c>
      <x:c r="F13" s="72" t="str">
        <x:v>D57:I57</x:v>
      </x:c>
      <x:c r="G13" s="72" t="str">
        <x:v>DISPOSAL_ADJUSTMENT</x:v>
      </x:c>
      <x:c r="H13" s="73" t="str">
        <x:v>처분 자산 수기 조정</x:v>
      </x:c>
      <x:c r="I13" s="130" t="str">
        <x:v>미실행</x:v>
      </x:c>
      <x:c r="J13" s="103" t="str">
        <x:f>IF(I13="미실행","",IF(I13="Y","FP",IF(I13="N","정상","판단불가")))</x:f>
      </x:c>
      <x:c r="K13" s="103" t="str">
        <x:v>미판정</x:v>
      </x:c>
      <x:c r="L13" s="131" t="str"/>
    </x:row>
    <x:row r="14">
      <x:c r="A14" s="71" t="str">
        <x:v>AN009</x:v>
      </x:c>
      <x:c r="B14" s="72" t="str">
        <x:v>13_고정자산_감가상각.xlsx</x:v>
      </x:c>
      <x:c r="C14" s="72" t="str">
        <x:v>Calibration</x:v>
      </x:c>
      <x:c r="D14" s="72" t="str">
        <x:v>고정자산·감가상각 관리</x:v>
      </x:c>
      <x:c r="E14" s="72" t="str">
        <x:v>자산대장</x:v>
      </x:c>
      <x:c r="F14" s="72" t="str">
        <x:v>D58:I58</x:v>
      </x:c>
      <x:c r="G14" s="72" t="str">
        <x:v>GRAND_TOTAL_ROW</x:v>
      </x:c>
      <x:c r="H14" s="73" t="str">
        <x:v>처분조정 반영 합계</x:v>
      </x:c>
      <x:c r="I14" s="130" t="str">
        <x:v>미실행</x:v>
      </x:c>
      <x:c r="J14" s="103" t="str">
        <x:f>IF(I14="미실행","",IF(I14="Y","FP",IF(I14="N","정상","판단불가")))</x:f>
      </x:c>
      <x:c r="K14" s="103" t="str">
        <x:v>미판정</x:v>
      </x:c>
      <x:c r="L14" s="131" t="str"/>
    </x:row>
    <x:row r="15">
      <x:c r="A15" s="71" t="str">
        <x:v>AN010</x:v>
      </x:c>
      <x:c r="B15" s="72" t="str">
        <x:v>14_영업수수료_계산.xlsx</x:v>
      </x:c>
      <x:c r="C15" s="72" t="str">
        <x:v>Calibration</x:v>
      </x:c>
      <x:c r="D15" s="72" t="str">
        <x:v>영업사원 성과·수수료 계산</x:v>
      </x:c>
      <x:c r="E15" s="72" t="str">
        <x:v>수수료계산</x:v>
      </x:c>
      <x:c r="F15" s="72" t="str">
        <x:v>C46:J46</x:v>
      </x:c>
      <x:c r="G15" s="72" t="str">
        <x:v>SUBTOTAL_ROW</x:v>
      </x:c>
      <x:c r="H15" s="73" t="str">
        <x:v>전체 영업사원 소계</x:v>
      </x:c>
      <x:c r="I15" s="130" t="str">
        <x:v>미실행</x:v>
      </x:c>
      <x:c r="J15" s="103" t="str">
        <x:f>IF(I15="미실행","",IF(I15="Y","FP",IF(I15="N","정상","판단불가")))</x:f>
      </x:c>
      <x:c r="K15" s="103" t="str">
        <x:v>미판정</x:v>
      </x:c>
      <x:c r="L15" s="131" t="str"/>
    </x:row>
    <x:row r="16">
      <x:c r="A16" s="71" t="str">
        <x:v>AN011</x:v>
      </x:c>
      <x:c r="B16" s="72" t="str">
        <x:v>14_영업수수료_계산.xlsx</x:v>
      </x:c>
      <x:c r="C16" s="72" t="str">
        <x:v>Calibration</x:v>
      </x:c>
      <x:c r="D16" s="72" t="str">
        <x:v>영업사원 성과·수수료 계산</x:v>
      </x:c>
      <x:c r="E16" s="72" t="str">
        <x:v>수수료계산</x:v>
      </x:c>
      <x:c r="F16" s="72" t="str">
        <x:v>C47:J47</x:v>
      </x:c>
      <x:c r="G16" s="72" t="str">
        <x:v>MANUAL_ALLOWANCE_ROW</x:v>
      </x:c>
      <x:c r="H16" s="73" t="str">
        <x:v>팀장 정액 보너스 조정</x:v>
      </x:c>
      <x:c r="I16" s="130" t="str">
        <x:v>미실행</x:v>
      </x:c>
      <x:c r="J16" s="103" t="str">
        <x:f>IF(I16="미실행","",IF(I16="Y","FP",IF(I16="N","정상","판단불가")))</x:f>
      </x:c>
      <x:c r="K16" s="103" t="str">
        <x:v>미판정</x:v>
      </x:c>
      <x:c r="L16" s="131" t="str"/>
    </x:row>
    <x:row r="17">
      <x:c r="A17" s="71" t="str">
        <x:v>AN012</x:v>
      </x:c>
      <x:c r="B17" s="72" t="str">
        <x:v>14_영업수수료_계산.xlsx</x:v>
      </x:c>
      <x:c r="C17" s="72" t="str">
        <x:v>Calibration</x:v>
      </x:c>
      <x:c r="D17" s="72" t="str">
        <x:v>영업사원 성과·수수료 계산</x:v>
      </x:c>
      <x:c r="E17" s="72" t="str">
        <x:v>수수료계산</x:v>
      </x:c>
      <x:c r="F17" s="72" t="str">
        <x:v>C48:J48</x:v>
      </x:c>
      <x:c r="G17" s="72" t="str">
        <x:v>GRAND_TOTAL_ROW</x:v>
      </x:c>
      <x:c r="H17" s="73" t="str">
        <x:v>소계와 조정의 최종 합계</x:v>
      </x:c>
      <x:c r="I17" s="130" t="str">
        <x:v>미실행</x:v>
      </x:c>
      <x:c r="J17" s="103" t="str">
        <x:f>IF(I17="미실행","",IF(I17="Y","FP",IF(I17="N","정상","판단불가")))</x:f>
      </x:c>
      <x:c r="K17" s="103" t="str">
        <x:v>미판정</x:v>
      </x:c>
      <x:c r="L17" s="131" t="str"/>
    </x:row>
    <x:row r="18">
      <x:c r="A18" s="71" t="str">
        <x:v>AN013</x:v>
      </x:c>
      <x:c r="B18" s="72" t="str">
        <x:v>15_생산계획_실적.xlsx</x:v>
      </x:c>
      <x:c r="C18" s="72" t="str">
        <x:v>Calibration</x:v>
      </x:c>
      <x:c r="D18" s="72" t="str">
        <x:v>생산계획·실적·수율 관리</x:v>
      </x:c>
      <x:c r="E18" s="72" t="str">
        <x:v>생산실적</x:v>
      </x:c>
      <x:c r="F18" s="72" t="str">
        <x:v>D66:I66</x:v>
      </x:c>
      <x:c r="G18" s="72" t="str">
        <x:v>SUBTOTAL_ROW</x:v>
      </x:c>
      <x:c r="H18" s="73" t="str">
        <x:v>전체 생산 소계</x:v>
      </x:c>
      <x:c r="I18" s="130" t="str">
        <x:v>미실행</x:v>
      </x:c>
      <x:c r="J18" s="103" t="str">
        <x:f>IF(I18="미실행","",IF(I18="Y","FP",IF(I18="N","정상","판단불가")))</x:f>
      </x:c>
      <x:c r="K18" s="103" t="str">
        <x:v>미판정</x:v>
      </x:c>
      <x:c r="L18" s="131" t="str"/>
    </x:row>
    <x:row r="19">
      <x:c r="A19" s="71" t="str">
        <x:v>AN014</x:v>
      </x:c>
      <x:c r="B19" s="72" t="str">
        <x:v>15_생산계획_실적.xlsx</x:v>
      </x:c>
      <x:c r="C19" s="72" t="str">
        <x:v>Calibration</x:v>
      </x:c>
      <x:c r="D19" s="72" t="str">
        <x:v>생산계획·실적·수율 관리</x:v>
      </x:c>
      <x:c r="E19" s="72" t="str">
        <x:v>생산실적</x:v>
      </x:c>
      <x:c r="F19" s="72" t="str">
        <x:v>D67:I67</x:v>
      </x:c>
      <x:c r="G19" s="72" t="str">
        <x:v>QUALITY_ADJUSTMENT_ROW</x:v>
      </x:c>
      <x:c r="H19" s="73" t="str">
        <x:v>실사에 따른 품질 수기 조정</x:v>
      </x:c>
      <x:c r="I19" s="130" t="str">
        <x:v>미실행</x:v>
      </x:c>
      <x:c r="J19" s="103" t="str">
        <x:f>IF(I19="미실행","",IF(I19="Y","FP",IF(I19="N","정상","판단불가")))</x:f>
      </x:c>
      <x:c r="K19" s="103" t="str">
        <x:v>미판정</x:v>
      </x:c>
      <x:c r="L19" s="131" t="str"/>
    </x:row>
    <x:row r="20">
      <x:c r="A20" s="71" t="str">
        <x:v>AN015</x:v>
      </x:c>
      <x:c r="B20" s="72" t="str">
        <x:v>15_생산계획_실적.xlsx</x:v>
      </x:c>
      <x:c r="C20" s="72" t="str">
        <x:v>Calibration</x:v>
      </x:c>
      <x:c r="D20" s="72" t="str">
        <x:v>생산계획·실적·수율 관리</x:v>
      </x:c>
      <x:c r="E20" s="72" t="str">
        <x:v>생산실적</x:v>
      </x:c>
      <x:c r="F20" s="72" t="str">
        <x:v>D68:I68</x:v>
      </x:c>
      <x:c r="G20" s="72" t="str">
        <x:v>GRAND_TOTAL_ROW</x:v>
      </x:c>
      <x:c r="H20" s="73" t="str">
        <x:v>조정 반영 최종 합계</x:v>
      </x:c>
      <x:c r="I20" s="130" t="str">
        <x:v>미실행</x:v>
      </x:c>
      <x:c r="J20" s="103" t="str">
        <x:f>IF(I20="미실행","",IF(I20="Y","FP",IF(I20="N","정상","판단불가")))</x:f>
      </x:c>
      <x:c r="K20" s="103" t="str">
        <x:v>미판정</x:v>
      </x:c>
      <x:c r="L20" s="131" t="str"/>
    </x:row>
    <x:row r="21">
      <x:c r="A21" s="71" t="str">
        <x:v>AN016</x:v>
      </x:c>
      <x:c r="B21" s="72" t="str">
        <x:v>16_근태연차_정산.xlsx</x:v>
      </x:c>
      <x:c r="C21" s="72" t="str">
        <x:v>Calibration</x:v>
      </x:c>
      <x:c r="D21" s="72" t="str">
        <x:v>근태·연차·초과근무 정산</x:v>
      </x:c>
      <x:c r="E21" s="72" t="str">
        <x:v>정산</x:v>
      </x:c>
      <x:c r="F21" s="72" t="str">
        <x:v>D51:K51</x:v>
      </x:c>
      <x:c r="G21" s="72" t="str">
        <x:v>SUBTOTAL_ROW</x:v>
      </x:c>
      <x:c r="H21" s="73" t="str">
        <x:v>직원 전체 소계</x:v>
      </x:c>
      <x:c r="I21" s="130" t="str">
        <x:v>미실행</x:v>
      </x:c>
      <x:c r="J21" s="103" t="str">
        <x:f>IF(I21="미실행","",IF(I21="Y","FP",IF(I21="N","정상","판단불가")))</x:f>
      </x:c>
      <x:c r="K21" s="103" t="str">
        <x:v>미판정</x:v>
      </x:c>
      <x:c r="L21" s="131" t="str"/>
    </x:row>
    <x:row r="22">
      <x:c r="A22" s="71" t="str">
        <x:v>AN017</x:v>
      </x:c>
      <x:c r="B22" s="72" t="str">
        <x:v>16_근태연차_정산.xlsx</x:v>
      </x:c>
      <x:c r="C22" s="72" t="str">
        <x:v>Calibration</x:v>
      </x:c>
      <x:c r="D22" s="72" t="str">
        <x:v>근태·연차·초과근무 정산</x:v>
      </x:c>
      <x:c r="E22" s="72" t="str">
        <x:v>정산</x:v>
      </x:c>
      <x:c r="F22" s="72" t="str">
        <x:v>D52:K52</x:v>
      </x:c>
      <x:c r="G22" s="72" t="str">
        <x:v>SPECIAL_LEAVE_ADJUSTMENT</x:v>
      </x:c>
      <x:c r="H22" s="73" t="str">
        <x:v>특별휴가 수기 조정</x:v>
      </x:c>
      <x:c r="I22" s="130" t="str">
        <x:v>미실행</x:v>
      </x:c>
      <x:c r="J22" s="103" t="str">
        <x:f>IF(I22="미실행","",IF(I22="Y","FP",IF(I22="N","정상","판단불가")))</x:f>
      </x:c>
      <x:c r="K22" s="103" t="str">
        <x:v>미판정</x:v>
      </x:c>
      <x:c r="L22" s="131" t="str"/>
    </x:row>
    <x:row r="23">
      <x:c r="A23" s="71" t="str">
        <x:v>AN018</x:v>
      </x:c>
      <x:c r="B23" s="72" t="str">
        <x:v>16_근태연차_정산.xlsx</x:v>
      </x:c>
      <x:c r="C23" s="72" t="str">
        <x:v>Calibration</x:v>
      </x:c>
      <x:c r="D23" s="72" t="str">
        <x:v>근태·연차·초과근무 정산</x:v>
      </x:c>
      <x:c r="E23" s="72" t="str">
        <x:v>정산</x:v>
      </x:c>
      <x:c r="F23" s="72" t="str">
        <x:v>D53:K53</x:v>
      </x:c>
      <x:c r="G23" s="72" t="str">
        <x:v>GRAND_TOTAL_ROW</x:v>
      </x:c>
      <x:c r="H23" s="73" t="str">
        <x:v>조정 반영 최종 합계</x:v>
      </x:c>
      <x:c r="I23" s="130" t="str">
        <x:v>미실행</x:v>
      </x:c>
      <x:c r="J23" s="103" t="str">
        <x:f>IF(I23="미실행","",IF(I23="Y","FP",IF(I23="N","정상","판단불가")))</x:f>
      </x:c>
      <x:c r="K23" s="103" t="str">
        <x:v>미판정</x:v>
      </x:c>
      <x:c r="L23" s="131" t="str"/>
    </x:row>
    <x:row r="24">
      <x:c r="A24" s="71" t="str">
        <x:v>AN019</x:v>
      </x:c>
      <x:c r="B24" s="72" t="str">
        <x:v>17_지점별_실적평가.xlsx</x:v>
      </x:c>
      <x:c r="C24" s="72" t="str">
        <x:v>Calibration</x:v>
      </x:c>
      <x:c r="D24" s="72" t="str">
        <x:v>지점별 실적·평가 관리</x:v>
      </x:c>
      <x:c r="E24" s="72" t="str">
        <x:v>지점평가</x:v>
      </x:c>
      <x:c r="F24" s="72" t="str">
        <x:v>B42:E42</x:v>
      </x:c>
      <x:c r="G24" s="72" t="str">
        <x:v>SUBTOTAL_ROW</x:v>
      </x:c>
      <x:c r="H24" s="73" t="str">
        <x:v>전체 지점 소계</x:v>
      </x:c>
      <x:c r="I24" s="130" t="str">
        <x:v>미실행</x:v>
      </x:c>
      <x:c r="J24" s="103" t="str">
        <x:f>IF(I24="미실행","",IF(I24="Y","FP",IF(I24="N","정상","판단불가")))</x:f>
      </x:c>
      <x:c r="K24" s="103" t="str">
        <x:v>미판정</x:v>
      </x:c>
      <x:c r="L24" s="131" t="str"/>
    </x:row>
    <x:row r="25">
      <x:c r="A25" s="71" t="str">
        <x:v>AN020</x:v>
      </x:c>
      <x:c r="B25" s="72" t="str">
        <x:v>17_지점별_실적평가.xlsx</x:v>
      </x:c>
      <x:c r="C25" s="72" t="str">
        <x:v>Calibration</x:v>
      </x:c>
      <x:c r="D25" s="72" t="str">
        <x:v>지점별 실적·평가 관리</x:v>
      </x:c>
      <x:c r="E25" s="72" t="str">
        <x:v>지점평가</x:v>
      </x:c>
      <x:c r="F25" s="72" t="str">
        <x:v>B43:H43</x:v>
      </x:c>
      <x:c r="G25" s="72" t="str">
        <x:v>HEAD_OFFICE_ADJUSTMENT</x:v>
      </x:c>
      <x:c r="H25" s="73" t="str">
        <x:v>본부 정책 수기 조정</x:v>
      </x:c>
      <x:c r="I25" s="130" t="str">
        <x:v>미실행</x:v>
      </x:c>
      <x:c r="J25" s="103" t="str">
        <x:f>IF(I25="미실행","",IF(I25="Y","FP",IF(I25="N","정상","판단불가")))</x:f>
      </x:c>
      <x:c r="K25" s="103" t="str">
        <x:v>미판정</x:v>
      </x:c>
      <x:c r="L25" s="131" t="str"/>
    </x:row>
    <x:row r="26">
      <x:c r="A26" s="71" t="str">
        <x:v>AN021</x:v>
      </x:c>
      <x:c r="B26" s="72" t="str">
        <x:v>17_지점별_실적평가.xlsx</x:v>
      </x:c>
      <x:c r="C26" s="72" t="str">
        <x:v>Calibration</x:v>
      </x:c>
      <x:c r="D26" s="72" t="str">
        <x:v>지점별 실적·평가 관리</x:v>
      </x:c>
      <x:c r="E26" s="72" t="str">
        <x:v>지점평가</x:v>
      </x:c>
      <x:c r="F26" s="72" t="str">
        <x:v>B44:E44</x:v>
      </x:c>
      <x:c r="G26" s="72" t="str">
        <x:v>GRAND_TOTAL_ROW</x:v>
      </x:c>
      <x:c r="H26" s="73" t="str">
        <x:v>조정 반영 최종 합계</x:v>
      </x:c>
      <x:c r="I26" s="130" t="str">
        <x:v>미실행</x:v>
      </x:c>
      <x:c r="J26" s="103" t="str">
        <x:f>IF(I26="미실행","",IF(I26="Y","FP",IF(I26="N","정상","판단불가")))</x:f>
      </x:c>
      <x:c r="K26" s="103" t="str">
        <x:v>미판정</x:v>
      </x:c>
      <x:c r="L26" s="131" t="str"/>
    </x:row>
    <x:row r="27">
      <x:c r="A27" s="71" t="str">
        <x:v>AN022</x:v>
      </x:c>
      <x:c r="B27" s="72" t="str">
        <x:v>18_공통비_원가배부.xlsx</x:v>
      </x:c>
      <x:c r="C27" s="72" t="str">
        <x:v>Calibration</x:v>
      </x:c>
      <x:c r="D27" s="72" t="str">
        <x:v>부서별 공통비 원가배부</x:v>
      </x:c>
      <x:c r="E27" s="72" t="str">
        <x:v>요약</x:v>
      </x:c>
      <x:c r="F27" s="72" t="str">
        <x:v>B6:D10</x:v>
      </x:c>
      <x:c r="G27" s="72" t="str">
        <x:v>CATEGORY_SUMMARY_BLOCK</x:v>
      </x:c>
      <x:c r="H27" s="73" t="str">
        <x:v>항목별 정상 집계 블록</x:v>
      </x:c>
      <x:c r="I27" s="130" t="str">
        <x:v>미실행</x:v>
      </x:c>
      <x:c r="J27" s="103" t="str">
        <x:f>IF(I27="미실행","",IF(I27="Y","FP",IF(I27="N","정상","판단불가")))</x:f>
      </x:c>
      <x:c r="K27" s="103" t="str">
        <x:v>미판정</x:v>
      </x:c>
      <x:c r="L27" s="131" t="str"/>
    </x:row>
    <x:row r="28">
      <x:c r="A28" s="71" t="str">
        <x:v>AN023</x:v>
      </x:c>
      <x:c r="B28" s="72" t="str">
        <x:v>18_공통비_원가배부.xlsx</x:v>
      </x:c>
      <x:c r="C28" s="72" t="str">
        <x:v>Calibration</x:v>
      </x:c>
      <x:c r="D28" s="72" t="str">
        <x:v>부서별 공통비 원가배부</x:v>
      </x:c>
      <x:c r="E28" s="72" t="str">
        <x:v>배부계산</x:v>
      </x:c>
      <x:c r="F28" s="72" t="str">
        <x:v>D6:I13</x:v>
      </x:c>
      <x:c r="G28" s="72" t="str">
        <x:v>ALLOCATION_METHOD_BLOCK</x:v>
      </x:c>
      <x:c r="H28" s="73" t="str">
        <x:v>인원 기준의 정상 반복 배부 블록</x:v>
      </x:c>
      <x:c r="I28" s="130" t="str">
        <x:v>미실행</x:v>
      </x:c>
      <x:c r="J28" s="103" t="str">
        <x:f>IF(I28="미실행","",IF(I28="Y","FP",IF(I28="N","정상","판단불가")))</x:f>
      </x:c>
      <x:c r="K28" s="103" t="str">
        <x:v>미판정</x:v>
      </x:c>
      <x:c r="L28" s="131" t="str"/>
    </x:row>
    <x:row r="29">
      <x:c r="A29" s="71" t="str">
        <x:v>AN024</x:v>
      </x:c>
      <x:c r="B29" s="72" t="str">
        <x:v>18_공통비_원가배부.xlsx</x:v>
      </x:c>
      <x:c r="C29" s="72" t="str">
        <x:v>Calibration</x:v>
      </x:c>
      <x:c r="D29" s="72" t="str">
        <x:v>부서별 공통비 원가배부</x:v>
      </x:c>
      <x:c r="E29" s="72" t="str">
        <x:v>배부계산</x:v>
      </x:c>
      <x:c r="F29" s="72" t="str">
        <x:v>D22:I29</x:v>
      </x:c>
      <x:c r="G29" s="72" t="str">
        <x:v>ALLOCATION_METHOD_BLOCK</x:v>
      </x:c>
      <x:c r="H29" s="73" t="str">
        <x:v>면적 기준의 정상 반복 배부 블록</x:v>
      </x:c>
      <x:c r="I29" s="130" t="str">
        <x:v>미실행</x:v>
      </x:c>
      <x:c r="J29" s="103" t="str">
        <x:f>IF(I29="미실행","",IF(I29="Y","FP",IF(I29="N","정상","판단불가")))</x:f>
      </x:c>
      <x:c r="K29" s="103" t="str">
        <x:v>미판정</x:v>
      </x:c>
      <x:c r="L29" s="131" t="str"/>
    </x:row>
    <x:row r="30">
      <x:c r="A30" s="71" t="str">
        <x:v>AN025</x:v>
      </x:c>
      <x:c r="B30" s="72" t="str">
        <x:v>19_계정잔액_대사.xlsx</x:v>
      </x:c>
      <x:c r="C30" s="72" t="str">
        <x:v>Holdout</x:v>
      </x:c>
      <x:c r="D30" s="72" t="str">
        <x:v>총계정원장·보조부 계정잔액 대사</x:v>
      </x:c>
      <x:c r="E30" s="72" t="str">
        <x:v>대사표</x:v>
      </x:c>
      <x:c r="F30" s="72" t="str">
        <x:v>B56:F56</x:v>
      </x:c>
      <x:c r="G30" s="72" t="str">
        <x:v>SUBTOTAL_ROW</x:v>
      </x:c>
      <x:c r="H30" s="73" t="str">
        <x:v>계정 전체 소계</x:v>
      </x:c>
      <x:c r="I30" s="130" t="str">
        <x:v>미실행</x:v>
      </x:c>
      <x:c r="J30" s="103" t="str">
        <x:f>IF(I30="미실행","",IF(I30="Y","FP",IF(I30="N","정상","판단불가")))</x:f>
      </x:c>
      <x:c r="K30" s="103" t="str">
        <x:v>미판정</x:v>
      </x:c>
      <x:c r="L30" s="131" t="str"/>
    </x:row>
    <x:row r="31">
      <x:c r="A31" s="71" t="str">
        <x:v>AN026</x:v>
      </x:c>
      <x:c r="B31" s="72" t="str">
        <x:v>19_계정잔액_대사.xlsx</x:v>
      </x:c>
      <x:c r="C31" s="72" t="str">
        <x:v>Holdout</x:v>
      </x:c>
      <x:c r="D31" s="72" t="str">
        <x:v>총계정원장·보조부 계정잔액 대사</x:v>
      </x:c>
      <x:c r="E31" s="72" t="str">
        <x:v>대사표</x:v>
      </x:c>
      <x:c r="F31" s="72" t="str">
        <x:v>B57:G57</x:v>
      </x:c>
      <x:c r="G31" s="72" t="str">
        <x:v>TIMING_ADJUSTMENT_ROW</x:v>
      </x:c>
      <x:c r="H31" s="73" t="str">
        <x:v>입출금 시차 수기 조정</x:v>
      </x:c>
      <x:c r="I31" s="130" t="str">
        <x:v>미실행</x:v>
      </x:c>
      <x:c r="J31" s="103" t="str">
        <x:f>IF(I31="미실행","",IF(I31="Y","FP",IF(I31="N","정상","판단불가")))</x:f>
      </x:c>
      <x:c r="K31" s="103" t="str">
        <x:v>미판정</x:v>
      </x:c>
      <x:c r="L31" s="131" t="str"/>
    </x:row>
    <x:row r="32">
      <x:c r="A32" s="71" t="str">
        <x:v>AN027</x:v>
      </x:c>
      <x:c r="B32" s="72" t="str">
        <x:v>19_계정잔액_대사.xlsx</x:v>
      </x:c>
      <x:c r="C32" s="72" t="str">
        <x:v>Holdout</x:v>
      </x:c>
      <x:c r="D32" s="72" t="str">
        <x:v>총계정원장·보조부 계정잔액 대사</x:v>
      </x:c>
      <x:c r="E32" s="72" t="str">
        <x:v>대사표</x:v>
      </x:c>
      <x:c r="F32" s="72" t="str">
        <x:v>B58:F58</x:v>
      </x:c>
      <x:c r="G32" s="72" t="str">
        <x:v>GRAND_TOTAL_ROW</x:v>
      </x:c>
      <x:c r="H32" s="73" t="str">
        <x:v>조정 반영 최종 합계</x:v>
      </x:c>
      <x:c r="I32" s="130" t="str">
        <x:v>미실행</x:v>
      </x:c>
      <x:c r="J32" s="103" t="str">
        <x:f>IF(I32="미실행","",IF(I32="Y","FP",IF(I32="N","정상","판단불가")))</x:f>
      </x:c>
      <x:c r="K32" s="103" t="str">
        <x:v>미판정</x:v>
      </x:c>
      <x:c r="L32" s="131" t="str"/>
    </x:row>
    <x:row r="33">
      <x:c r="A33" s="71" t="str">
        <x:v>AN028</x:v>
      </x:c>
      <x:c r="B33" s="72" t="str">
        <x:v>20_다중사업부_정상통제.xlsx</x:v>
      </x:c>
      <x:c r="C33" s="72" t="str">
        <x:v>Holdout</x:v>
      </x:c>
      <x:c r="D33" s="72" t="str">
        <x:v>다중사업부 통합 경영관리 정상 통제</x:v>
      </x:c>
      <x:c r="E33" s="72" t="str">
        <x:v>원천데이터</x:v>
      </x:c>
      <x:c r="F33" s="72" t="str">
        <x:v>A5:G53</x:v>
      </x:c>
      <x:c r="G33" s="72" t="str">
        <x:v>EXCEL_TABLE</x:v>
      </x:c>
      <x:c r="H33" s="73" t="str">
        <x:v>정상 원천 데이터 Table</x:v>
      </x:c>
      <x:c r="I33" s="130" t="str">
        <x:v>미실행</x:v>
      </x:c>
      <x:c r="J33" s="103" t="str">
        <x:f>IF(I33="미실행","",IF(I33="Y","FP",IF(I33="N","정상","판단불가")))</x:f>
      </x:c>
      <x:c r="K33" s="103" t="str">
        <x:v>미판정</x:v>
      </x:c>
      <x:c r="L33" s="131" t="str"/>
    </x:row>
    <x:row r="34">
      <x:c r="A34" s="71" t="str">
        <x:v>AN029</x:v>
      </x:c>
      <x:c r="B34" s="72" t="str">
        <x:v>20_다중사업부_정상통제.xlsx</x:v>
      </x:c>
      <x:c r="C34" s="72" t="str">
        <x:v>Holdout</x:v>
      </x:c>
      <x:c r="D34" s="72" t="str">
        <x:v>다중사업부 통합 경영관리 정상 통제</x:v>
      </x:c>
      <x:c r="E34" s="72" t="str">
        <x:v>사업부요약</x:v>
      </x:c>
      <x:c r="F34" s="72" t="str">
        <x:v>B6:H9</x:v>
      </x:c>
      <x:c r="G34" s="72" t="str">
        <x:v>CLEAN_FORMULA_REGION</x:v>
      </x:c>
      <x:c r="H34" s="73" t="str">
        <x:v>사업부별 정상 반복 수식</x:v>
      </x:c>
      <x:c r="I34" s="130" t="str">
        <x:v>미실행</x:v>
      </x:c>
      <x:c r="J34" s="103" t="str">
        <x:f>IF(I34="미실행","",IF(I34="Y","FP",IF(I34="N","정상","판단불가")))</x:f>
      </x:c>
      <x:c r="K34" s="103" t="str">
        <x:v>미판정</x:v>
      </x:c>
      <x:c r="L34" s="131" t="str"/>
    </x:row>
    <x:row r="35">
      <x:c r="A35" s="71" t="str">
        <x:v>AN030</x:v>
      </x:c>
      <x:c r="B35" s="72" t="str">
        <x:v>20_다중사업부_정상통제.xlsx</x:v>
      </x:c>
      <x:c r="C35" s="72" t="str">
        <x:v>Holdout</x:v>
      </x:c>
      <x:c r="D35" s="72" t="str">
        <x:v>다중사업부 통합 경영관리 정상 통제</x:v>
      </x:c>
      <x:c r="E35" s="72" t="str">
        <x:v>사업부요약</x:v>
      </x:c>
      <x:c r="F35" s="72" t="str">
        <x:v>B10:H10</x:v>
      </x:c>
      <x:c r="G35" s="72" t="str">
        <x:v>GRAND_TOTAL_ROW</x:v>
      </x:c>
      <x:c r="H35" s="73" t="str">
        <x:v>전사 합계</x:v>
      </x:c>
      <x:c r="I35" s="130" t="str">
        <x:v>미실행</x:v>
      </x:c>
      <x:c r="J35" s="103" t="str">
        <x:f>IF(I35="미실행","",IF(I35="Y","FP",IF(I35="N","정상","판단불가")))</x:f>
      </x:c>
      <x:c r="K35" s="103" t="str">
        <x:v>미판정</x:v>
      </x:c>
      <x:c r="L35" s="131" t="str"/>
    </x:row>
    <x:row r="36">
      <x:c r="A36" s="71" t="str">
        <x:v>AN031</x:v>
      </x:c>
      <x:c r="B36" s="72" t="str">
        <x:v>20_다중사업부_정상통제.xlsx</x:v>
      </x:c>
      <x:c r="C36" s="72" t="str">
        <x:v>Holdout</x:v>
      </x:c>
      <x:c r="D36" s="72" t="str">
        <x:v>다중사업부 통합 경영관리 정상 통제</x:v>
      </x:c>
      <x:c r="E36" s="72" t="str">
        <x:v>월별추이</x:v>
      </x:c>
      <x:c r="F36" s="72" t="str">
        <x:v>B6:F17</x:v>
      </x:c>
      <x:c r="G36" s="72" t="str">
        <x:v>CLEAN_FORMULA_REGION</x:v>
      </x:c>
      <x:c r="H36" s="73" t="str">
        <x:v>12개월 정상 반복 수식</x:v>
      </x:c>
      <x:c r="I36" s="130" t="str">
        <x:v>미실행</x:v>
      </x:c>
      <x:c r="J36" s="103" t="str">
        <x:f>IF(I36="미실행","",IF(I36="Y","FP",IF(I36="N","정상","판단불가")))</x:f>
      </x:c>
      <x:c r="K36" s="103" t="str">
        <x:v>미판정</x:v>
      </x:c>
      <x:c r="L36" s="131" t="str"/>
    </x:row>
    <x:row r="37">
      <x:c r="A37" s="71" t="str">
        <x:v>AN032</x:v>
      </x:c>
      <x:c r="B37" s="72" t="str">
        <x:v>20_다중사업부_정상통제.xlsx</x:v>
      </x:c>
      <x:c r="C37" s="72" t="str">
        <x:v>Holdout</x:v>
      </x:c>
      <x:c r="D37" s="72" t="str">
        <x:v>다중사업부 통합 경영관리 정상 통제</x:v>
      </x:c>
      <x:c r="E37" s="72" t="str">
        <x:v>월별추이</x:v>
      </x:c>
      <x:c r="F37" s="72" t="str">
        <x:v>B18:F18</x:v>
      </x:c>
      <x:c r="G37" s="72" t="str">
        <x:v>SUBTOTAL_ROW</x:v>
      </x:c>
      <x:c r="H37" s="73" t="str">
        <x:v>연간 소계</x:v>
      </x:c>
      <x:c r="I37" s="130" t="str">
        <x:v>미실행</x:v>
      </x:c>
      <x:c r="J37" s="103" t="str">
        <x:f>IF(I37="미실행","",IF(I37="Y","FP",IF(I37="N","정상","판단불가")))</x:f>
      </x:c>
      <x:c r="K37" s="103" t="str">
        <x:v>미판정</x:v>
      </x:c>
      <x:c r="L37" s="131" t="str"/>
    </x:row>
    <x:row r="38">
      <x:c r="A38" s="71" t="str">
        <x:v>AN033</x:v>
      </x:c>
      <x:c r="B38" s="72" t="str">
        <x:v>20_다중사업부_정상통제.xlsx</x:v>
      </x:c>
      <x:c r="C38" s="72" t="str">
        <x:v>Holdout</x:v>
      </x:c>
      <x:c r="D38" s="72" t="str">
        <x:v>다중사업부 통합 경영관리 정상 통제</x:v>
      </x:c>
      <x:c r="E38" s="72" t="str">
        <x:v>월별추이</x:v>
      </x:c>
      <x:c r="F38" s="72" t="str">
        <x:v>B19:F19</x:v>
      </x:c>
      <x:c r="G38" s="72" t="str">
        <x:v>MANAGEMENT_ADJUSTMENT_ROW</x:v>
      </x:c>
      <x:c r="H38" s="73" t="str">
        <x:v>경영조정</x:v>
      </x:c>
      <x:c r="I38" s="130" t="str">
        <x:v>미실행</x:v>
      </x:c>
      <x:c r="J38" s="103" t="str">
        <x:f>IF(I38="미실행","",IF(I38="Y","FP",IF(I38="N","정상","판단불가")))</x:f>
      </x:c>
      <x:c r="K38" s="103" t="str">
        <x:v>미판정</x:v>
      </x:c>
      <x:c r="L38" s="131" t="str"/>
    </x:row>
    <x:row r="39">
      <x:c r="A39" s="71" t="str">
        <x:v>AN034</x:v>
      </x:c>
      <x:c r="B39" s="72" t="str">
        <x:v>20_다중사업부_정상통제.xlsx</x:v>
      </x:c>
      <x:c r="C39" s="72" t="str">
        <x:v>Holdout</x:v>
      </x:c>
      <x:c r="D39" s="72" t="str">
        <x:v>다중사업부 통합 경영관리 정상 통제</x:v>
      </x:c>
      <x:c r="E39" s="72" t="str">
        <x:v>월별추이</x:v>
      </x:c>
      <x:c r="F39" s="72" t="str">
        <x:v>B20:F20</x:v>
      </x:c>
      <x:c r="G39" s="72" t="str">
        <x:v>GRAND_TOTAL_ROW</x:v>
      </x:c>
      <x:c r="H39" s="73" t="str">
        <x:v>조정 반영 합계</x:v>
      </x:c>
      <x:c r="I39" s="130" t="str">
        <x:v>미실행</x:v>
      </x:c>
      <x:c r="J39" s="103" t="str">
        <x:f>IF(I39="미실행","",IF(I39="Y","FP",IF(I39="N","정상","판단불가")))</x:f>
      </x:c>
      <x:c r="K39" s="103" t="str">
        <x:v>미판정</x:v>
      </x:c>
      <x:c r="L39" s="131" t="str"/>
    </x:row>
    <x:row r="40">
      <x:c r="A40" s="71" t="str">
        <x:v>AN035</x:v>
      </x:c>
      <x:c r="B40" s="72" t="str">
        <x:v>20_다중사업부_정상통제.xlsx</x:v>
      </x:c>
      <x:c r="C40" s="72" t="str">
        <x:v>Holdout</x:v>
      </x:c>
      <x:c r="D40" s="72" t="str">
        <x:v>다중사업부 통합 경영관리 정상 통제</x:v>
      </x:c>
      <x:c r="E40" s="72" t="str">
        <x:v>분기요약</x:v>
      </x:c>
      <x:c r="F40" s="72" t="str">
        <x:v>B6:E9</x:v>
      </x:c>
      <x:c r="G40" s="72" t="str">
        <x:v>QUARTER_SUMMARY_BLOCK</x:v>
      </x:c>
      <x:c r="H40" s="73" t="str">
        <x:v>분기별 정상 집계 블록</x:v>
      </x:c>
      <x:c r="I40" s="130" t="str">
        <x:v>미실행</x:v>
      </x:c>
      <x:c r="J40" s="103" t="str">
        <x:f>IF(I40="미실행","",IF(I40="Y","FP",IF(I40="N","정상","판단불가")))</x:f>
      </x:c>
      <x:c r="K40" s="103" t="str">
        <x:v>미판정</x:v>
      </x:c>
      <x:c r="L40" s="131" t="str"/>
    </x:row>
    <x:row r="41">
      <x:c r="A41" s="74" t="str">
        <x:v>AN036</x:v>
      </x:c>
      <x:c r="B41" s="75" t="str">
        <x:v>20_다중사업부_정상통제.xlsx</x:v>
      </x:c>
      <x:c r="C41" s="75" t="str">
        <x:v>Holdout</x:v>
      </x:c>
      <x:c r="D41" s="75" t="str">
        <x:v>다중사업부 통합 경영관리 정상 통제</x:v>
      </x:c>
      <x:c r="E41" s="75" t="str">
        <x:v>대시보드</x:v>
      </x:c>
      <x:c r="F41" s="75" t="str">
        <x:v>A11:D14</x:v>
      </x:c>
      <x:c r="G41" s="75" t="str">
        <x:v>DASHBOARD_REFERENCE_BLOCK</x:v>
      </x:c>
      <x:c r="H41" s="76" t="str">
        <x:v>요약 시트의 정상 참조 블록</x:v>
      </x:c>
      <x:c r="I41" s="132" t="str">
        <x:v>미실행</x:v>
      </x:c>
      <x:c r="J41" s="133" t="str">
        <x:f>IF(I41="미실행","",IF(I41="Y","FP",IF(I41="N","정상","판단불가")))</x:f>
      </x:c>
      <x:c r="K41" s="133" t="str">
        <x:v>미판정</x:v>
      </x:c>
      <x:c r="L41" s="134" t="str"/>
    </x:row>
  </x:sheetData>
  <x:mergeCells>
    <x:mergeCell ref="A1:L1"/>
    <x:mergeCell ref="A2:L2"/>
    <x:mergeCell ref="A3:L3"/>
  </x:mergeCells>
  <x:conditionalFormatting sqref="I6:I41">
    <x:cfRule type="expression" dxfId="5" priority="1">
      <x:formula>I6="Y"</x:formula>
    </x:cfRule>
    <x:cfRule type="expression" dxfId="6" priority="2">
      <x:formula>I6="N"</x:formula>
    </x:cfRule>
  </x:conditionalFormatting>
  <x:dataValidations count="2">
    <x:dataValidation type="list" sqref="I6:I41">
      <x:formula1>"미실행,Y,N,판단불가"</x:formula1>
    </x:dataValidation>
    <x:dataValidation type="list" sqref="K6:K41">
      <x:formula1>"미판정,정상 패턴,실제 이상 후보,판단 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ddd3711724a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8" hidden="0" customWidth="1"/>
    <x:col min="5" max="5" width="28" hidden="0" customWidth="1"/>
    <x:col min="6" max="6" width="12" hidden="0" customWidth="1"/>
    <x:col min="7" max="7" width="12" hidden="0" customWidth="1"/>
    <x:col min="8" max="8" width="50" hidden="0" customWidth="1"/>
  </x:cols>
  <x:sheetData>
    <x:row r="1" ht="30" customHeight="1">
      <x:c r="A1" s="5" t="str">
        <x:v>추가팩 시나리오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8개 Calibration, 2개 Holdout으로 구성합니다.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No.</x:v>
      </x:c>
      <x:c r="B5" s="34" t="str">
        <x:v>파일</x:v>
      </x:c>
      <x:c r="C5" s="34" t="str">
        <x:v>용도</x:v>
      </x:c>
      <x:c r="D5" s="34" t="str">
        <x:v>업무영역</x:v>
      </x:c>
      <x:c r="E5" s="34" t="str">
        <x:v>시나리오</x:v>
      </x:c>
      <x:c r="F5" s="34" t="str">
        <x:v>예상탐지</x:v>
      </x:c>
      <x:c r="G5" s="34" t="str">
        <x:v>정상예외</x:v>
      </x:c>
      <x:c r="H5" s="35" t="str">
        <x:v>핵심목적</x:v>
      </x:c>
    </x:row>
    <x:row r="6">
      <x:c r="A6" s="68" t="n">
        <x:v>1</x:v>
      </x:c>
      <x:c r="B6" s="69" t="str">
        <x:v>11_구매발주_관리.xlsx</x:v>
      </x:c>
      <x:c r="C6" s="69" t="str">
        <x:v>Calibration</x:v>
      </x:c>
      <x:c r="D6" s="69" t="str">
        <x:v>구매/발주</x:v>
      </x:c>
      <x:c r="E6" s="69" t="str">
        <x:v>구매·발주 및 미입고 관리</x:v>
      </x:c>
      <x:c r="F6" s="69" t="n">
        <x:v>4</x:v>
      </x:c>
      <x:c r="G6" s="69" t="n">
        <x:v>3</x:v>
      </x:c>
      <x:c r="H6" s="70" t="str">
        <x:v>발주금액·미입고·상태 수식의 조용한 이상</x:v>
      </x:c>
    </x:row>
    <x:row r="7">
      <x:c r="A7" s="71" t="n">
        <x:v>2</x:v>
      </x:c>
      <x:c r="B7" s="72" t="str">
        <x:v>12_현금흐름_자금계획.xlsx</x:v>
      </x:c>
      <x:c r="C7" s="72" t="str">
        <x:v>Calibration</x:v>
      </x:c>
      <x:c r="D7" s="72" t="str">
        <x:v>자금/현금흐름</x:v>
      </x:c>
      <x:c r="E7" s="72" t="str">
        <x:v>일별 현금흐름·자금계획</x:v>
      </x:c>
      <x:c r="F7" s="72" t="n">
        <x:v>4</x:v>
      </x:c>
      <x:c r="G7" s="72" t="n">
        <x:v>3</x:v>
      </x:c>
      <x:c r="H7" s="73" t="str">
        <x:v>연속 잔액 계산의 조용한 참조·수식 누락</x:v>
      </x:c>
    </x:row>
    <x:row r="8">
      <x:c r="A8" s="71" t="n">
        <x:v>3</x:v>
      </x:c>
      <x:c r="B8" s="72" t="str">
        <x:v>13_고정자산_감가상각.xlsx</x:v>
      </x:c>
      <x:c r="C8" s="72" t="str">
        <x:v>Calibration</x:v>
      </x:c>
      <x:c r="D8" s="72" t="str">
        <x:v>고정자산/회계</x:v>
      </x:c>
      <x:c r="E8" s="72" t="str">
        <x:v>고정자산·감가상각 관리</x:v>
      </x:c>
      <x:c r="F8" s="72" t="n">
        <x:v>4</x:v>
      </x:c>
      <x:c r="G8" s="72" t="n">
        <x:v>3</x:v>
      </x:c>
      <x:c r="H8" s="73" t="str">
        <x:v>감가상각 연속 계산열의 함수·행 참조·상수·빈 셀</x:v>
      </x:c>
    </x:row>
    <x:row r="9">
      <x:c r="A9" s="71" t="n">
        <x:v>4</x:v>
      </x:c>
      <x:c r="B9" s="72" t="str">
        <x:v>14_영업수수료_계산.xlsx</x:v>
      </x:c>
      <x:c r="C9" s="72" t="str">
        <x:v>Calibration</x:v>
      </x:c>
      <x:c r="D9" s="72" t="str">
        <x:v>영업/성과급</x:v>
      </x:c>
      <x:c r="E9" s="72" t="str">
        <x:v>영업사원 성과·수수료 계산</x:v>
      </x:c>
      <x:c r="F9" s="72" t="n">
        <x:v>4</x:v>
      </x:c>
      <x:c r="G9" s="72" t="n">
        <x:v>3</x:v>
      </x:c>
      <x:c r="H9" s="73" t="str">
        <x:v>순매출·수수료율·수수료·총수수료 패턴 이상</x:v>
      </x:c>
    </x:row>
    <x:row r="10">
      <x:c r="A10" s="71" t="n">
        <x:v>5</x:v>
      </x:c>
      <x:c r="B10" s="72" t="str">
        <x:v>15_생산계획_실적.xlsx</x:v>
      </x:c>
      <x:c r="C10" s="72" t="str">
        <x:v>Calibration</x:v>
      </x:c>
      <x:c r="D10" s="72" t="str">
        <x:v>생산/품질</x:v>
      </x:c>
      <x:c r="E10" s="72" t="str">
        <x:v>생산계획·실적·수율 관리</x:v>
      </x:c>
      <x:c r="F10" s="72" t="n">
        <x:v>4</x:v>
      </x:c>
      <x:c r="G10" s="72" t="n">
        <x:v>3</x:v>
      </x:c>
      <x:c r="H10" s="73" t="str">
        <x:v>계획·실적 반복 계산열의 함수·행 참조·상수·빈 셀</x:v>
      </x:c>
    </x:row>
    <x:row r="11">
      <x:c r="A11" s="71" t="n">
        <x:v>6</x:v>
      </x:c>
      <x:c r="B11" s="72" t="str">
        <x:v>16_근태연차_정산.xlsx</x:v>
      </x:c>
      <x:c r="C11" s="72" t="str">
        <x:v>Calibration</x:v>
      </x:c>
      <x:c r="D11" s="72" t="str">
        <x:v>인사/근태</x:v>
      </x:c>
      <x:c r="E11" s="72" t="str">
        <x:v>근태·연차·초과근무 정산</x:v>
      </x:c>
      <x:c r="F11" s="72" t="n">
        <x:v>4</x:v>
      </x:c>
      <x:c r="G11" s="72" t="n">
        <x:v>3</x:v>
      </x:c>
      <x:c r="H11" s="73" t="str">
        <x:v>연차·초과근무 연속 계산의 함수·기준행·상수·빈 셀</x:v>
      </x:c>
    </x:row>
    <x:row r="12">
      <x:c r="A12" s="71" t="n">
        <x:v>7</x:v>
      </x:c>
      <x:c r="B12" s="72" t="str">
        <x:v>17_지점별_실적평가.xlsx</x:v>
      </x:c>
      <x:c r="C12" s="72" t="str">
        <x:v>Calibration</x:v>
      </x:c>
      <x:c r="D12" s="72" t="str">
        <x:v>영업/지점관리</x:v>
      </x:c>
      <x:c r="E12" s="72" t="str">
        <x:v>지점별 실적·평가 관리</x:v>
      </x:c>
      <x:c r="F12" s="72" t="n">
        <x:v>4</x:v>
      </x:c>
      <x:c r="G12" s="72" t="n">
        <x:v>3</x:v>
      </x:c>
      <x:c r="H12" s="73" t="str">
        <x:v>지점 집계·이익·점수·등급 연속 계산 이상</x:v>
      </x:c>
    </x:row>
    <x:row r="13">
      <x:c r="A13" s="71" t="n">
        <x:v>8</x:v>
      </x:c>
      <x:c r="B13" s="72" t="str">
        <x:v>18_공통비_원가배부.xlsx</x:v>
      </x:c>
      <x:c r="C13" s="72" t="str">
        <x:v>Calibration</x:v>
      </x:c>
      <x:c r="D13" s="72" t="str">
        <x:v>관리회계/배부</x:v>
      </x:c>
      <x:c r="E13" s="72" t="str">
        <x:v>부서별 공통비 원가배부</x:v>
      </x:c>
      <x:c r="F13" s="72" t="n">
        <x:v>4</x:v>
      </x:c>
      <x:c r="G13" s="72" t="n">
        <x:v>3</x:v>
      </x:c>
      <x:c r="H13" s="73" t="str">
        <x:v>배부기준·비율·금액·검증 연속 수식 이상</x:v>
      </x:c>
    </x:row>
    <x:row r="14">
      <x:c r="A14" s="71" t="n">
        <x:v>9</x:v>
      </x:c>
      <x:c r="B14" s="72" t="str">
        <x:v>19_계정잔액_대사.xlsx</x:v>
      </x:c>
      <x:c r="C14" s="72" t="str">
        <x:v>Holdout</x:v>
      </x:c>
      <x:c r="D14" s="72" t="str">
        <x:v>회계/대사</x:v>
      </x:c>
      <x:c r="E14" s="72" t="str">
        <x:v>총계정원장·보조부 계정잔액 대사</x:v>
      </x:c>
      <x:c r="F14" s="72" t="n">
        <x:v>4</x:v>
      </x:c>
      <x:c r="G14" s="72" t="n">
        <x:v>3</x:v>
      </x:c>
      <x:c r="H14" s="73" t="str">
        <x:v>GL·보조부 대사 계산의 기준행·함수·상수·빈 셀</x:v>
      </x:c>
    </x:row>
    <x:row r="15">
      <x:c r="A15" s="74" t="n">
        <x:v>10</x:v>
      </x:c>
      <x:c r="B15" s="75" t="str">
        <x:v>20_다중사업부_정상통제.xlsx</x:v>
      </x:c>
      <x:c r="C15" s="75" t="str">
        <x:v>Holdout</x:v>
      </x:c>
      <x:c r="D15" s="75" t="str">
        <x:v>경영관리/통제</x:v>
      </x:c>
      <x:c r="E15" s="75" t="str">
        <x:v>다중사업부 통합 경영관리 정상 통제</x:v>
      </x:c>
      <x:c r="F15" s="75" t="n">
        <x:v>0</x:v>
      </x:c>
      <x:c r="G15" s="75" t="n">
        <x:v>9</x:v>
      </x:c>
      <x:c r="H15" s="76" t="str">
        <x:v>다양한 정상 수식·Table·조정·합계에서 오탐 0건 확인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32" hidden="0" customWidth="1"/>
  </x:cols>
  <x:sheetData>
    <x:row r="1" ht="30" customHeight="1">
      <x:c r="A1" s="5" t="str">
        <x:v>추가팩 검증 절차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기존 36건 기준선을 통과한 뒤 실행하는 두 번째 교정 팩입니다.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단계</x:v>
      </x:c>
      <x:c r="B5" s="34" t="str">
        <x:v>수행 내용</x:v>
      </x:c>
      <x:c r="C5" s="35" t="str">
        <x:v>완료 기준</x:v>
      </x:c>
    </x:row>
    <x:row r="6">
      <x:c r="A6" s="68" t="str">
        <x:v>1. 기준선 확인</x:v>
      </x:c>
      <x:c r="B6" s="69" t="str">
        <x:v>기존 M4-C 36건 탐지·정상예외 기준선이 통과했는지 확인</x:v>
      </x:c>
      <x:c r="C6" s="70" t="str">
        <x:v>기존 팩 결과 고정</x:v>
      </x:c>
    </x:row>
    <x:row r="7">
      <x:c r="A7" s="71" t="str">
        <x:v>2. Calibration 8개</x:v>
      </x:c>
      <x:c r="B7" s="72" t="str">
        <x:v>11~18번 파일을 실행하고 01_예상탐지·02_정상예외를 기록</x:v>
      </x:c>
      <x:c r="C7" s="73" t="str">
        <x:v>32건·27예외 기록</x:v>
      </x:c>
    </x:row>
    <x:row r="8">
      <x:c r="A8" s="71" t="str">
        <x:v>3. 엔진 보완</x:v>
      </x:c>
      <x:c r="B8" s="72" t="str">
        <x:v>지원 계약 안의 반복 미탐·오탐만 최소 수정</x:v>
      </x:c>
      <x:c r="C8" s="73" t="str">
        <x:v>과도한 민감도 증가 금지</x:v>
      </x:c>
    </x:row>
    <x:row r="9">
      <x:c r="A9" s="71" t="str">
        <x:v>4. 규칙 고정</x:v>
      </x:c>
      <x:c r="B9" s="72" t="str">
        <x:v>Calibration 결과가 안정되면 엔진·Rule Set 버전 고정</x:v>
      </x:c>
      <x:c r="C9" s="73" t="str">
        <x:v>버전 기록</x:v>
      </x:c>
    </x:row>
    <x:row r="10">
      <x:c r="A10" s="71" t="str">
        <x:v>5. Holdout 2개</x:v>
      </x:c>
      <x:c r="B10" s="72" t="str">
        <x:v>19번 이상 파일과 20번 정상 통제 파일을 마지막에 한 번 실행</x:v>
      </x:c>
      <x:c r="C10" s="73" t="str">
        <x:v>교정 없이 평가</x:v>
      </x:c>
    </x:row>
    <x:row r="11">
      <x:c r="A11" s="74" t="str">
        <x:v>6. 결과 판정</x:v>
      </x:c>
      <x:c r="B11" s="75" t="str">
        <x:v>위치·상위 Rule, Subtype, FP, 처리시간을 확인</x:v>
      </x:c>
      <x:c r="C11" s="76" t="str">
        <x:v>성과지표 검토</x:v>
      </x:c>
    </x:row>
    <x:row r="14">
      <x:c r="A14" s="145" t="str">
        <x:v>중요: 20_다중사업부_정상통제.xlsx는 M4 Finding 0건이 기대 결과입니다.</x:v>
      </x:c>
      <x:c r="B14" s="146"/>
      <x:c r="C14" s="146"/>
      <x:c r="D14" s="146"/>
      <x:c r="E14" s="146"/>
      <x:c r="F14" s="146"/>
      <x:c r="G14" s="146"/>
      <x:c r="H14" s="147"/>
    </x:row>
  </x:sheetData>
  <x:mergeCells>
    <x:mergeCell ref="A1:H1"/>
    <x:mergeCell ref="A2:H2"/>
    <x:mergeCell ref="A3:H3"/>
    <x:mergeCell ref="A14:H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4" hidden="0" customWidth="1"/>
    <x:col min="4" max="4" width="3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</x:cols>
  <x:sheetData>
    <x:row r="1" ht="30" customHeight="1">
      <x:c r="A1" s="5" t="str">
        <x:v>추가팩 품질 성과지표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2" t="str">
        <x:v>실제 탐지 입력에 따라 위치 Recall·Rule 일치·Subtype 일치·오탐 지표를 자동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5" ht="28" customHeight="1">
      <x:c r="A5" s="33" t="str">
        <x:v>지표</x:v>
      </x:c>
      <x:c r="B5" s="35" t="str">
        <x:v>값</x:v>
      </x:c>
      <x:c r="D5" s="33" t="str">
        <x:v>파일</x:v>
      </x:c>
      <x:c r="E5" s="34" t="str">
        <x:v>용도</x:v>
      </x:c>
      <x:c r="F5" s="34" t="str">
        <x:v>예상</x:v>
      </x:c>
      <x:c r="G5" s="34" t="str">
        <x:v>탐지</x:v>
      </x:c>
      <x:c r="H5" s="34" t="str">
        <x:v>미탐</x:v>
      </x:c>
      <x:c r="I5" s="34" t="str">
        <x:v>정상예외</x:v>
      </x:c>
      <x:c r="J5" s="34" t="str">
        <x:v>오탐</x:v>
      </x:c>
      <x:c r="K5" s="35" t="str">
        <x:v>상태</x:v>
      </x:c>
    </x:row>
    <x:row r="6">
      <x:c r="A6" s="122" t="str">
        <x:v>예상 탐지 총건수</x:v>
      </x:c>
      <x:c r="B6" s="154" t="n">
        <x:f>COUNTA('01_예상탐지'!A6:A41)</x:f>
        <x:v>36</x:v>
      </x:c>
      <x:c r="D6" s="165" t="str">
        <x:v>11_구매발주_관리.xlsx</x:v>
      </x:c>
      <x:c r="E6" s="166" t="str">
        <x:v>Calibration</x:v>
      </x:c>
      <x:c r="F6" s="166" t="n">
        <x:f>COUNTIF('01_예상탐지'!$B$6:$B$41,D6)</x:f>
        <x:v>4</x:v>
      </x:c>
      <x:c r="G6" s="166" t="n">
        <x:f>COUNTIFS('01_예상탐지'!$B$6:$B$41,D6,'01_예상탐지'!$M$6:$M$41,"Y")</x:f>
        <x:v>0</x:v>
      </x:c>
      <x:c r="H6" s="166" t="n">
        <x:f>COUNTIFS('01_예상탐지'!$B$6:$B$41,D6,'01_예상탐지'!$M$6:$M$41,"N")</x:f>
        <x:v>0</x:v>
      </x:c>
      <x:c r="I6" s="166" t="n">
        <x:f>COUNTIF('02_정상예외'!$B$6:$B$41,D6)</x:f>
        <x:v>3</x:v>
      </x:c>
      <x:c r="J6" s="166" t="n">
        <x:f>COUNTIFS('02_정상예외'!$B$6:$B$41,D6,'02_정상예외'!$I$6:$I$41,"Y")</x:f>
        <x:v>0</x:v>
      </x:c>
      <x:c r="K6" s="167" t="str">
        <x:f>IF(COUNTIFS('01_예상탐지'!$B$6:$B$41,D6,'01_예상탐지'!$M$6:$M$41,"미실행")+COUNTIFS('02_정상예외'!$B$6:$B$41,D6,'02_정상예외'!$I$6:$I$41,"미실행")&gt;0,"미완료","완료")</x:f>
        <x:v>미완료</x:v>
      </x:c>
    </x:row>
    <x:row r="7">
      <x:c r="A7" s="122" t="str">
        <x:v>실행 완료 건수</x:v>
      </x:c>
      <x:c r="B7" s="155" t="n">
        <x:f>COUNTIF('01_예상탐지'!M6:M41,"Y")+COUNTIF('01_예상탐지'!M6:M41,"N")</x:f>
        <x:v>0</x:v>
      </x:c>
      <x:c r="D7" s="168" t="str">
        <x:v>12_현금흐름_자금계획.xlsx</x:v>
      </x:c>
      <x:c r="E7" s="169" t="str">
        <x:v>Calibration</x:v>
      </x:c>
      <x:c r="F7" s="169" t="n">
        <x:f>COUNTIF('01_예상탐지'!$B$6:$B$41,D7)</x:f>
        <x:v>4</x:v>
      </x:c>
      <x:c r="G7" s="169" t="n">
        <x:f>COUNTIFS('01_예상탐지'!$B$6:$B$41,D7,'01_예상탐지'!$M$6:$M$41,"Y")</x:f>
        <x:v>0</x:v>
      </x:c>
      <x:c r="H7" s="169" t="n">
        <x:f>COUNTIFS('01_예상탐지'!$B$6:$B$41,D7,'01_예상탐지'!$M$6:$M$41,"N")</x:f>
        <x:v>0</x:v>
      </x:c>
      <x:c r="I7" s="169" t="n">
        <x:f>COUNTIF('02_정상예외'!$B$6:$B$41,D7)</x:f>
        <x:v>3</x:v>
      </x:c>
      <x:c r="J7" s="169" t="n">
        <x:f>COUNTIFS('02_정상예외'!$B$6:$B$41,D7,'02_정상예외'!$I$6:$I$41,"Y")</x:f>
        <x:v>0</x:v>
      </x:c>
      <x:c r="K7" s="170" t="str">
        <x:f>IF(COUNTIFS('01_예상탐지'!$B$6:$B$41,D7,'01_예상탐지'!$M$6:$M$41,"미실행")+COUNTIFS('02_정상예외'!$B$6:$B$41,D7,'02_정상예외'!$I$6:$I$41,"미실행")&gt;0,"미완료","완료")</x:f>
        <x:v>미완료</x:v>
      </x:c>
    </x:row>
    <x:row r="8">
      <x:c r="A8" s="122" t="str">
        <x:v>위치 True Positive</x:v>
      </x:c>
      <x:c r="B8" s="155" t="n">
        <x:f>COUNTIF('01_예상탐지'!M6:M41,"Y")</x:f>
        <x:v>0</x:v>
      </x:c>
      <x:c r="D8" s="168" t="str">
        <x:v>13_고정자산_감가상각.xlsx</x:v>
      </x:c>
      <x:c r="E8" s="169" t="str">
        <x:v>Calibration</x:v>
      </x:c>
      <x:c r="F8" s="169" t="n">
        <x:f>COUNTIF('01_예상탐지'!$B$6:$B$41,D8)</x:f>
        <x:v>4</x:v>
      </x:c>
      <x:c r="G8" s="169" t="n">
        <x:f>COUNTIFS('01_예상탐지'!$B$6:$B$41,D8,'01_예상탐지'!$M$6:$M$41,"Y")</x:f>
        <x:v>0</x:v>
      </x:c>
      <x:c r="H8" s="169" t="n">
        <x:f>COUNTIFS('01_예상탐지'!$B$6:$B$41,D8,'01_예상탐지'!$M$6:$M$41,"N")</x:f>
        <x:v>0</x:v>
      </x:c>
      <x:c r="I8" s="169" t="n">
        <x:f>COUNTIF('02_정상예외'!$B$6:$B$41,D8)</x:f>
        <x:v>3</x:v>
      </x:c>
      <x:c r="J8" s="169" t="n">
        <x:f>COUNTIFS('02_정상예외'!$B$6:$B$41,D8,'02_정상예외'!$I$6:$I$41,"Y")</x:f>
        <x:v>0</x:v>
      </x:c>
      <x:c r="K8" s="170" t="str">
        <x:f>IF(COUNTIFS('01_예상탐지'!$B$6:$B$41,D8,'01_예상탐지'!$M$6:$M$41,"미실행")+COUNTIFS('02_정상예외'!$B$6:$B$41,D8,'02_정상예외'!$I$6:$I$41,"미실행")&gt;0,"미완료","완료")</x:f>
        <x:v>미완료</x:v>
      </x:c>
    </x:row>
    <x:row r="9">
      <x:c r="A9" s="122" t="str">
        <x:v>False Negative</x:v>
      </x:c>
      <x:c r="B9" s="155" t="n">
        <x:f>COUNTIF('01_예상탐지'!M6:M41,"N")</x:f>
        <x:v>0</x:v>
      </x:c>
      <x:c r="D9" s="168" t="str">
        <x:v>14_영업수수료_계산.xlsx</x:v>
      </x:c>
      <x:c r="E9" s="169" t="str">
        <x:v>Calibration</x:v>
      </x:c>
      <x:c r="F9" s="169" t="n">
        <x:f>COUNTIF('01_예상탐지'!$B$6:$B$41,D9)</x:f>
        <x:v>4</x:v>
      </x:c>
      <x:c r="G9" s="169" t="n">
        <x:f>COUNTIFS('01_예상탐지'!$B$6:$B$41,D9,'01_예상탐지'!$M$6:$M$41,"Y")</x:f>
        <x:v>0</x:v>
      </x:c>
      <x:c r="H9" s="169" t="n">
        <x:f>COUNTIFS('01_예상탐지'!$B$6:$B$41,D9,'01_예상탐지'!$M$6:$M$41,"N")</x:f>
        <x:v>0</x:v>
      </x:c>
      <x:c r="I9" s="169" t="n">
        <x:f>COUNTIF('02_정상예외'!$B$6:$B$41,D9)</x:f>
        <x:v>3</x:v>
      </x:c>
      <x:c r="J9" s="169" t="n">
        <x:f>COUNTIFS('02_정상예외'!$B$6:$B$41,D9,'02_정상예외'!$I$6:$I$41,"Y")</x:f>
        <x:v>0</x:v>
      </x:c>
      <x:c r="K9" s="170" t="str">
        <x:f>IF(COUNTIFS('01_예상탐지'!$B$6:$B$41,D9,'01_예상탐지'!$M$6:$M$41,"미실행")+COUNTIFS('02_정상예외'!$B$6:$B$41,D9,'02_정상예외'!$I$6:$I$41,"미실행")&gt;0,"미완료","완료")</x:f>
        <x:v>미완료</x:v>
      </x:c>
    </x:row>
    <x:row r="10">
      <x:c r="A10" s="122" t="str">
        <x:v>상위 Rule 일치 건수</x:v>
      </x:c>
      <x:c r="B10" s="155" t="n">
        <x:f>COUNTIF('01_예상탐지'!O6:O41,"Y")</x:f>
        <x:v>0</x:v>
      </x:c>
      <x:c r="D10" s="168" t="str">
        <x:v>15_생산계획_실적.xlsx</x:v>
      </x:c>
      <x:c r="E10" s="169" t="str">
        <x:v>Calibration</x:v>
      </x:c>
      <x:c r="F10" s="169" t="n">
        <x:f>COUNTIF('01_예상탐지'!$B$6:$B$41,D10)</x:f>
        <x:v>4</x:v>
      </x:c>
      <x:c r="G10" s="169" t="n">
        <x:f>COUNTIFS('01_예상탐지'!$B$6:$B$41,D10,'01_예상탐지'!$M$6:$M$41,"Y")</x:f>
        <x:v>0</x:v>
      </x:c>
      <x:c r="H10" s="169" t="n">
        <x:f>COUNTIFS('01_예상탐지'!$B$6:$B$41,D10,'01_예상탐지'!$M$6:$M$41,"N")</x:f>
        <x:v>0</x:v>
      </x:c>
      <x:c r="I10" s="169" t="n">
        <x:f>COUNTIF('02_정상예외'!$B$6:$B$41,D10)</x:f>
        <x:v>3</x:v>
      </x:c>
      <x:c r="J10" s="169" t="n">
        <x:f>COUNTIFS('02_정상예외'!$B$6:$B$41,D10,'02_정상예외'!$I$6:$I$41,"Y")</x:f>
        <x:v>0</x:v>
      </x:c>
      <x:c r="K10" s="170" t="str">
        <x:f>IF(COUNTIFS('01_예상탐지'!$B$6:$B$41,D10,'01_예상탐지'!$M$6:$M$41,"미실행")+COUNTIFS('02_정상예외'!$B$6:$B$41,D10,'02_정상예외'!$I$6:$I$41,"미실행")&gt;0,"미완료","완료")</x:f>
        <x:v>미완료</x:v>
      </x:c>
    </x:row>
    <x:row r="11">
      <x:c r="A11" s="122" t="str">
        <x:v>Subtype 일치 건수</x:v>
      </x:c>
      <x:c r="B11" s="155" t="n">
        <x:f>COUNTIF('01_예상탐지'!Q6:Q41,"Y")</x:f>
        <x:v>0</x:v>
      </x:c>
      <x:c r="D11" s="168" t="str">
        <x:v>16_근태연차_정산.xlsx</x:v>
      </x:c>
      <x:c r="E11" s="169" t="str">
        <x:v>Calibration</x:v>
      </x:c>
      <x:c r="F11" s="169" t="n">
        <x:f>COUNTIF('01_예상탐지'!$B$6:$B$41,D11)</x:f>
        <x:v>4</x:v>
      </x:c>
      <x:c r="G11" s="169" t="n">
        <x:f>COUNTIFS('01_예상탐지'!$B$6:$B$41,D11,'01_예상탐지'!$M$6:$M$41,"Y")</x:f>
        <x:v>0</x:v>
      </x:c>
      <x:c r="H11" s="169" t="n">
        <x:f>COUNTIFS('01_예상탐지'!$B$6:$B$41,D11,'01_예상탐지'!$M$6:$M$41,"N")</x:f>
        <x:v>0</x:v>
      </x:c>
      <x:c r="I11" s="169" t="n">
        <x:f>COUNTIF('02_정상예외'!$B$6:$B$41,D11)</x:f>
        <x:v>3</x:v>
      </x:c>
      <x:c r="J11" s="169" t="n">
        <x:f>COUNTIFS('02_정상예외'!$B$6:$B$41,D11,'02_정상예외'!$I$6:$I$41,"Y")</x:f>
        <x:v>0</x:v>
      </x:c>
      <x:c r="K11" s="170" t="str">
        <x:f>IF(COUNTIFS('01_예상탐지'!$B$6:$B$41,D11,'01_예상탐지'!$M$6:$M$41,"미실행")+COUNTIFS('02_정상예외'!$B$6:$B$41,D11,'02_정상예외'!$I$6:$I$41,"미실행")&gt;0,"미완료","완료")</x:f>
        <x:v>미완료</x:v>
      </x:c>
    </x:row>
    <x:row r="12">
      <x:c r="A12" s="122" t="str">
        <x:v>정상 예외 총건수</x:v>
      </x:c>
      <x:c r="B12" s="155" t="n">
        <x:f>COUNTA('02_정상예외'!A6:A41)</x:f>
        <x:v>36</x:v>
      </x:c>
      <x:c r="D12" s="168" t="str">
        <x:v>17_지점별_실적평가.xlsx</x:v>
      </x:c>
      <x:c r="E12" s="169" t="str">
        <x:v>Calibration</x:v>
      </x:c>
      <x:c r="F12" s="169" t="n">
        <x:f>COUNTIF('01_예상탐지'!$B$6:$B$41,D12)</x:f>
        <x:v>4</x:v>
      </x:c>
      <x:c r="G12" s="169" t="n">
        <x:f>COUNTIFS('01_예상탐지'!$B$6:$B$41,D12,'01_예상탐지'!$M$6:$M$41,"Y")</x:f>
        <x:v>0</x:v>
      </x:c>
      <x:c r="H12" s="169" t="n">
        <x:f>COUNTIFS('01_예상탐지'!$B$6:$B$41,D12,'01_예상탐지'!$M$6:$M$41,"N")</x:f>
        <x:v>0</x:v>
      </x:c>
      <x:c r="I12" s="169" t="n">
        <x:f>COUNTIF('02_정상예외'!$B$6:$B$41,D12)</x:f>
        <x:v>3</x:v>
      </x:c>
      <x:c r="J12" s="169" t="n">
        <x:f>COUNTIFS('02_정상예외'!$B$6:$B$41,D12,'02_정상예외'!$I$6:$I$41,"Y")</x:f>
        <x:v>0</x:v>
      </x:c>
      <x:c r="K12" s="170" t="str">
        <x:f>IF(COUNTIFS('01_예상탐지'!$B$6:$B$41,D12,'01_예상탐지'!$M$6:$M$41,"미실행")+COUNTIFS('02_정상예외'!$B$6:$B$41,D12,'02_정상예외'!$I$6:$I$41,"미실행")&gt;0,"미완료","완료")</x:f>
        <x:v>미완료</x:v>
      </x:c>
    </x:row>
    <x:row r="13">
      <x:c r="A13" s="122" t="str">
        <x:v>False Positive</x:v>
      </x:c>
      <x:c r="B13" s="155" t="n">
        <x:f>COUNTIF('02_정상예외'!J6:J41,"FP")</x:f>
        <x:v>0</x:v>
      </x:c>
      <x:c r="D13" s="168" t="str">
        <x:v>18_공통비_원가배부.xlsx</x:v>
      </x:c>
      <x:c r="E13" s="169" t="str">
        <x:v>Calibration</x:v>
      </x:c>
      <x:c r="F13" s="169" t="n">
        <x:f>COUNTIF('01_예상탐지'!$B$6:$B$41,D13)</x:f>
        <x:v>4</x:v>
      </x:c>
      <x:c r="G13" s="169" t="n">
        <x:f>COUNTIFS('01_예상탐지'!$B$6:$B$41,D13,'01_예상탐지'!$M$6:$M$41,"Y")</x:f>
        <x:v>0</x:v>
      </x:c>
      <x:c r="H13" s="169" t="n">
        <x:f>COUNTIFS('01_예상탐지'!$B$6:$B$41,D13,'01_예상탐지'!$M$6:$M$41,"N")</x:f>
        <x:v>0</x:v>
      </x:c>
      <x:c r="I13" s="169" t="n">
        <x:f>COUNTIF('02_정상예외'!$B$6:$B$41,D13)</x:f>
        <x:v>3</x:v>
      </x:c>
      <x:c r="J13" s="169" t="n">
        <x:f>COUNTIFS('02_정상예외'!$B$6:$B$41,D13,'02_정상예외'!$I$6:$I$41,"Y")</x:f>
        <x:v>0</x:v>
      </x:c>
      <x:c r="K13" s="170" t="str">
        <x:f>IF(COUNTIFS('01_예상탐지'!$B$6:$B$41,D13,'01_예상탐지'!$M$6:$M$41,"미실행")+COUNTIFS('02_정상예외'!$B$6:$B$41,D13,'02_정상예외'!$I$6:$I$41,"미실행")&gt;0,"미완료","완료")</x:f>
        <x:v>미완료</x:v>
      </x:c>
    </x:row>
    <x:row r="14">
      <x:c r="A14" s="122" t="str">
        <x:v>위치 Recall</x:v>
      </x:c>
      <x:c r="B14" s="161" t="n">
        <x:f>IFERROR(B8/B6,0)</x:f>
        <x:v>0</x:v>
      </x:c>
      <x:c r="D14" s="168" t="str">
        <x:v>19_계정잔액_대사.xlsx</x:v>
      </x:c>
      <x:c r="E14" s="169" t="str">
        <x:v>Holdout</x:v>
      </x:c>
      <x:c r="F14" s="169" t="n">
        <x:f>COUNTIF('01_예상탐지'!$B$6:$B$41,D14)</x:f>
        <x:v>4</x:v>
      </x:c>
      <x:c r="G14" s="169" t="n">
        <x:f>COUNTIFS('01_예상탐지'!$B$6:$B$41,D14,'01_예상탐지'!$M$6:$M$41,"Y")</x:f>
        <x:v>0</x:v>
      </x:c>
      <x:c r="H14" s="169" t="n">
        <x:f>COUNTIFS('01_예상탐지'!$B$6:$B$41,D14,'01_예상탐지'!$M$6:$M$41,"N")</x:f>
        <x:v>0</x:v>
      </x:c>
      <x:c r="I14" s="169" t="n">
        <x:f>COUNTIF('02_정상예외'!$B$6:$B$41,D14)</x:f>
        <x:v>3</x:v>
      </x:c>
      <x:c r="J14" s="169" t="n">
        <x:f>COUNTIFS('02_정상예외'!$B$6:$B$41,D14,'02_정상예외'!$I$6:$I$41,"Y")</x:f>
        <x:v>0</x:v>
      </x:c>
      <x:c r="K14" s="170" t="str">
        <x:f>IF(COUNTIFS('01_예상탐지'!$B$6:$B$41,D14,'01_예상탐지'!$M$6:$M$41,"미실행")+COUNTIFS('02_정상예외'!$B$6:$B$41,D14,'02_정상예외'!$I$6:$I$41,"미실행")&gt;0,"미완료","완료")</x:f>
        <x:v>미완료</x:v>
      </x:c>
    </x:row>
    <x:row r="15">
      <x:c r="A15" s="122" t="str">
        <x:v>상위 Rule 정확도</x:v>
      </x:c>
      <x:c r="B15" s="161" t="n">
        <x:f>IFERROR(B10/B8,0)</x:f>
        <x:v>0</x:v>
      </x:c>
      <x:c r="D15" s="171" t="str">
        <x:v>20_다중사업부_정상통제.xlsx</x:v>
      </x:c>
      <x:c r="E15" s="172" t="str">
        <x:v>Holdout</x:v>
      </x:c>
      <x:c r="F15" s="172" t="n">
        <x:f>COUNTIF('01_예상탐지'!$B$6:$B$41,D15)</x:f>
        <x:v>0</x:v>
      </x:c>
      <x:c r="G15" s="172" t="n">
        <x:f>COUNTIFS('01_예상탐지'!$B$6:$B$41,D15,'01_예상탐지'!$M$6:$M$41,"Y")</x:f>
        <x:v>0</x:v>
      </x:c>
      <x:c r="H15" s="172" t="n">
        <x:f>COUNTIFS('01_예상탐지'!$B$6:$B$41,D15,'01_예상탐지'!$M$6:$M$41,"N")</x:f>
        <x:v>0</x:v>
      </x:c>
      <x:c r="I15" s="172" t="n">
        <x:f>COUNTIF('02_정상예외'!$B$6:$B$41,D15)</x:f>
        <x:v>9</x:v>
      </x:c>
      <x:c r="J15" s="172" t="n">
        <x:f>COUNTIFS('02_정상예외'!$B$6:$B$41,D15,'02_정상예외'!$I$6:$I$41,"Y")</x:f>
        <x:v>0</x:v>
      </x:c>
      <x:c r="K15" s="173" t="str">
        <x:f>IF(COUNTIFS('01_예상탐지'!$B$6:$B$41,D15,'01_예상탐지'!$M$6:$M$41,"미실행")+COUNTIFS('02_정상예외'!$B$6:$B$41,D15,'02_정상예외'!$I$6:$I$41,"미실행")&gt;0,"미완료","완료")</x:f>
        <x:v>미완료</x:v>
      </x:c>
    </x:row>
    <x:row r="16">
      <x:c r="A16" s="122" t="str">
        <x:v>Subtype 정확도</x:v>
      </x:c>
      <x:c r="B16" s="161" t="n">
        <x:f>IFERROR(B11/B8,0)</x:f>
        <x:v>0</x:v>
      </x:c>
    </x:row>
    <x:row r="17">
      <x:c r="A17" s="122" t="str">
        <x:v>Precision</x:v>
      </x:c>
      <x:c r="B17" s="161" t="n">
        <x:f>IFERROR(B8/(B8+B13),0)</x:f>
        <x:v>0</x:v>
      </x:c>
    </x:row>
    <x:row r="18">
      <x:c r="A18" s="122" t="str">
        <x:v>F1</x:v>
      </x:c>
      <x:c r="B18" s="162" t="n">
        <x:f>IFERROR(2*B17*B14/(B17+B14),0)</x:f>
        <x:v>0</x:v>
      </x:c>
    </x:row>
  </x:sheetData>
  <x:mergeCells>
    <x:mergeCell ref="A1:K1"/>
    <x:mergeCell ref="A2:K2"/>
    <x:mergeCell ref="A3:K3"/>
  </x:mergeCells>
  <x:conditionalFormatting sqref="K6:K15">
    <x:cfRule type="expression" dxfId="7" priority="1">
      <x:formula>K6="완료"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62" hidden="0" customWidth="1"/>
  </x:cols>
  <x:sheetData>
    <x:row r="1" ht="30" customHeight="1">
      <x:c r="A1" s="5" t="str">
        <x:v>Holdout 실행 안내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19번·20번 파일은 Calibration 조정이 끝난 뒤 마지막에 실행합니다.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3" t="str">
        <x:v>파일</x:v>
      </x:c>
      <x:c r="B5" s="34" t="str">
        <x:v>기대 결과</x:v>
      </x:c>
      <x:c r="C5" s="34" t="str">
        <x:v>사용 시점</x:v>
      </x:c>
      <x:c r="D5" s="35" t="str">
        <x:v>주의</x:v>
      </x:c>
    </x:row>
    <x:row r="6">
      <x:c r="A6" s="68" t="str">
        <x:v>19_계정잔액_대사.xlsx</x:v>
      </x:c>
      <x:c r="B6" s="69" t="str">
        <x:v>예상 Finding 4건</x:v>
      </x:c>
      <x:c r="C6" s="69" t="str">
        <x:v>Calibration 규칙 고정 후</x:v>
      </x:c>
      <x:c r="D6" s="70" t="str">
        <x:v>미탐이 나와도 즉시 엔진을 이 파일에 맞추지 말고 원인을 기록</x:v>
      </x:c>
    </x:row>
    <x:row r="7">
      <x:c r="A7" s="74" t="str">
        <x:v>20_다중사업부_정상통제.xlsx</x:v>
      </x:c>
      <x:c r="B7" s="75" t="str">
        <x:v>M4 Finding 0건</x:v>
      </x:c>
      <x:c r="C7" s="75" t="str">
        <x:v>19번 실행 후</x:v>
      </x:c>
      <x:c r="D7" s="76" t="str">
        <x:v>Finding 발생 시 우선 False Positive로 검토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6" hidden="0" customWidth="1"/>
    <x:col min="5" max="5" width="16" hidden="0" customWidth="1"/>
    <x:col min="6" max="6" width="24" hidden="0" customWidth="1"/>
    <x:col min="7" max="7" width="28" hidden="0" customWidth="1"/>
    <x:col min="8" max="8" width="18" hidden="0" customWidth="1"/>
    <x:col min="9" max="9" width="14" hidden="0" customWidth="1"/>
    <x:col min="10" max="10" width="22" hidden="0" customWidth="1"/>
    <x:col min="11" max="11" width="44" hidden="0" customWidth="1"/>
    <x:col min="12" max="12" width="18" hidden="0" customWidth="1"/>
  </x:cols>
  <x:sheetData>
    <x:row r="1" ht="30" customHeight="1">
      <x:c r="A1" s="5" t="str">
        <x:v>추가 Finding 수동 판정 로그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실행 중 예상표에 없는 Finding을 기록합니다.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5" ht="28" customHeight="1">
      <x:c r="A5" s="33" t="str">
        <x:v>검토ID</x:v>
      </x:c>
      <x:c r="B5" s="34" t="str">
        <x:v>파일</x:v>
      </x:c>
      <x:c r="C5" s="34" t="str">
        <x:v>검사일</x:v>
      </x:c>
      <x:c r="D5" s="34" t="str">
        <x:v>Scanner 버전</x:v>
      </x:c>
      <x:c r="E5" s="34" t="str">
        <x:v>Rule Set</x:v>
      </x:c>
      <x:c r="F5" s="34" t="str">
        <x:v>Finding Key</x:v>
      </x:c>
      <x:c r="G5" s="34" t="str">
        <x:v>Rule Code</x:v>
      </x:c>
      <x:c r="H5" s="34" t="str">
        <x:v>Sheet</x:v>
      </x:c>
      <x:c r="I5" s="34" t="str">
        <x:v>Cell/Range</x:v>
      </x:c>
      <x:c r="J5" s="34" t="str">
        <x:v>전문가 판정</x:v>
      </x:c>
      <x:c r="K5" s="34" t="str">
        <x:v>판정 근거</x:v>
      </x:c>
      <x:c r="L5" s="35" t="str">
        <x:v>후속조치</x:v>
      </x:c>
    </x:row>
    <x:row r="6">
      <x:c r="A6" s="127" t="str">
        <x:v>AR001</x:v>
      </x:c>
      <x:c r="B6" s="128" t="str"/>
      <x:c r="C6" s="183"/>
      <x:c r="D6" s="128" t="str"/>
      <x:c r="E6" s="128" t="str"/>
      <x:c r="F6" s="128" t="str"/>
      <x:c r="G6" s="128" t="str"/>
      <x:c r="H6" s="128" t="str"/>
      <x:c r="I6" s="128" t="str"/>
      <x:c r="J6" s="128" t="str">
        <x:v>미판정</x:v>
      </x:c>
      <x:c r="K6" s="128" t="str"/>
      <x:c r="L6" s="129" t="str"/>
    </x:row>
    <x:row r="7">
      <x:c r="A7" s="130" t="str">
        <x:v>AR002</x:v>
      </x:c>
      <x:c r="B7" s="103" t="str"/>
      <x:c r="C7" s="184"/>
      <x:c r="D7" s="103" t="str"/>
      <x:c r="E7" s="103" t="str"/>
      <x:c r="F7" s="103" t="str"/>
      <x:c r="G7" s="103" t="str"/>
      <x:c r="H7" s="103" t="str"/>
      <x:c r="I7" s="103" t="str"/>
      <x:c r="J7" s="103" t="str">
        <x:v>미판정</x:v>
      </x:c>
      <x:c r="K7" s="103" t="str"/>
      <x:c r="L7" s="131" t="str"/>
    </x:row>
    <x:row r="8">
      <x:c r="A8" s="130" t="str">
        <x:v>AR003</x:v>
      </x:c>
      <x:c r="B8" s="103" t="str"/>
      <x:c r="C8" s="184"/>
      <x:c r="D8" s="103" t="str"/>
      <x:c r="E8" s="103" t="str"/>
      <x:c r="F8" s="103" t="str"/>
      <x:c r="G8" s="103" t="str"/>
      <x:c r="H8" s="103" t="str"/>
      <x:c r="I8" s="103" t="str"/>
      <x:c r="J8" s="103" t="str">
        <x:v>미판정</x:v>
      </x:c>
      <x:c r="K8" s="103" t="str"/>
      <x:c r="L8" s="131" t="str"/>
    </x:row>
    <x:row r="9">
      <x:c r="A9" s="130" t="str">
        <x:v>AR004</x:v>
      </x:c>
      <x:c r="B9" s="103" t="str"/>
      <x:c r="C9" s="184"/>
      <x:c r="D9" s="103" t="str"/>
      <x:c r="E9" s="103" t="str"/>
      <x:c r="F9" s="103" t="str"/>
      <x:c r="G9" s="103" t="str"/>
      <x:c r="H9" s="103" t="str"/>
      <x:c r="I9" s="103" t="str"/>
      <x:c r="J9" s="103" t="str">
        <x:v>미판정</x:v>
      </x:c>
      <x:c r="K9" s="103" t="str"/>
      <x:c r="L9" s="131" t="str"/>
    </x:row>
    <x:row r="10">
      <x:c r="A10" s="130" t="str">
        <x:v>AR005</x:v>
      </x:c>
      <x:c r="B10" s="103" t="str"/>
      <x:c r="C10" s="184"/>
      <x:c r="D10" s="103" t="str"/>
      <x:c r="E10" s="103" t="str"/>
      <x:c r="F10" s="103" t="str"/>
      <x:c r="G10" s="103" t="str"/>
      <x:c r="H10" s="103" t="str"/>
      <x:c r="I10" s="103" t="str"/>
      <x:c r="J10" s="103" t="str">
        <x:v>미판정</x:v>
      </x:c>
      <x:c r="K10" s="103" t="str"/>
      <x:c r="L10" s="131" t="str"/>
    </x:row>
    <x:row r="11">
      <x:c r="A11" s="130" t="str">
        <x:v>AR006</x:v>
      </x:c>
      <x:c r="B11" s="103" t="str"/>
      <x:c r="C11" s="184"/>
      <x:c r="D11" s="103" t="str"/>
      <x:c r="E11" s="103" t="str"/>
      <x:c r="F11" s="103" t="str"/>
      <x:c r="G11" s="103" t="str"/>
      <x:c r="H11" s="103" t="str"/>
      <x:c r="I11" s="103" t="str"/>
      <x:c r="J11" s="103" t="str">
        <x:v>미판정</x:v>
      </x:c>
      <x:c r="K11" s="103" t="str"/>
      <x:c r="L11" s="131" t="str"/>
    </x:row>
    <x:row r="12">
      <x:c r="A12" s="130" t="str">
        <x:v>AR007</x:v>
      </x:c>
      <x:c r="B12" s="103" t="str"/>
      <x:c r="C12" s="184"/>
      <x:c r="D12" s="103" t="str"/>
      <x:c r="E12" s="103" t="str"/>
      <x:c r="F12" s="103" t="str"/>
      <x:c r="G12" s="103" t="str"/>
      <x:c r="H12" s="103" t="str"/>
      <x:c r="I12" s="103" t="str"/>
      <x:c r="J12" s="103" t="str">
        <x:v>미판정</x:v>
      </x:c>
      <x:c r="K12" s="103" t="str"/>
      <x:c r="L12" s="131" t="str"/>
    </x:row>
    <x:row r="13">
      <x:c r="A13" s="130" t="str">
        <x:v>AR008</x:v>
      </x:c>
      <x:c r="B13" s="103" t="str"/>
      <x:c r="C13" s="184"/>
      <x:c r="D13" s="103" t="str"/>
      <x:c r="E13" s="103" t="str"/>
      <x:c r="F13" s="103" t="str"/>
      <x:c r="G13" s="103" t="str"/>
      <x:c r="H13" s="103" t="str"/>
      <x:c r="I13" s="103" t="str"/>
      <x:c r="J13" s="103" t="str">
        <x:v>미판정</x:v>
      </x:c>
      <x:c r="K13" s="103" t="str"/>
      <x:c r="L13" s="131" t="str"/>
    </x:row>
    <x:row r="14">
      <x:c r="A14" s="130" t="str">
        <x:v>AR009</x:v>
      </x:c>
      <x:c r="B14" s="103" t="str"/>
      <x:c r="C14" s="184"/>
      <x:c r="D14" s="103" t="str"/>
      <x:c r="E14" s="103" t="str"/>
      <x:c r="F14" s="103" t="str"/>
      <x:c r="G14" s="103" t="str"/>
      <x:c r="H14" s="103" t="str"/>
      <x:c r="I14" s="103" t="str"/>
      <x:c r="J14" s="103" t="str">
        <x:v>미판정</x:v>
      </x:c>
      <x:c r="K14" s="103" t="str"/>
      <x:c r="L14" s="131" t="str"/>
    </x:row>
    <x:row r="15">
      <x:c r="A15" s="130" t="str">
        <x:v>AR010</x:v>
      </x:c>
      <x:c r="B15" s="103" t="str"/>
      <x:c r="C15" s="184"/>
      <x:c r="D15" s="103" t="str"/>
      <x:c r="E15" s="103" t="str"/>
      <x:c r="F15" s="103" t="str"/>
      <x:c r="G15" s="103" t="str"/>
      <x:c r="H15" s="103" t="str"/>
      <x:c r="I15" s="103" t="str"/>
      <x:c r="J15" s="103" t="str">
        <x:v>미판정</x:v>
      </x:c>
      <x:c r="K15" s="103" t="str"/>
      <x:c r="L15" s="131" t="str"/>
    </x:row>
    <x:row r="16">
      <x:c r="A16" s="130" t="str">
        <x:v>AR011</x:v>
      </x:c>
      <x:c r="B16" s="103" t="str"/>
      <x:c r="C16" s="184"/>
      <x:c r="D16" s="103" t="str"/>
      <x:c r="E16" s="103" t="str"/>
      <x:c r="F16" s="103" t="str"/>
      <x:c r="G16" s="103" t="str"/>
      <x:c r="H16" s="103" t="str"/>
      <x:c r="I16" s="103" t="str"/>
      <x:c r="J16" s="103" t="str">
        <x:v>미판정</x:v>
      </x:c>
      <x:c r="K16" s="103" t="str"/>
      <x:c r="L16" s="131" t="str"/>
    </x:row>
    <x:row r="17">
      <x:c r="A17" s="130" t="str">
        <x:v>AR012</x:v>
      </x:c>
      <x:c r="B17" s="103" t="str"/>
      <x:c r="C17" s="184"/>
      <x:c r="D17" s="103" t="str"/>
      <x:c r="E17" s="103" t="str"/>
      <x:c r="F17" s="103" t="str"/>
      <x:c r="G17" s="103" t="str"/>
      <x:c r="H17" s="103" t="str"/>
      <x:c r="I17" s="103" t="str"/>
      <x:c r="J17" s="103" t="str">
        <x:v>미판정</x:v>
      </x:c>
      <x:c r="K17" s="103" t="str"/>
      <x:c r="L17" s="131" t="str"/>
    </x:row>
    <x:row r="18">
      <x:c r="A18" s="130" t="str">
        <x:v>AR013</x:v>
      </x:c>
      <x:c r="B18" s="103" t="str"/>
      <x:c r="C18" s="184"/>
      <x:c r="D18" s="103" t="str"/>
      <x:c r="E18" s="103" t="str"/>
      <x:c r="F18" s="103" t="str"/>
      <x:c r="G18" s="103" t="str"/>
      <x:c r="H18" s="103" t="str"/>
      <x:c r="I18" s="103" t="str"/>
      <x:c r="J18" s="103" t="str">
        <x:v>미판정</x:v>
      </x:c>
      <x:c r="K18" s="103" t="str"/>
      <x:c r="L18" s="131" t="str"/>
    </x:row>
    <x:row r="19">
      <x:c r="A19" s="130" t="str">
        <x:v>AR014</x:v>
      </x:c>
      <x:c r="B19" s="103" t="str"/>
      <x:c r="C19" s="184"/>
      <x:c r="D19" s="103" t="str"/>
      <x:c r="E19" s="103" t="str"/>
      <x:c r="F19" s="103" t="str"/>
      <x:c r="G19" s="103" t="str"/>
      <x:c r="H19" s="103" t="str"/>
      <x:c r="I19" s="103" t="str"/>
      <x:c r="J19" s="103" t="str">
        <x:v>미판정</x:v>
      </x:c>
      <x:c r="K19" s="103" t="str"/>
      <x:c r="L19" s="131" t="str"/>
    </x:row>
    <x:row r="20">
      <x:c r="A20" s="130" t="str">
        <x:v>AR015</x:v>
      </x:c>
      <x:c r="B20" s="103" t="str"/>
      <x:c r="C20" s="184"/>
      <x:c r="D20" s="103" t="str"/>
      <x:c r="E20" s="103" t="str"/>
      <x:c r="F20" s="103" t="str"/>
      <x:c r="G20" s="103" t="str"/>
      <x:c r="H20" s="103" t="str"/>
      <x:c r="I20" s="103" t="str"/>
      <x:c r="J20" s="103" t="str">
        <x:v>미판정</x:v>
      </x:c>
      <x:c r="K20" s="103" t="str"/>
      <x:c r="L20" s="131" t="str"/>
    </x:row>
    <x:row r="21">
      <x:c r="A21" s="130" t="str">
        <x:v>AR016</x:v>
      </x:c>
      <x:c r="B21" s="103" t="str"/>
      <x:c r="C21" s="184"/>
      <x:c r="D21" s="103" t="str"/>
      <x:c r="E21" s="103" t="str"/>
      <x:c r="F21" s="103" t="str"/>
      <x:c r="G21" s="103" t="str"/>
      <x:c r="H21" s="103" t="str"/>
      <x:c r="I21" s="103" t="str"/>
      <x:c r="J21" s="103" t="str">
        <x:v>미판정</x:v>
      </x:c>
      <x:c r="K21" s="103" t="str"/>
      <x:c r="L21" s="131" t="str"/>
    </x:row>
    <x:row r="22">
      <x:c r="A22" s="130" t="str">
        <x:v>AR017</x:v>
      </x:c>
      <x:c r="B22" s="103" t="str"/>
      <x:c r="C22" s="184"/>
      <x:c r="D22" s="103" t="str"/>
      <x:c r="E22" s="103" t="str"/>
      <x:c r="F22" s="103" t="str"/>
      <x:c r="G22" s="103" t="str"/>
      <x:c r="H22" s="103" t="str"/>
      <x:c r="I22" s="103" t="str"/>
      <x:c r="J22" s="103" t="str">
        <x:v>미판정</x:v>
      </x:c>
      <x:c r="K22" s="103" t="str"/>
      <x:c r="L22" s="131" t="str"/>
    </x:row>
    <x:row r="23">
      <x:c r="A23" s="130" t="str">
        <x:v>AR018</x:v>
      </x:c>
      <x:c r="B23" s="103" t="str"/>
      <x:c r="C23" s="184"/>
      <x:c r="D23" s="103" t="str"/>
      <x:c r="E23" s="103" t="str"/>
      <x:c r="F23" s="103" t="str"/>
      <x:c r="G23" s="103" t="str"/>
      <x:c r="H23" s="103" t="str"/>
      <x:c r="I23" s="103" t="str"/>
      <x:c r="J23" s="103" t="str">
        <x:v>미판정</x:v>
      </x:c>
      <x:c r="K23" s="103" t="str"/>
      <x:c r="L23" s="131" t="str"/>
    </x:row>
    <x:row r="24">
      <x:c r="A24" s="130" t="str">
        <x:v>AR019</x:v>
      </x:c>
      <x:c r="B24" s="103" t="str"/>
      <x:c r="C24" s="184"/>
      <x:c r="D24" s="103" t="str"/>
      <x:c r="E24" s="103" t="str"/>
      <x:c r="F24" s="103" t="str"/>
      <x:c r="G24" s="103" t="str"/>
      <x:c r="H24" s="103" t="str"/>
      <x:c r="I24" s="103" t="str"/>
      <x:c r="J24" s="103" t="str">
        <x:v>미판정</x:v>
      </x:c>
      <x:c r="K24" s="103" t="str"/>
      <x:c r="L24" s="131" t="str"/>
    </x:row>
    <x:row r="25">
      <x:c r="A25" s="130" t="str">
        <x:v>AR020</x:v>
      </x:c>
      <x:c r="B25" s="103" t="str"/>
      <x:c r="C25" s="184"/>
      <x:c r="D25" s="103" t="str"/>
      <x:c r="E25" s="103" t="str"/>
      <x:c r="F25" s="103" t="str"/>
      <x:c r="G25" s="103" t="str"/>
      <x:c r="H25" s="103" t="str"/>
      <x:c r="I25" s="103" t="str"/>
      <x:c r="J25" s="103" t="str">
        <x:v>미판정</x:v>
      </x:c>
      <x:c r="K25" s="103" t="str"/>
      <x:c r="L25" s="131" t="str"/>
    </x:row>
    <x:row r="26">
      <x:c r="A26" s="130" t="str">
        <x:v>AR021</x:v>
      </x:c>
      <x:c r="B26" s="103" t="str"/>
      <x:c r="C26" s="184"/>
      <x:c r="D26" s="103" t="str"/>
      <x:c r="E26" s="103" t="str"/>
      <x:c r="F26" s="103" t="str"/>
      <x:c r="G26" s="103" t="str"/>
      <x:c r="H26" s="103" t="str"/>
      <x:c r="I26" s="103" t="str"/>
      <x:c r="J26" s="103" t="str">
        <x:v>미판정</x:v>
      </x:c>
      <x:c r="K26" s="103" t="str"/>
      <x:c r="L26" s="131" t="str"/>
    </x:row>
    <x:row r="27">
      <x:c r="A27" s="130" t="str">
        <x:v>AR022</x:v>
      </x:c>
      <x:c r="B27" s="103" t="str"/>
      <x:c r="C27" s="184"/>
      <x:c r="D27" s="103" t="str"/>
      <x:c r="E27" s="103" t="str"/>
      <x:c r="F27" s="103" t="str"/>
      <x:c r="G27" s="103" t="str"/>
      <x:c r="H27" s="103" t="str"/>
      <x:c r="I27" s="103" t="str"/>
      <x:c r="J27" s="103" t="str">
        <x:v>미판정</x:v>
      </x:c>
      <x:c r="K27" s="103" t="str"/>
      <x:c r="L27" s="131" t="str"/>
    </x:row>
    <x:row r="28">
      <x:c r="A28" s="130" t="str">
        <x:v>AR023</x:v>
      </x:c>
      <x:c r="B28" s="103" t="str"/>
      <x:c r="C28" s="184"/>
      <x:c r="D28" s="103" t="str"/>
      <x:c r="E28" s="103" t="str"/>
      <x:c r="F28" s="103" t="str"/>
      <x:c r="G28" s="103" t="str"/>
      <x:c r="H28" s="103" t="str"/>
      <x:c r="I28" s="103" t="str"/>
      <x:c r="J28" s="103" t="str">
        <x:v>미판정</x:v>
      </x:c>
      <x:c r="K28" s="103" t="str"/>
      <x:c r="L28" s="131" t="str"/>
    </x:row>
    <x:row r="29">
      <x:c r="A29" s="130" t="str">
        <x:v>AR024</x:v>
      </x:c>
      <x:c r="B29" s="103" t="str"/>
      <x:c r="C29" s="184"/>
      <x:c r="D29" s="103" t="str"/>
      <x:c r="E29" s="103" t="str"/>
      <x:c r="F29" s="103" t="str"/>
      <x:c r="G29" s="103" t="str"/>
      <x:c r="H29" s="103" t="str"/>
      <x:c r="I29" s="103" t="str"/>
      <x:c r="J29" s="103" t="str">
        <x:v>미판정</x:v>
      </x:c>
      <x:c r="K29" s="103" t="str"/>
      <x:c r="L29" s="131" t="str"/>
    </x:row>
    <x:row r="30">
      <x:c r="A30" s="130" t="str">
        <x:v>AR025</x:v>
      </x:c>
      <x:c r="B30" s="103" t="str"/>
      <x:c r="C30" s="184"/>
      <x:c r="D30" s="103" t="str"/>
      <x:c r="E30" s="103" t="str"/>
      <x:c r="F30" s="103" t="str"/>
      <x:c r="G30" s="103" t="str"/>
      <x:c r="H30" s="103" t="str"/>
      <x:c r="I30" s="103" t="str"/>
      <x:c r="J30" s="103" t="str">
        <x:v>미판정</x:v>
      </x:c>
      <x:c r="K30" s="103" t="str"/>
      <x:c r="L30" s="131" t="str"/>
    </x:row>
    <x:row r="31">
      <x:c r="A31" s="130" t="str">
        <x:v>AR026</x:v>
      </x:c>
      <x:c r="B31" s="103" t="str"/>
      <x:c r="C31" s="184"/>
      <x:c r="D31" s="103" t="str"/>
      <x:c r="E31" s="103" t="str"/>
      <x:c r="F31" s="103" t="str"/>
      <x:c r="G31" s="103" t="str"/>
      <x:c r="H31" s="103" t="str"/>
      <x:c r="I31" s="103" t="str"/>
      <x:c r="J31" s="103" t="str">
        <x:v>미판정</x:v>
      </x:c>
      <x:c r="K31" s="103" t="str"/>
      <x:c r="L31" s="131" t="str"/>
    </x:row>
    <x:row r="32">
      <x:c r="A32" s="130" t="str">
        <x:v>AR027</x:v>
      </x:c>
      <x:c r="B32" s="103" t="str"/>
      <x:c r="C32" s="184"/>
      <x:c r="D32" s="103" t="str"/>
      <x:c r="E32" s="103" t="str"/>
      <x:c r="F32" s="103" t="str"/>
      <x:c r="G32" s="103" t="str"/>
      <x:c r="H32" s="103" t="str"/>
      <x:c r="I32" s="103" t="str"/>
      <x:c r="J32" s="103" t="str">
        <x:v>미판정</x:v>
      </x:c>
      <x:c r="K32" s="103" t="str"/>
      <x:c r="L32" s="131" t="str"/>
    </x:row>
    <x:row r="33">
      <x:c r="A33" s="130" t="str">
        <x:v>AR028</x:v>
      </x:c>
      <x:c r="B33" s="103" t="str"/>
      <x:c r="C33" s="184"/>
      <x:c r="D33" s="103" t="str"/>
      <x:c r="E33" s="103" t="str"/>
      <x:c r="F33" s="103" t="str"/>
      <x:c r="G33" s="103" t="str"/>
      <x:c r="H33" s="103" t="str"/>
      <x:c r="I33" s="103" t="str"/>
      <x:c r="J33" s="103" t="str">
        <x:v>미판정</x:v>
      </x:c>
      <x:c r="K33" s="103" t="str"/>
      <x:c r="L33" s="131" t="str"/>
    </x:row>
    <x:row r="34">
      <x:c r="A34" s="130" t="str">
        <x:v>AR029</x:v>
      </x:c>
      <x:c r="B34" s="103" t="str"/>
      <x:c r="C34" s="184"/>
      <x:c r="D34" s="103" t="str"/>
      <x:c r="E34" s="103" t="str"/>
      <x:c r="F34" s="103" t="str"/>
      <x:c r="G34" s="103" t="str"/>
      <x:c r="H34" s="103" t="str"/>
      <x:c r="I34" s="103" t="str"/>
      <x:c r="J34" s="103" t="str">
        <x:v>미판정</x:v>
      </x:c>
      <x:c r="K34" s="103" t="str"/>
      <x:c r="L34" s="131" t="str"/>
    </x:row>
    <x:row r="35">
      <x:c r="A35" s="130" t="str">
        <x:v>AR030</x:v>
      </x:c>
      <x:c r="B35" s="103" t="str"/>
      <x:c r="C35" s="184"/>
      <x:c r="D35" s="103" t="str"/>
      <x:c r="E35" s="103" t="str"/>
      <x:c r="F35" s="103" t="str"/>
      <x:c r="G35" s="103" t="str"/>
      <x:c r="H35" s="103" t="str"/>
      <x:c r="I35" s="103" t="str"/>
      <x:c r="J35" s="103" t="str">
        <x:v>미판정</x:v>
      </x:c>
      <x:c r="K35" s="103" t="str"/>
      <x:c r="L35" s="131" t="str"/>
    </x:row>
    <x:row r="36">
      <x:c r="A36" s="130" t="str">
        <x:v>AR031</x:v>
      </x:c>
      <x:c r="B36" s="103" t="str"/>
      <x:c r="C36" s="184"/>
      <x:c r="D36" s="103" t="str"/>
      <x:c r="E36" s="103" t="str"/>
      <x:c r="F36" s="103" t="str"/>
      <x:c r="G36" s="103" t="str"/>
      <x:c r="H36" s="103" t="str"/>
      <x:c r="I36" s="103" t="str"/>
      <x:c r="J36" s="103" t="str">
        <x:v>미판정</x:v>
      </x:c>
      <x:c r="K36" s="103" t="str"/>
      <x:c r="L36" s="131" t="str"/>
    </x:row>
    <x:row r="37">
      <x:c r="A37" s="130" t="str">
        <x:v>AR032</x:v>
      </x:c>
      <x:c r="B37" s="103" t="str"/>
      <x:c r="C37" s="184"/>
      <x:c r="D37" s="103" t="str"/>
      <x:c r="E37" s="103" t="str"/>
      <x:c r="F37" s="103" t="str"/>
      <x:c r="G37" s="103" t="str"/>
      <x:c r="H37" s="103" t="str"/>
      <x:c r="I37" s="103" t="str"/>
      <x:c r="J37" s="103" t="str">
        <x:v>미판정</x:v>
      </x:c>
      <x:c r="K37" s="103" t="str"/>
      <x:c r="L37" s="131" t="str"/>
    </x:row>
    <x:row r="38">
      <x:c r="A38" s="130" t="str">
        <x:v>AR033</x:v>
      </x:c>
      <x:c r="B38" s="103" t="str"/>
      <x:c r="C38" s="184"/>
      <x:c r="D38" s="103" t="str"/>
      <x:c r="E38" s="103" t="str"/>
      <x:c r="F38" s="103" t="str"/>
      <x:c r="G38" s="103" t="str"/>
      <x:c r="H38" s="103" t="str"/>
      <x:c r="I38" s="103" t="str"/>
      <x:c r="J38" s="103" t="str">
        <x:v>미판정</x:v>
      </x:c>
      <x:c r="K38" s="103" t="str"/>
      <x:c r="L38" s="131" t="str"/>
    </x:row>
    <x:row r="39">
      <x:c r="A39" s="130" t="str">
        <x:v>AR034</x:v>
      </x:c>
      <x:c r="B39" s="103" t="str"/>
      <x:c r="C39" s="184"/>
      <x:c r="D39" s="103" t="str"/>
      <x:c r="E39" s="103" t="str"/>
      <x:c r="F39" s="103" t="str"/>
      <x:c r="G39" s="103" t="str"/>
      <x:c r="H39" s="103" t="str"/>
      <x:c r="I39" s="103" t="str"/>
      <x:c r="J39" s="103" t="str">
        <x:v>미판정</x:v>
      </x:c>
      <x:c r="K39" s="103" t="str"/>
      <x:c r="L39" s="131" t="str"/>
    </x:row>
    <x:row r="40">
      <x:c r="A40" s="130" t="str">
        <x:v>AR035</x:v>
      </x:c>
      <x:c r="B40" s="103" t="str"/>
      <x:c r="C40" s="184"/>
      <x:c r="D40" s="103" t="str"/>
      <x:c r="E40" s="103" t="str"/>
      <x:c r="F40" s="103" t="str"/>
      <x:c r="G40" s="103" t="str"/>
      <x:c r="H40" s="103" t="str"/>
      <x:c r="I40" s="103" t="str"/>
      <x:c r="J40" s="103" t="str">
        <x:v>미판정</x:v>
      </x:c>
      <x:c r="K40" s="103" t="str"/>
      <x:c r="L40" s="131" t="str"/>
    </x:row>
    <x:row r="41">
      <x:c r="A41" s="130" t="str">
        <x:v>AR036</x:v>
      </x:c>
      <x:c r="B41" s="103" t="str"/>
      <x:c r="C41" s="184"/>
      <x:c r="D41" s="103" t="str"/>
      <x:c r="E41" s="103" t="str"/>
      <x:c r="F41" s="103" t="str"/>
      <x:c r="G41" s="103" t="str"/>
      <x:c r="H41" s="103" t="str"/>
      <x:c r="I41" s="103" t="str"/>
      <x:c r="J41" s="103" t="str">
        <x:v>미판정</x:v>
      </x:c>
      <x:c r="K41" s="103" t="str"/>
      <x:c r="L41" s="131" t="str"/>
    </x:row>
    <x:row r="42">
      <x:c r="A42" s="130" t="str">
        <x:v>AR037</x:v>
      </x:c>
      <x:c r="B42" s="103" t="str"/>
      <x:c r="C42" s="184"/>
      <x:c r="D42" s="103" t="str"/>
      <x:c r="E42" s="103" t="str"/>
      <x:c r="F42" s="103" t="str"/>
      <x:c r="G42" s="103" t="str"/>
      <x:c r="H42" s="103" t="str"/>
      <x:c r="I42" s="103" t="str"/>
      <x:c r="J42" s="103" t="str">
        <x:v>미판정</x:v>
      </x:c>
      <x:c r="K42" s="103" t="str"/>
      <x:c r="L42" s="131" t="str"/>
    </x:row>
    <x:row r="43">
      <x:c r="A43" s="130" t="str">
        <x:v>AR038</x:v>
      </x:c>
      <x:c r="B43" s="103" t="str"/>
      <x:c r="C43" s="184"/>
      <x:c r="D43" s="103" t="str"/>
      <x:c r="E43" s="103" t="str"/>
      <x:c r="F43" s="103" t="str"/>
      <x:c r="G43" s="103" t="str"/>
      <x:c r="H43" s="103" t="str"/>
      <x:c r="I43" s="103" t="str"/>
      <x:c r="J43" s="103" t="str">
        <x:v>미판정</x:v>
      </x:c>
      <x:c r="K43" s="103" t="str"/>
      <x:c r="L43" s="131" t="str"/>
    </x:row>
    <x:row r="44">
      <x:c r="A44" s="130" t="str">
        <x:v>AR039</x:v>
      </x:c>
      <x:c r="B44" s="103" t="str"/>
      <x:c r="C44" s="184"/>
      <x:c r="D44" s="103" t="str"/>
      <x:c r="E44" s="103" t="str"/>
      <x:c r="F44" s="103" t="str"/>
      <x:c r="G44" s="103" t="str"/>
      <x:c r="H44" s="103" t="str"/>
      <x:c r="I44" s="103" t="str"/>
      <x:c r="J44" s="103" t="str">
        <x:v>미판정</x:v>
      </x:c>
      <x:c r="K44" s="103" t="str"/>
      <x:c r="L44" s="131" t="str"/>
    </x:row>
    <x:row r="45">
      <x:c r="A45" s="130" t="str">
        <x:v>AR040</x:v>
      </x:c>
      <x:c r="B45" s="103" t="str"/>
      <x:c r="C45" s="184"/>
      <x:c r="D45" s="103" t="str"/>
      <x:c r="E45" s="103" t="str"/>
      <x:c r="F45" s="103" t="str"/>
      <x:c r="G45" s="103" t="str"/>
      <x:c r="H45" s="103" t="str"/>
      <x:c r="I45" s="103" t="str"/>
      <x:c r="J45" s="103" t="str">
        <x:v>미판정</x:v>
      </x:c>
      <x:c r="K45" s="103" t="str"/>
      <x:c r="L45" s="131" t="str"/>
    </x:row>
    <x:row r="46">
      <x:c r="A46" s="130" t="str">
        <x:v>AR041</x:v>
      </x:c>
      <x:c r="B46" s="103" t="str"/>
      <x:c r="C46" s="184"/>
      <x:c r="D46" s="103" t="str"/>
      <x:c r="E46" s="103" t="str"/>
      <x:c r="F46" s="103" t="str"/>
      <x:c r="G46" s="103" t="str"/>
      <x:c r="H46" s="103" t="str"/>
      <x:c r="I46" s="103" t="str"/>
      <x:c r="J46" s="103" t="str">
        <x:v>미판정</x:v>
      </x:c>
      <x:c r="K46" s="103" t="str"/>
      <x:c r="L46" s="131" t="str"/>
    </x:row>
    <x:row r="47">
      <x:c r="A47" s="130" t="str">
        <x:v>AR042</x:v>
      </x:c>
      <x:c r="B47" s="103" t="str"/>
      <x:c r="C47" s="184"/>
      <x:c r="D47" s="103" t="str"/>
      <x:c r="E47" s="103" t="str"/>
      <x:c r="F47" s="103" t="str"/>
      <x:c r="G47" s="103" t="str"/>
      <x:c r="H47" s="103" t="str"/>
      <x:c r="I47" s="103" t="str"/>
      <x:c r="J47" s="103" t="str">
        <x:v>미판정</x:v>
      </x:c>
      <x:c r="K47" s="103" t="str"/>
      <x:c r="L47" s="131" t="str"/>
    </x:row>
    <x:row r="48">
      <x:c r="A48" s="130" t="str">
        <x:v>AR043</x:v>
      </x:c>
      <x:c r="B48" s="103" t="str"/>
      <x:c r="C48" s="184"/>
      <x:c r="D48" s="103" t="str"/>
      <x:c r="E48" s="103" t="str"/>
      <x:c r="F48" s="103" t="str"/>
      <x:c r="G48" s="103" t="str"/>
      <x:c r="H48" s="103" t="str"/>
      <x:c r="I48" s="103" t="str"/>
      <x:c r="J48" s="103" t="str">
        <x:v>미판정</x:v>
      </x:c>
      <x:c r="K48" s="103" t="str"/>
      <x:c r="L48" s="131" t="str"/>
    </x:row>
    <x:row r="49">
      <x:c r="A49" s="130" t="str">
        <x:v>AR044</x:v>
      </x:c>
      <x:c r="B49" s="103" t="str"/>
      <x:c r="C49" s="184"/>
      <x:c r="D49" s="103" t="str"/>
      <x:c r="E49" s="103" t="str"/>
      <x:c r="F49" s="103" t="str"/>
      <x:c r="G49" s="103" t="str"/>
      <x:c r="H49" s="103" t="str"/>
      <x:c r="I49" s="103" t="str"/>
      <x:c r="J49" s="103" t="str">
        <x:v>미판정</x:v>
      </x:c>
      <x:c r="K49" s="103" t="str"/>
      <x:c r="L49" s="131" t="str"/>
    </x:row>
    <x:row r="50">
      <x:c r="A50" s="130" t="str">
        <x:v>AR045</x:v>
      </x:c>
      <x:c r="B50" s="103" t="str"/>
      <x:c r="C50" s="184"/>
      <x:c r="D50" s="103" t="str"/>
      <x:c r="E50" s="103" t="str"/>
      <x:c r="F50" s="103" t="str"/>
      <x:c r="G50" s="103" t="str"/>
      <x:c r="H50" s="103" t="str"/>
      <x:c r="I50" s="103" t="str"/>
      <x:c r="J50" s="103" t="str">
        <x:v>미판정</x:v>
      </x:c>
      <x:c r="K50" s="103" t="str"/>
      <x:c r="L50" s="131" t="str"/>
    </x:row>
    <x:row r="51">
      <x:c r="A51" s="130" t="str">
        <x:v>AR046</x:v>
      </x:c>
      <x:c r="B51" s="103" t="str"/>
      <x:c r="C51" s="184"/>
      <x:c r="D51" s="103" t="str"/>
      <x:c r="E51" s="103" t="str"/>
      <x:c r="F51" s="103" t="str"/>
      <x:c r="G51" s="103" t="str"/>
      <x:c r="H51" s="103" t="str"/>
      <x:c r="I51" s="103" t="str"/>
      <x:c r="J51" s="103" t="str">
        <x:v>미판정</x:v>
      </x:c>
      <x:c r="K51" s="103" t="str"/>
      <x:c r="L51" s="131" t="str"/>
    </x:row>
    <x:row r="52">
      <x:c r="A52" s="130" t="str">
        <x:v>AR047</x:v>
      </x:c>
      <x:c r="B52" s="103" t="str"/>
      <x:c r="C52" s="184"/>
      <x:c r="D52" s="103" t="str"/>
      <x:c r="E52" s="103" t="str"/>
      <x:c r="F52" s="103" t="str"/>
      <x:c r="G52" s="103" t="str"/>
      <x:c r="H52" s="103" t="str"/>
      <x:c r="I52" s="103" t="str"/>
      <x:c r="J52" s="103" t="str">
        <x:v>미판정</x:v>
      </x:c>
      <x:c r="K52" s="103" t="str"/>
      <x:c r="L52" s="131" t="str"/>
    </x:row>
    <x:row r="53">
      <x:c r="A53" s="130" t="str">
        <x:v>AR048</x:v>
      </x:c>
      <x:c r="B53" s="103" t="str"/>
      <x:c r="C53" s="184"/>
      <x:c r="D53" s="103" t="str"/>
      <x:c r="E53" s="103" t="str"/>
      <x:c r="F53" s="103" t="str"/>
      <x:c r="G53" s="103" t="str"/>
      <x:c r="H53" s="103" t="str"/>
      <x:c r="I53" s="103" t="str"/>
      <x:c r="J53" s="103" t="str">
        <x:v>미판정</x:v>
      </x:c>
      <x:c r="K53" s="103" t="str"/>
      <x:c r="L53" s="131" t="str"/>
    </x:row>
    <x:row r="54">
      <x:c r="A54" s="130" t="str">
        <x:v>AR049</x:v>
      </x:c>
      <x:c r="B54" s="103" t="str"/>
      <x:c r="C54" s="184"/>
      <x:c r="D54" s="103" t="str"/>
      <x:c r="E54" s="103" t="str"/>
      <x:c r="F54" s="103" t="str"/>
      <x:c r="G54" s="103" t="str"/>
      <x:c r="H54" s="103" t="str"/>
      <x:c r="I54" s="103" t="str"/>
      <x:c r="J54" s="103" t="str">
        <x:v>미판정</x:v>
      </x:c>
      <x:c r="K54" s="103" t="str"/>
      <x:c r="L54" s="131" t="str"/>
    </x:row>
    <x:row r="55">
      <x:c r="A55" s="130" t="str">
        <x:v>AR050</x:v>
      </x:c>
      <x:c r="B55" s="103" t="str"/>
      <x:c r="C55" s="184"/>
      <x:c r="D55" s="103" t="str"/>
      <x:c r="E55" s="103" t="str"/>
      <x:c r="F55" s="103" t="str"/>
      <x:c r="G55" s="103" t="str"/>
      <x:c r="H55" s="103" t="str"/>
      <x:c r="I55" s="103" t="str"/>
      <x:c r="J55" s="103" t="str">
        <x:v>미판정</x:v>
      </x:c>
      <x:c r="K55" s="103" t="str"/>
      <x:c r="L55" s="131" t="str"/>
    </x:row>
    <x:row r="56">
      <x:c r="A56" s="130" t="str">
        <x:v>AR051</x:v>
      </x:c>
      <x:c r="B56" s="103" t="str"/>
      <x:c r="C56" s="184"/>
      <x:c r="D56" s="103" t="str"/>
      <x:c r="E56" s="103" t="str"/>
      <x:c r="F56" s="103" t="str"/>
      <x:c r="G56" s="103" t="str"/>
      <x:c r="H56" s="103" t="str"/>
      <x:c r="I56" s="103" t="str"/>
      <x:c r="J56" s="103" t="str">
        <x:v>미판정</x:v>
      </x:c>
      <x:c r="K56" s="103" t="str"/>
      <x:c r="L56" s="131" t="str"/>
    </x:row>
    <x:row r="57">
      <x:c r="A57" s="130" t="str">
        <x:v>AR052</x:v>
      </x:c>
      <x:c r="B57" s="103" t="str"/>
      <x:c r="C57" s="184"/>
      <x:c r="D57" s="103" t="str"/>
      <x:c r="E57" s="103" t="str"/>
      <x:c r="F57" s="103" t="str"/>
      <x:c r="G57" s="103" t="str"/>
      <x:c r="H57" s="103" t="str"/>
      <x:c r="I57" s="103" t="str"/>
      <x:c r="J57" s="103" t="str">
        <x:v>미판정</x:v>
      </x:c>
      <x:c r="K57" s="103" t="str"/>
      <x:c r="L57" s="131" t="str"/>
    </x:row>
    <x:row r="58">
      <x:c r="A58" s="130" t="str">
        <x:v>AR053</x:v>
      </x:c>
      <x:c r="B58" s="103" t="str"/>
      <x:c r="C58" s="184"/>
      <x:c r="D58" s="103" t="str"/>
      <x:c r="E58" s="103" t="str"/>
      <x:c r="F58" s="103" t="str"/>
      <x:c r="G58" s="103" t="str"/>
      <x:c r="H58" s="103" t="str"/>
      <x:c r="I58" s="103" t="str"/>
      <x:c r="J58" s="103" t="str">
        <x:v>미판정</x:v>
      </x:c>
      <x:c r="K58" s="103" t="str"/>
      <x:c r="L58" s="131" t="str"/>
    </x:row>
    <x:row r="59">
      <x:c r="A59" s="130" t="str">
        <x:v>AR054</x:v>
      </x:c>
      <x:c r="B59" s="103" t="str"/>
      <x:c r="C59" s="184"/>
      <x:c r="D59" s="103" t="str"/>
      <x:c r="E59" s="103" t="str"/>
      <x:c r="F59" s="103" t="str"/>
      <x:c r="G59" s="103" t="str"/>
      <x:c r="H59" s="103" t="str"/>
      <x:c r="I59" s="103" t="str"/>
      <x:c r="J59" s="103" t="str">
        <x:v>미판정</x:v>
      </x:c>
      <x:c r="K59" s="103" t="str"/>
      <x:c r="L59" s="131" t="str"/>
    </x:row>
    <x:row r="60">
      <x:c r="A60" s="130" t="str">
        <x:v>AR055</x:v>
      </x:c>
      <x:c r="B60" s="103" t="str"/>
      <x:c r="C60" s="184"/>
      <x:c r="D60" s="103" t="str"/>
      <x:c r="E60" s="103" t="str"/>
      <x:c r="F60" s="103" t="str"/>
      <x:c r="G60" s="103" t="str"/>
      <x:c r="H60" s="103" t="str"/>
      <x:c r="I60" s="103" t="str"/>
      <x:c r="J60" s="103" t="str">
        <x:v>미판정</x:v>
      </x:c>
      <x:c r="K60" s="103" t="str"/>
      <x:c r="L60" s="131" t="str"/>
    </x:row>
    <x:row r="61">
      <x:c r="A61" s="130" t="str">
        <x:v>AR056</x:v>
      </x:c>
      <x:c r="B61" s="103" t="str"/>
      <x:c r="C61" s="184"/>
      <x:c r="D61" s="103" t="str"/>
      <x:c r="E61" s="103" t="str"/>
      <x:c r="F61" s="103" t="str"/>
      <x:c r="G61" s="103" t="str"/>
      <x:c r="H61" s="103" t="str"/>
      <x:c r="I61" s="103" t="str"/>
      <x:c r="J61" s="103" t="str">
        <x:v>미판정</x:v>
      </x:c>
      <x:c r="K61" s="103" t="str"/>
      <x:c r="L61" s="131" t="str"/>
    </x:row>
    <x:row r="62">
      <x:c r="A62" s="130" t="str">
        <x:v>AR057</x:v>
      </x:c>
      <x:c r="B62" s="103" t="str"/>
      <x:c r="C62" s="184"/>
      <x:c r="D62" s="103" t="str"/>
      <x:c r="E62" s="103" t="str"/>
      <x:c r="F62" s="103" t="str"/>
      <x:c r="G62" s="103" t="str"/>
      <x:c r="H62" s="103" t="str"/>
      <x:c r="I62" s="103" t="str"/>
      <x:c r="J62" s="103" t="str">
        <x:v>미판정</x:v>
      </x:c>
      <x:c r="K62" s="103" t="str"/>
      <x:c r="L62" s="131" t="str"/>
    </x:row>
    <x:row r="63">
      <x:c r="A63" s="130" t="str">
        <x:v>AR058</x:v>
      </x:c>
      <x:c r="B63" s="103" t="str"/>
      <x:c r="C63" s="184"/>
      <x:c r="D63" s="103" t="str"/>
      <x:c r="E63" s="103" t="str"/>
      <x:c r="F63" s="103" t="str"/>
      <x:c r="G63" s="103" t="str"/>
      <x:c r="H63" s="103" t="str"/>
      <x:c r="I63" s="103" t="str"/>
      <x:c r="J63" s="103" t="str">
        <x:v>미판정</x:v>
      </x:c>
      <x:c r="K63" s="103" t="str"/>
      <x:c r="L63" s="131" t="str"/>
    </x:row>
    <x:row r="64">
      <x:c r="A64" s="130" t="str">
        <x:v>AR059</x:v>
      </x:c>
      <x:c r="B64" s="103" t="str"/>
      <x:c r="C64" s="184"/>
      <x:c r="D64" s="103" t="str"/>
      <x:c r="E64" s="103" t="str"/>
      <x:c r="F64" s="103" t="str"/>
      <x:c r="G64" s="103" t="str"/>
      <x:c r="H64" s="103" t="str"/>
      <x:c r="I64" s="103" t="str"/>
      <x:c r="J64" s="103" t="str">
        <x:v>미판정</x:v>
      </x:c>
      <x:c r="K64" s="103" t="str"/>
      <x:c r="L64" s="131" t="str"/>
    </x:row>
    <x:row r="65">
      <x:c r="A65" s="130" t="str">
        <x:v>AR060</x:v>
      </x:c>
      <x:c r="B65" s="103" t="str"/>
      <x:c r="C65" s="184"/>
      <x:c r="D65" s="103" t="str"/>
      <x:c r="E65" s="103" t="str"/>
      <x:c r="F65" s="103" t="str"/>
      <x:c r="G65" s="103" t="str"/>
      <x:c r="H65" s="103" t="str"/>
      <x:c r="I65" s="103" t="str"/>
      <x:c r="J65" s="103" t="str">
        <x:v>미판정</x:v>
      </x:c>
      <x:c r="K65" s="103" t="str"/>
      <x:c r="L65" s="131" t="str"/>
    </x:row>
    <x:row r="66">
      <x:c r="A66" s="130" t="str">
        <x:v>AR061</x:v>
      </x:c>
      <x:c r="B66" s="103" t="str"/>
      <x:c r="C66" s="184"/>
      <x:c r="D66" s="103" t="str"/>
      <x:c r="E66" s="103" t="str"/>
      <x:c r="F66" s="103" t="str"/>
      <x:c r="G66" s="103" t="str"/>
      <x:c r="H66" s="103" t="str"/>
      <x:c r="I66" s="103" t="str"/>
      <x:c r="J66" s="103" t="str">
        <x:v>미판정</x:v>
      </x:c>
      <x:c r="K66" s="103" t="str"/>
      <x:c r="L66" s="131" t="str"/>
    </x:row>
    <x:row r="67">
      <x:c r="A67" s="130" t="str">
        <x:v>AR062</x:v>
      </x:c>
      <x:c r="B67" s="103" t="str"/>
      <x:c r="C67" s="184"/>
      <x:c r="D67" s="103" t="str"/>
      <x:c r="E67" s="103" t="str"/>
      <x:c r="F67" s="103" t="str"/>
      <x:c r="G67" s="103" t="str"/>
      <x:c r="H67" s="103" t="str"/>
      <x:c r="I67" s="103" t="str"/>
      <x:c r="J67" s="103" t="str">
        <x:v>미판정</x:v>
      </x:c>
      <x:c r="K67" s="103" t="str"/>
      <x:c r="L67" s="131" t="str"/>
    </x:row>
    <x:row r="68">
      <x:c r="A68" s="130" t="str">
        <x:v>AR063</x:v>
      </x:c>
      <x:c r="B68" s="103" t="str"/>
      <x:c r="C68" s="184"/>
      <x:c r="D68" s="103" t="str"/>
      <x:c r="E68" s="103" t="str"/>
      <x:c r="F68" s="103" t="str"/>
      <x:c r="G68" s="103" t="str"/>
      <x:c r="H68" s="103" t="str"/>
      <x:c r="I68" s="103" t="str"/>
      <x:c r="J68" s="103" t="str">
        <x:v>미판정</x:v>
      </x:c>
      <x:c r="K68" s="103" t="str"/>
      <x:c r="L68" s="131" t="str"/>
    </x:row>
    <x:row r="69">
      <x:c r="A69" s="130" t="str">
        <x:v>AR064</x:v>
      </x:c>
      <x:c r="B69" s="103" t="str"/>
      <x:c r="C69" s="184"/>
      <x:c r="D69" s="103" t="str"/>
      <x:c r="E69" s="103" t="str"/>
      <x:c r="F69" s="103" t="str"/>
      <x:c r="G69" s="103" t="str"/>
      <x:c r="H69" s="103" t="str"/>
      <x:c r="I69" s="103" t="str"/>
      <x:c r="J69" s="103" t="str">
        <x:v>미판정</x:v>
      </x:c>
      <x:c r="K69" s="103" t="str"/>
      <x:c r="L69" s="131" t="str"/>
    </x:row>
    <x:row r="70">
      <x:c r="A70" s="130" t="str">
        <x:v>AR065</x:v>
      </x:c>
      <x:c r="B70" s="103" t="str"/>
      <x:c r="C70" s="184"/>
      <x:c r="D70" s="103" t="str"/>
      <x:c r="E70" s="103" t="str"/>
      <x:c r="F70" s="103" t="str"/>
      <x:c r="G70" s="103" t="str"/>
      <x:c r="H70" s="103" t="str"/>
      <x:c r="I70" s="103" t="str"/>
      <x:c r="J70" s="103" t="str">
        <x:v>미판정</x:v>
      </x:c>
      <x:c r="K70" s="103" t="str"/>
      <x:c r="L70" s="131" t="str"/>
    </x:row>
    <x:row r="71">
      <x:c r="A71" s="130" t="str">
        <x:v>AR066</x:v>
      </x:c>
      <x:c r="B71" s="103" t="str"/>
      <x:c r="C71" s="184"/>
      <x:c r="D71" s="103" t="str"/>
      <x:c r="E71" s="103" t="str"/>
      <x:c r="F71" s="103" t="str"/>
      <x:c r="G71" s="103" t="str"/>
      <x:c r="H71" s="103" t="str"/>
      <x:c r="I71" s="103" t="str"/>
      <x:c r="J71" s="103" t="str">
        <x:v>미판정</x:v>
      </x:c>
      <x:c r="K71" s="103" t="str"/>
      <x:c r="L71" s="131" t="str"/>
    </x:row>
    <x:row r="72">
      <x:c r="A72" s="130" t="str">
        <x:v>AR067</x:v>
      </x:c>
      <x:c r="B72" s="103" t="str"/>
      <x:c r="C72" s="184"/>
      <x:c r="D72" s="103" t="str"/>
      <x:c r="E72" s="103" t="str"/>
      <x:c r="F72" s="103" t="str"/>
      <x:c r="G72" s="103" t="str"/>
      <x:c r="H72" s="103" t="str"/>
      <x:c r="I72" s="103" t="str"/>
      <x:c r="J72" s="103" t="str">
        <x:v>미판정</x:v>
      </x:c>
      <x:c r="K72" s="103" t="str"/>
      <x:c r="L72" s="131" t="str"/>
    </x:row>
    <x:row r="73">
      <x:c r="A73" s="130" t="str">
        <x:v>AR068</x:v>
      </x:c>
      <x:c r="B73" s="103" t="str"/>
      <x:c r="C73" s="184"/>
      <x:c r="D73" s="103" t="str"/>
      <x:c r="E73" s="103" t="str"/>
      <x:c r="F73" s="103" t="str"/>
      <x:c r="G73" s="103" t="str"/>
      <x:c r="H73" s="103" t="str"/>
      <x:c r="I73" s="103" t="str"/>
      <x:c r="J73" s="103" t="str">
        <x:v>미판정</x:v>
      </x:c>
      <x:c r="K73" s="103" t="str"/>
      <x:c r="L73" s="131" t="str"/>
    </x:row>
    <x:row r="74">
      <x:c r="A74" s="130" t="str">
        <x:v>AR069</x:v>
      </x:c>
      <x:c r="B74" s="103" t="str"/>
      <x:c r="C74" s="184"/>
      <x:c r="D74" s="103" t="str"/>
      <x:c r="E74" s="103" t="str"/>
      <x:c r="F74" s="103" t="str"/>
      <x:c r="G74" s="103" t="str"/>
      <x:c r="H74" s="103" t="str"/>
      <x:c r="I74" s="103" t="str"/>
      <x:c r="J74" s="103" t="str">
        <x:v>미판정</x:v>
      </x:c>
      <x:c r="K74" s="103" t="str"/>
      <x:c r="L74" s="131" t="str"/>
    </x:row>
    <x:row r="75">
      <x:c r="A75" s="130" t="str">
        <x:v>AR070</x:v>
      </x:c>
      <x:c r="B75" s="103" t="str"/>
      <x:c r="C75" s="184"/>
      <x:c r="D75" s="103" t="str"/>
      <x:c r="E75" s="103" t="str"/>
      <x:c r="F75" s="103" t="str"/>
      <x:c r="G75" s="103" t="str"/>
      <x:c r="H75" s="103" t="str"/>
      <x:c r="I75" s="103" t="str"/>
      <x:c r="J75" s="103" t="str">
        <x:v>미판정</x:v>
      </x:c>
      <x:c r="K75" s="103" t="str"/>
      <x:c r="L75" s="131" t="str"/>
    </x:row>
    <x:row r="76">
      <x:c r="A76" s="130" t="str">
        <x:v>AR071</x:v>
      </x:c>
      <x:c r="B76" s="103" t="str"/>
      <x:c r="C76" s="184"/>
      <x:c r="D76" s="103" t="str"/>
      <x:c r="E76" s="103" t="str"/>
      <x:c r="F76" s="103" t="str"/>
      <x:c r="G76" s="103" t="str"/>
      <x:c r="H76" s="103" t="str"/>
      <x:c r="I76" s="103" t="str"/>
      <x:c r="J76" s="103" t="str">
        <x:v>미판정</x:v>
      </x:c>
      <x:c r="K76" s="103" t="str"/>
      <x:c r="L76" s="131" t="str"/>
    </x:row>
    <x:row r="77">
      <x:c r="A77" s="130" t="str">
        <x:v>AR072</x:v>
      </x:c>
      <x:c r="B77" s="103" t="str"/>
      <x:c r="C77" s="184"/>
      <x:c r="D77" s="103" t="str"/>
      <x:c r="E77" s="103" t="str"/>
      <x:c r="F77" s="103" t="str"/>
      <x:c r="G77" s="103" t="str"/>
      <x:c r="H77" s="103" t="str"/>
      <x:c r="I77" s="103" t="str"/>
      <x:c r="J77" s="103" t="str">
        <x:v>미판정</x:v>
      </x:c>
      <x:c r="K77" s="103" t="str"/>
      <x:c r="L77" s="131" t="str"/>
    </x:row>
    <x:row r="78">
      <x:c r="A78" s="130" t="str">
        <x:v>AR073</x:v>
      </x:c>
      <x:c r="B78" s="103" t="str"/>
      <x:c r="C78" s="184"/>
      <x:c r="D78" s="103" t="str"/>
      <x:c r="E78" s="103" t="str"/>
      <x:c r="F78" s="103" t="str"/>
      <x:c r="G78" s="103" t="str"/>
      <x:c r="H78" s="103" t="str"/>
      <x:c r="I78" s="103" t="str"/>
      <x:c r="J78" s="103" t="str">
        <x:v>미판정</x:v>
      </x:c>
      <x:c r="K78" s="103" t="str"/>
      <x:c r="L78" s="131" t="str"/>
    </x:row>
    <x:row r="79">
      <x:c r="A79" s="130" t="str">
        <x:v>AR074</x:v>
      </x:c>
      <x:c r="B79" s="103" t="str"/>
      <x:c r="C79" s="184"/>
      <x:c r="D79" s="103" t="str"/>
      <x:c r="E79" s="103" t="str"/>
      <x:c r="F79" s="103" t="str"/>
      <x:c r="G79" s="103" t="str"/>
      <x:c r="H79" s="103" t="str"/>
      <x:c r="I79" s="103" t="str"/>
      <x:c r="J79" s="103" t="str">
        <x:v>미판정</x:v>
      </x:c>
      <x:c r="K79" s="103" t="str"/>
      <x:c r="L79" s="131" t="str"/>
    </x:row>
    <x:row r="80">
      <x:c r="A80" s="130" t="str">
        <x:v>AR075</x:v>
      </x:c>
      <x:c r="B80" s="103" t="str"/>
      <x:c r="C80" s="184"/>
      <x:c r="D80" s="103" t="str"/>
      <x:c r="E80" s="103" t="str"/>
      <x:c r="F80" s="103" t="str"/>
      <x:c r="G80" s="103" t="str"/>
      <x:c r="H80" s="103" t="str"/>
      <x:c r="I80" s="103" t="str"/>
      <x:c r="J80" s="103" t="str">
        <x:v>미판정</x:v>
      </x:c>
      <x:c r="K80" s="103" t="str"/>
      <x:c r="L80" s="131" t="str"/>
    </x:row>
    <x:row r="81">
      <x:c r="A81" s="130" t="str">
        <x:v>AR076</x:v>
      </x:c>
      <x:c r="B81" s="103" t="str"/>
      <x:c r="C81" s="184"/>
      <x:c r="D81" s="103" t="str"/>
      <x:c r="E81" s="103" t="str"/>
      <x:c r="F81" s="103" t="str"/>
      <x:c r="G81" s="103" t="str"/>
      <x:c r="H81" s="103" t="str"/>
      <x:c r="I81" s="103" t="str"/>
      <x:c r="J81" s="103" t="str">
        <x:v>미판정</x:v>
      </x:c>
      <x:c r="K81" s="103" t="str"/>
      <x:c r="L81" s="131" t="str"/>
    </x:row>
    <x:row r="82">
      <x:c r="A82" s="130" t="str">
        <x:v>AR077</x:v>
      </x:c>
      <x:c r="B82" s="103" t="str"/>
      <x:c r="C82" s="184"/>
      <x:c r="D82" s="103" t="str"/>
      <x:c r="E82" s="103" t="str"/>
      <x:c r="F82" s="103" t="str"/>
      <x:c r="G82" s="103" t="str"/>
      <x:c r="H82" s="103" t="str"/>
      <x:c r="I82" s="103" t="str"/>
      <x:c r="J82" s="103" t="str">
        <x:v>미판정</x:v>
      </x:c>
      <x:c r="K82" s="103" t="str"/>
      <x:c r="L82" s="131" t="str"/>
    </x:row>
    <x:row r="83">
      <x:c r="A83" s="130" t="str">
        <x:v>AR078</x:v>
      </x:c>
      <x:c r="B83" s="103" t="str"/>
      <x:c r="C83" s="184"/>
      <x:c r="D83" s="103" t="str"/>
      <x:c r="E83" s="103" t="str"/>
      <x:c r="F83" s="103" t="str"/>
      <x:c r="G83" s="103" t="str"/>
      <x:c r="H83" s="103" t="str"/>
      <x:c r="I83" s="103" t="str"/>
      <x:c r="J83" s="103" t="str">
        <x:v>미판정</x:v>
      </x:c>
      <x:c r="K83" s="103" t="str"/>
      <x:c r="L83" s="131" t="str"/>
    </x:row>
    <x:row r="84">
      <x:c r="A84" s="130" t="str">
        <x:v>AR079</x:v>
      </x:c>
      <x:c r="B84" s="103" t="str"/>
      <x:c r="C84" s="184"/>
      <x:c r="D84" s="103" t="str"/>
      <x:c r="E84" s="103" t="str"/>
      <x:c r="F84" s="103" t="str"/>
      <x:c r="G84" s="103" t="str"/>
      <x:c r="H84" s="103" t="str"/>
      <x:c r="I84" s="103" t="str"/>
      <x:c r="J84" s="103" t="str">
        <x:v>미판정</x:v>
      </x:c>
      <x:c r="K84" s="103" t="str"/>
      <x:c r="L84" s="131" t="str"/>
    </x:row>
    <x:row r="85">
      <x:c r="A85" s="130" t="str">
        <x:v>AR080</x:v>
      </x:c>
      <x:c r="B85" s="103" t="str"/>
      <x:c r="C85" s="184"/>
      <x:c r="D85" s="103" t="str"/>
      <x:c r="E85" s="103" t="str"/>
      <x:c r="F85" s="103" t="str"/>
      <x:c r="G85" s="103" t="str"/>
      <x:c r="H85" s="103" t="str"/>
      <x:c r="I85" s="103" t="str"/>
      <x:c r="J85" s="103" t="str">
        <x:v>미판정</x:v>
      </x:c>
      <x:c r="K85" s="103" t="str"/>
      <x:c r="L85" s="131" t="str"/>
    </x:row>
    <x:row r="86">
      <x:c r="A86" s="130" t="str">
        <x:v>AR081</x:v>
      </x:c>
      <x:c r="B86" s="103" t="str"/>
      <x:c r="C86" s="184"/>
      <x:c r="D86" s="103" t="str"/>
      <x:c r="E86" s="103" t="str"/>
      <x:c r="F86" s="103" t="str"/>
      <x:c r="G86" s="103" t="str"/>
      <x:c r="H86" s="103" t="str"/>
      <x:c r="I86" s="103" t="str"/>
      <x:c r="J86" s="103" t="str">
        <x:v>미판정</x:v>
      </x:c>
      <x:c r="K86" s="103" t="str"/>
      <x:c r="L86" s="131" t="str"/>
    </x:row>
    <x:row r="87">
      <x:c r="A87" s="130" t="str">
        <x:v>AR082</x:v>
      </x:c>
      <x:c r="B87" s="103" t="str"/>
      <x:c r="C87" s="184"/>
      <x:c r="D87" s="103" t="str"/>
      <x:c r="E87" s="103" t="str"/>
      <x:c r="F87" s="103" t="str"/>
      <x:c r="G87" s="103" t="str"/>
      <x:c r="H87" s="103" t="str"/>
      <x:c r="I87" s="103" t="str"/>
      <x:c r="J87" s="103" t="str">
        <x:v>미판정</x:v>
      </x:c>
      <x:c r="K87" s="103" t="str"/>
      <x:c r="L87" s="131" t="str"/>
    </x:row>
    <x:row r="88">
      <x:c r="A88" s="130" t="str">
        <x:v>AR083</x:v>
      </x:c>
      <x:c r="B88" s="103" t="str"/>
      <x:c r="C88" s="184"/>
      <x:c r="D88" s="103" t="str"/>
      <x:c r="E88" s="103" t="str"/>
      <x:c r="F88" s="103" t="str"/>
      <x:c r="G88" s="103" t="str"/>
      <x:c r="H88" s="103" t="str"/>
      <x:c r="I88" s="103" t="str"/>
      <x:c r="J88" s="103" t="str">
        <x:v>미판정</x:v>
      </x:c>
      <x:c r="K88" s="103" t="str"/>
      <x:c r="L88" s="131" t="str"/>
    </x:row>
    <x:row r="89">
      <x:c r="A89" s="130" t="str">
        <x:v>AR084</x:v>
      </x:c>
      <x:c r="B89" s="103" t="str"/>
      <x:c r="C89" s="184"/>
      <x:c r="D89" s="103" t="str"/>
      <x:c r="E89" s="103" t="str"/>
      <x:c r="F89" s="103" t="str"/>
      <x:c r="G89" s="103" t="str"/>
      <x:c r="H89" s="103" t="str"/>
      <x:c r="I89" s="103" t="str"/>
      <x:c r="J89" s="103" t="str">
        <x:v>미판정</x:v>
      </x:c>
      <x:c r="K89" s="103" t="str"/>
      <x:c r="L89" s="131" t="str"/>
    </x:row>
    <x:row r="90">
      <x:c r="A90" s="130" t="str">
        <x:v>AR085</x:v>
      </x:c>
      <x:c r="B90" s="103" t="str"/>
      <x:c r="C90" s="184"/>
      <x:c r="D90" s="103" t="str"/>
      <x:c r="E90" s="103" t="str"/>
      <x:c r="F90" s="103" t="str"/>
      <x:c r="G90" s="103" t="str"/>
      <x:c r="H90" s="103" t="str"/>
      <x:c r="I90" s="103" t="str"/>
      <x:c r="J90" s="103" t="str">
        <x:v>미판정</x:v>
      </x:c>
      <x:c r="K90" s="103" t="str"/>
      <x:c r="L90" s="131" t="str"/>
    </x:row>
    <x:row r="91">
      <x:c r="A91" s="130" t="str">
        <x:v>AR086</x:v>
      </x:c>
      <x:c r="B91" s="103" t="str"/>
      <x:c r="C91" s="184"/>
      <x:c r="D91" s="103" t="str"/>
      <x:c r="E91" s="103" t="str"/>
      <x:c r="F91" s="103" t="str"/>
      <x:c r="G91" s="103" t="str"/>
      <x:c r="H91" s="103" t="str"/>
      <x:c r="I91" s="103" t="str"/>
      <x:c r="J91" s="103" t="str">
        <x:v>미판정</x:v>
      </x:c>
      <x:c r="K91" s="103" t="str"/>
      <x:c r="L91" s="131" t="str"/>
    </x:row>
    <x:row r="92">
      <x:c r="A92" s="130" t="str">
        <x:v>AR087</x:v>
      </x:c>
      <x:c r="B92" s="103" t="str"/>
      <x:c r="C92" s="184"/>
      <x:c r="D92" s="103" t="str"/>
      <x:c r="E92" s="103" t="str"/>
      <x:c r="F92" s="103" t="str"/>
      <x:c r="G92" s="103" t="str"/>
      <x:c r="H92" s="103" t="str"/>
      <x:c r="I92" s="103" t="str"/>
      <x:c r="J92" s="103" t="str">
        <x:v>미판정</x:v>
      </x:c>
      <x:c r="K92" s="103" t="str"/>
      <x:c r="L92" s="131" t="str"/>
    </x:row>
    <x:row r="93">
      <x:c r="A93" s="130" t="str">
        <x:v>AR088</x:v>
      </x:c>
      <x:c r="B93" s="103" t="str"/>
      <x:c r="C93" s="184"/>
      <x:c r="D93" s="103" t="str"/>
      <x:c r="E93" s="103" t="str"/>
      <x:c r="F93" s="103" t="str"/>
      <x:c r="G93" s="103" t="str"/>
      <x:c r="H93" s="103" t="str"/>
      <x:c r="I93" s="103" t="str"/>
      <x:c r="J93" s="103" t="str">
        <x:v>미판정</x:v>
      </x:c>
      <x:c r="K93" s="103" t="str"/>
      <x:c r="L93" s="131" t="str"/>
    </x:row>
    <x:row r="94">
      <x:c r="A94" s="130" t="str">
        <x:v>AR089</x:v>
      </x:c>
      <x:c r="B94" s="103" t="str"/>
      <x:c r="C94" s="184"/>
      <x:c r="D94" s="103" t="str"/>
      <x:c r="E94" s="103" t="str"/>
      <x:c r="F94" s="103" t="str"/>
      <x:c r="G94" s="103" t="str"/>
      <x:c r="H94" s="103" t="str"/>
      <x:c r="I94" s="103" t="str"/>
      <x:c r="J94" s="103" t="str">
        <x:v>미판정</x:v>
      </x:c>
      <x:c r="K94" s="103" t="str"/>
      <x:c r="L94" s="131" t="str"/>
    </x:row>
    <x:row r="95">
      <x:c r="A95" s="130" t="str">
        <x:v>AR090</x:v>
      </x:c>
      <x:c r="B95" s="103" t="str"/>
      <x:c r="C95" s="184"/>
      <x:c r="D95" s="103" t="str"/>
      <x:c r="E95" s="103" t="str"/>
      <x:c r="F95" s="103" t="str"/>
      <x:c r="G95" s="103" t="str"/>
      <x:c r="H95" s="103" t="str"/>
      <x:c r="I95" s="103" t="str"/>
      <x:c r="J95" s="103" t="str">
        <x:v>미판정</x:v>
      </x:c>
      <x:c r="K95" s="103" t="str"/>
      <x:c r="L95" s="131" t="str"/>
    </x:row>
    <x:row r="96">
      <x:c r="A96" s="130" t="str">
        <x:v>AR091</x:v>
      </x:c>
      <x:c r="B96" s="103" t="str"/>
      <x:c r="C96" s="184"/>
      <x:c r="D96" s="103" t="str"/>
      <x:c r="E96" s="103" t="str"/>
      <x:c r="F96" s="103" t="str"/>
      <x:c r="G96" s="103" t="str"/>
      <x:c r="H96" s="103" t="str"/>
      <x:c r="I96" s="103" t="str"/>
      <x:c r="J96" s="103" t="str">
        <x:v>미판정</x:v>
      </x:c>
      <x:c r="K96" s="103" t="str"/>
      <x:c r="L96" s="131" t="str"/>
    </x:row>
    <x:row r="97">
      <x:c r="A97" s="130" t="str">
        <x:v>AR092</x:v>
      </x:c>
      <x:c r="B97" s="103" t="str"/>
      <x:c r="C97" s="184"/>
      <x:c r="D97" s="103" t="str"/>
      <x:c r="E97" s="103" t="str"/>
      <x:c r="F97" s="103" t="str"/>
      <x:c r="G97" s="103" t="str"/>
      <x:c r="H97" s="103" t="str"/>
      <x:c r="I97" s="103" t="str"/>
      <x:c r="J97" s="103" t="str">
        <x:v>미판정</x:v>
      </x:c>
      <x:c r="K97" s="103" t="str"/>
      <x:c r="L97" s="131" t="str"/>
    </x:row>
    <x:row r="98">
      <x:c r="A98" s="130" t="str">
        <x:v>AR093</x:v>
      </x:c>
      <x:c r="B98" s="103" t="str"/>
      <x:c r="C98" s="184"/>
      <x:c r="D98" s="103" t="str"/>
      <x:c r="E98" s="103" t="str"/>
      <x:c r="F98" s="103" t="str"/>
      <x:c r="G98" s="103" t="str"/>
      <x:c r="H98" s="103" t="str"/>
      <x:c r="I98" s="103" t="str"/>
      <x:c r="J98" s="103" t="str">
        <x:v>미판정</x:v>
      </x:c>
      <x:c r="K98" s="103" t="str"/>
      <x:c r="L98" s="131" t="str"/>
    </x:row>
    <x:row r="99">
      <x:c r="A99" s="130" t="str">
        <x:v>AR094</x:v>
      </x:c>
      <x:c r="B99" s="103" t="str"/>
      <x:c r="C99" s="184"/>
      <x:c r="D99" s="103" t="str"/>
      <x:c r="E99" s="103" t="str"/>
      <x:c r="F99" s="103" t="str"/>
      <x:c r="G99" s="103" t="str"/>
      <x:c r="H99" s="103" t="str"/>
      <x:c r="I99" s="103" t="str"/>
      <x:c r="J99" s="103" t="str">
        <x:v>미판정</x:v>
      </x:c>
      <x:c r="K99" s="103" t="str"/>
      <x:c r="L99" s="131" t="str"/>
    </x:row>
    <x:row r="100">
      <x:c r="A100" s="130" t="str">
        <x:v>AR095</x:v>
      </x:c>
      <x:c r="B100" s="103" t="str"/>
      <x:c r="C100" s="184"/>
      <x:c r="D100" s="103" t="str"/>
      <x:c r="E100" s="103" t="str"/>
      <x:c r="F100" s="103" t="str"/>
      <x:c r="G100" s="103" t="str"/>
      <x:c r="H100" s="103" t="str"/>
      <x:c r="I100" s="103" t="str"/>
      <x:c r="J100" s="103" t="str">
        <x:v>미판정</x:v>
      </x:c>
      <x:c r="K100" s="103" t="str"/>
      <x:c r="L100" s="131" t="str"/>
    </x:row>
    <x:row r="101">
      <x:c r="A101" s="130" t="str">
        <x:v>AR096</x:v>
      </x:c>
      <x:c r="B101" s="103" t="str"/>
      <x:c r="C101" s="184"/>
      <x:c r="D101" s="103" t="str"/>
      <x:c r="E101" s="103" t="str"/>
      <x:c r="F101" s="103" t="str"/>
      <x:c r="G101" s="103" t="str"/>
      <x:c r="H101" s="103" t="str"/>
      <x:c r="I101" s="103" t="str"/>
      <x:c r="J101" s="103" t="str">
        <x:v>미판정</x:v>
      </x:c>
      <x:c r="K101" s="103" t="str"/>
      <x:c r="L101" s="131" t="str"/>
    </x:row>
    <x:row r="102">
      <x:c r="A102" s="130" t="str">
        <x:v>AR097</x:v>
      </x:c>
      <x:c r="B102" s="103" t="str"/>
      <x:c r="C102" s="184"/>
      <x:c r="D102" s="103" t="str"/>
      <x:c r="E102" s="103" t="str"/>
      <x:c r="F102" s="103" t="str"/>
      <x:c r="G102" s="103" t="str"/>
      <x:c r="H102" s="103" t="str"/>
      <x:c r="I102" s="103" t="str"/>
      <x:c r="J102" s="103" t="str">
        <x:v>미판정</x:v>
      </x:c>
      <x:c r="K102" s="103" t="str"/>
      <x:c r="L102" s="131" t="str"/>
    </x:row>
    <x:row r="103">
      <x:c r="A103" s="130" t="str">
        <x:v>AR098</x:v>
      </x:c>
      <x:c r="B103" s="103" t="str"/>
      <x:c r="C103" s="184"/>
      <x:c r="D103" s="103" t="str"/>
      <x:c r="E103" s="103" t="str"/>
      <x:c r="F103" s="103" t="str"/>
      <x:c r="G103" s="103" t="str"/>
      <x:c r="H103" s="103" t="str"/>
      <x:c r="I103" s="103" t="str"/>
      <x:c r="J103" s="103" t="str">
        <x:v>미판정</x:v>
      </x:c>
      <x:c r="K103" s="103" t="str"/>
      <x:c r="L103" s="131" t="str"/>
    </x:row>
    <x:row r="104">
      <x:c r="A104" s="130" t="str">
        <x:v>AR099</x:v>
      </x:c>
      <x:c r="B104" s="103" t="str"/>
      <x:c r="C104" s="184"/>
      <x:c r="D104" s="103" t="str"/>
      <x:c r="E104" s="103" t="str"/>
      <x:c r="F104" s="103" t="str"/>
      <x:c r="G104" s="103" t="str"/>
      <x:c r="H104" s="103" t="str"/>
      <x:c r="I104" s="103" t="str"/>
      <x:c r="J104" s="103" t="str">
        <x:v>미판정</x:v>
      </x:c>
      <x:c r="K104" s="103" t="str"/>
      <x:c r="L104" s="131" t="str"/>
    </x:row>
    <x:row r="105">
      <x:c r="A105" s="132" t="str">
        <x:v>AR100</x:v>
      </x:c>
      <x:c r="B105" s="133" t="str"/>
      <x:c r="C105" s="185"/>
      <x:c r="D105" s="133" t="str"/>
      <x:c r="E105" s="133" t="str"/>
      <x:c r="F105" s="133" t="str"/>
      <x:c r="G105" s="133" t="str"/>
      <x:c r="H105" s="133" t="str"/>
      <x:c r="I105" s="133" t="str"/>
      <x:c r="J105" s="133" t="str">
        <x:v>미판정</x:v>
      </x:c>
      <x:c r="K105" s="133" t="str"/>
      <x:c r="L105" s="134" t="str"/>
    </x:row>
  </x:sheetData>
  <x:mergeCells>
    <x:mergeCell ref="A1:L1"/>
    <x:mergeCell ref="A2:L2"/>
    <x:mergeCell ref="A3:L3"/>
  </x:mergeCells>
  <x:dataValidations count="2">
    <x:dataValidation type="list" sqref="J6:J105">
      <x:formula1>"미판정,실제 이상 후보,정상 패턴,판단 불가,업무 규칙 확인 필요"</x:formula1>
    </x:dataValidation>
    <x:dataValidation type="list" sqref="L6:L105">
      <x:formula1>",엔진 버그,정상 예외 추가,설명 개선,공개 보류,향후 규칙"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d3c7f38f2848a1"/>
  </x:tableParts>
</x:worksheet>
</file>