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282424bad748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c8ab0a82e07d4df5"/>
    <x:sheet xmlns:r="http://schemas.openxmlformats.org/officeDocument/2006/relationships" name="지점마스터" sheetId="2" r:id="Rf5cf502044154a99"/>
    <x:sheet xmlns:r="http://schemas.openxmlformats.org/officeDocument/2006/relationships" name="거래내역" sheetId="3" r:id="R9e8dce638ba24f3d"/>
    <x:sheet xmlns:r="http://schemas.openxmlformats.org/officeDocument/2006/relationships" name="지점평가" sheetId="4" r:id="R21f56d7af5d24a74"/>
    <x:sheet xmlns:r="http://schemas.openxmlformats.org/officeDocument/2006/relationships" name="대시보드" sheetId="5" r:id="R79b172bd84924a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yyyy-mm-dd"/>
    <x:numFmt numFmtId="202" formatCode="0.0%"/>
    <x:numFmt numFmtId="203" formatCode="0.0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95959"/>
      <x:name val="Carlito"/>
    </x:font>
    <x:font>
      <x:sz val="9"/>
      <x:color rgb="FF666666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9C0006"/>
      <x:name val="Carlito"/>
    </x:font>
    <x:font>
      <x:b/>
      <x:sz val="11"/>
      <x:color rgb="FF595959"/>
      <x:name val="Carlito"/>
    </x:font>
    <x:font>
      <x:b/>
      <x:sz val="15"/>
      <x:color rgb="FF17365D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2F75B5"/>
      </x:patternFill>
    </x:fill>
    <x:fill>
      <x:patternFill patternType="solid">
        <x:fgColor rgb="FFE7E6E6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0F6B78"/>
      </x:patternFill>
    </x:fill>
    <x:fill>
      <x:patternFill patternType="solid">
        <x:fgColor rgb="FFFCE4D6"/>
      </x:patternFill>
    </x:fill>
  </x:fills>
  <x:borders count="36">
    <x:border/>
    <x:border/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left style="hair">
        <x:color rgb="FFD9D9D9"/>
      </x:left>
      <x:top style="hair">
        <x:color rgb="FFD9D9D9"/>
      </x:top>
    </x:border>
    <x:border>
      <x:top style="hair">
        <x:color rgb="FFD9D9D9"/>
      </x:top>
    </x:border>
    <x:border>
      <x:right style="hair">
        <x:color rgb="FFD9D9D9"/>
      </x:right>
      <x:top style="hair">
        <x:color rgb="FFD9D9D9"/>
      </x:top>
    </x:border>
    <x:border>
      <x:left style="hair">
        <x:color rgb="FFD9D9D9"/>
      </x:left>
    </x:border>
    <x:border>
      <x:right style="hair">
        <x:color rgb="FFD9D9D9"/>
      </x:right>
    </x:border>
    <x:border>
      <x:left style="hair">
        <x:color rgb="FFD9D9D9"/>
      </x:left>
      <x:bottom style="hair">
        <x:color rgb="FFD9D9D9"/>
      </x:bottom>
    </x:border>
    <x:border>
      <x:bottom style="hair">
        <x:color rgb="FFD9D9D9"/>
      </x:bottom>
    </x:border>
    <x:border>
      <x:right style="hair">
        <x:color rgb="FFD9D9D9"/>
      </x:right>
      <x:bottom style="hair">
        <x:color rgb="FFD9D9D9"/>
      </x:bottom>
    </x:border>
    <x:border>
      <x:left style="hair">
        <x:color rgb="FFD9D9D9"/>
      </x:left>
      <x:top style="hair">
        <x:color rgb="FFD9D9D9"/>
      </x:top>
    </x:border>
    <x:border>
      <x:top style="hair">
        <x:color rgb="FFD9D9D9"/>
      </x:top>
    </x:border>
    <x:border>
      <x:right style="hair">
        <x:color rgb="FFD9D9D9"/>
      </x:right>
      <x:top style="hair">
        <x:color rgb="FFD9D9D9"/>
      </x:top>
    </x:border>
    <x:border>
      <x:left style="hair">
        <x:color rgb="FFD9D9D9"/>
      </x:left>
    </x:border>
    <x:border>
      <x:right style="hair">
        <x:color rgb="FFD9D9D9"/>
      </x:right>
    </x:border>
    <x:border>
      <x:left style="hair">
        <x:color rgb="FFD9D9D9"/>
      </x:left>
      <x:bottom style="hair">
        <x:color rgb="FFD9D9D9"/>
      </x:bottom>
    </x:border>
    <x:border>
      <x:bottom style="hair">
        <x:color rgb="FFD9D9D9"/>
      </x:bottom>
    </x:border>
    <x:border>
      <x:right style="hair">
        <x:color rgb="FFD9D9D9"/>
      </x:right>
      <x:bottom style="hair">
        <x:color rgb="FFD9D9D9"/>
      </x:bottom>
    </x:border>
    <x:border>
      <x:left style="thin">
        <x:color rgb="FF0F6B78"/>
      </x:left>
      <x:top style="thin">
        <x:color rgb="FF0F6B78"/>
      </x:top>
      <x:bottom style="thin">
        <x:color rgb="FF0F6B78"/>
      </x:bottom>
    </x:border>
    <x:border>
      <x:top style="thin">
        <x:color rgb="FF0F6B78"/>
      </x:top>
      <x:bottom style="thin">
        <x:color rgb="FF0F6B78"/>
      </x:bottom>
    </x:border>
    <x:border>
      <x:right style="thin">
        <x:color rgb="FF0F6B78"/>
      </x:right>
      <x:top style="thin">
        <x:color rgb="FF0F6B78"/>
      </x:top>
      <x:bottom style="thin">
        <x:color rgb="FF0F6B78"/>
      </x:bottom>
    </x:border>
    <x:border>
      <x:left style="thin">
        <x:color rgb="FF0F6B78"/>
      </x:left>
      <x:top style="thin">
        <x:color rgb="FF0F6B78"/>
      </x:top>
      <x:bottom style="thin">
        <x:color rgb="FF0F6B78"/>
      </x:bottom>
    </x:border>
    <x:border>
      <x:top style="thin">
        <x:color rgb="FF0F6B78"/>
      </x:top>
      <x:bottom style="thin">
        <x:color rgb="FF0F6B78"/>
      </x:bottom>
    </x:border>
    <x:border>
      <x:right style="thin">
        <x:color rgb="FF0F6B78"/>
      </x:right>
      <x:top style="thin">
        <x:color rgb="FF0F6B78"/>
      </x:top>
      <x:bottom style="thin">
        <x:color rgb="FF0F6B78"/>
      </x:bottom>
    </x:border>
    <x:border>
      <x:left style="thin">
        <x:color rgb="FFF4B084"/>
      </x:left>
      <x:top style="thin">
        <x:color rgb="FFF4B084"/>
      </x:top>
      <x:bottom style="thin">
        <x:color rgb="FFF4B084"/>
      </x:bottom>
    </x:border>
    <x:border>
      <x:top style="thin">
        <x:color rgb="FFF4B084"/>
      </x:top>
      <x:bottom style="thin">
        <x:color rgb="FFF4B084"/>
      </x:bottom>
    </x:border>
    <x:border>
      <x:right style="thin">
        <x:color rgb="FFF4B084"/>
      </x:right>
      <x:top style="thin">
        <x:color rgb="FFF4B084"/>
      </x:top>
      <x:bottom style="thin">
        <x:color rgb="FFF4B084"/>
      </x:bottom>
    </x:border>
    <x:border>
      <x:left style="thin">
        <x:color rgb="FFF4B084"/>
      </x:left>
      <x:top style="thin">
        <x:color rgb="FFF4B084"/>
      </x:top>
      <x:bottom style="thin">
        <x:color rgb="FFF4B084"/>
      </x:bottom>
    </x:border>
    <x:border>
      <x:top style="thin">
        <x:color rgb="FFF4B084"/>
      </x:top>
      <x:bottom style="thin">
        <x:color rgb="FFF4B084"/>
      </x:bottom>
    </x:border>
    <x:border>
      <x:right style="thin">
        <x:color rgb="FFF4B084"/>
      </x:right>
      <x:top style="thin">
        <x:color rgb="FFF4B084"/>
      </x:top>
      <x:bottom style="thin">
        <x:color rgb="FFF4B084"/>
      </x:bottom>
    </x:border>
  </x:borders>
  <x:cellStyleXfs count="1">
    <x:xf numFmtId="0" fontId="0" fillId="0" borderId="0"/>
  </x:cellStyleXfs>
  <x:cellXfs count="1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4" fillId="5" borderId="6" xfId="0" applyNumberFormat="1" applyFont="1" applyFill="1" applyBorder="1"/>
    <x:xf numFmtId="0" fontId="4" fillId="5" borderId="6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/>
    <x:xf numFmtId="0" fontId="4" fillId="5" borderId="7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0" fillId="8" borderId="8" xfId="0" applyNumberFormat="1" applyFont="1" applyFill="1" applyBorder="1"/>
    <x:xf numFmtId="0" fontId="0" fillId="8" borderId="9" xfId="0" applyNumberFormat="1" applyFont="1" applyFill="1" applyBorder="1"/>
    <x:xf numFmtId="0" fontId="0" fillId="8" borderId="10" xfId="0" applyNumberFormat="1" applyFont="1" applyFill="1" applyBorder="1"/>
    <x:xf numFmtId="0" fontId="0" fillId="8" borderId="11" xfId="0" applyNumberFormat="1" applyFont="1" applyFill="1" applyBorder="1"/>
    <x:xf numFmtId="0" fontId="0" fillId="8" borderId="12" xfId="0" applyNumberFormat="1" applyFont="1" applyFill="1" applyBorder="1"/>
    <x:xf numFmtId="0" fontId="0" fillId="8" borderId="13" xfId="0" applyNumberFormat="1" applyFont="1" applyFill="1" applyBorder="1"/>
    <x:xf numFmtId="0" fontId="0" fillId="8" borderId="14" xfId="0" applyNumberFormat="1" applyFont="1" applyFill="1" applyBorder="1"/>
    <x:xf numFmtId="0" fontId="0" fillId="8" borderId="15" xfId="0" applyNumberFormat="1" applyFont="1" applyFill="1" applyBorder="1"/>
    <x:xf numFmtId="0" fontId="0" fillId="8" borderId="1" xfId="0" applyNumberFormat="1" applyFont="1" applyFill="1" applyBorder="1"/>
    <x:xf numFmtId="0" fontId="0" fillId="8" borderId="16" xfId="0" applyNumberFormat="1" applyFont="1" applyFill="1" applyBorder="1"/>
    <x:xf numFmtId="0" fontId="0" fillId="8" borderId="17" xfId="0" applyNumberFormat="1" applyFont="1" applyFill="1" applyBorder="1"/>
    <x:xf numFmtId="0" fontId="0" fillId="8" borderId="18" xfId="0" applyNumberFormat="1" applyFont="1" applyFill="1" applyBorder="1"/>
    <x:xf numFmtId="0" fontId="0" fillId="8" borderId="19" xfId="0" applyNumberFormat="1" applyFont="1" applyFill="1" applyBorder="1"/>
    <x:xf numFmtId="0" fontId="0" fillId="8" borderId="20" xfId="0" applyNumberFormat="1" applyFont="1" applyFill="1" applyBorder="1"/>
    <x:xf numFmtId="0" fontId="0" fillId="8" borderId="21" xfId="0" applyNumberFormat="1" applyFont="1" applyFill="1" applyBorder="1"/>
    <x:xf numFmtId="0" fontId="0" fillId="8" borderId="22" xfId="0" applyNumberFormat="1" applyFont="1" applyFill="1" applyBorder="1"/>
    <x:xf numFmtId="0" fontId="0" fillId="8" borderId="23" xfId="0" applyNumberFormat="1" applyFont="1" applyFill="1" applyBorder="1"/>
    <x:xf numFmtId="200" fontId="0" fillId="8" borderId="10" xfId="0" applyNumberFormat="1" applyFont="1" applyFill="1" applyBorder="1"/>
    <x:xf numFmtId="200" fontId="0" fillId="8" borderId="12" xfId="0" applyNumberFormat="1" applyFont="1" applyFill="1" applyBorder="1"/>
    <x:xf numFmtId="200" fontId="0" fillId="8" borderId="15" xfId="0" applyNumberFormat="1" applyFont="1" applyFill="1" applyBorder="1"/>
    <x:xf numFmtId="200" fontId="0" fillId="8" borderId="18" xfId="0" applyNumberFormat="1" applyFont="1" applyFill="1" applyBorder="1"/>
    <x:xf numFmtId="200" fontId="0" fillId="8" borderId="20" xfId="0" applyNumberFormat="1" applyFont="1" applyFill="1" applyBorder="1"/>
    <x:xf numFmtId="200" fontId="0" fillId="8" borderId="23" xfId="0" applyNumberFormat="1" applyFont="1" applyFill="1" applyBorder="1"/>
    <x:xf numFmtId="201" fontId="0" fillId="8" borderId="8" xfId="0" applyNumberFormat="1" applyFont="1" applyFill="1" applyBorder="1"/>
    <x:xf numFmtId="201" fontId="0" fillId="8" borderId="11" xfId="0" applyNumberFormat="1" applyFont="1" applyFill="1" applyBorder="1"/>
    <x:xf numFmtId="201" fontId="0" fillId="8" borderId="13" xfId="0" applyNumberFormat="1" applyFont="1" applyFill="1" applyBorder="1"/>
    <x:xf numFmtId="201" fontId="0" fillId="8" borderId="16" xfId="0" applyNumberFormat="1" applyFont="1" applyFill="1" applyBorder="1"/>
    <x:xf numFmtId="201" fontId="0" fillId="8" borderId="19" xfId="0" applyNumberFormat="1" applyFont="1" applyFill="1" applyBorder="1"/>
    <x:xf numFmtId="201" fontId="0" fillId="8" borderId="21" xfId="0" applyNumberFormat="1" applyFont="1" applyFill="1" applyBorder="1"/>
    <x:xf numFmtId="200" fontId="0" fillId="8" borderId="9" xfId="0" applyNumberFormat="1" applyFont="1" applyFill="1" applyBorder="1"/>
    <x:xf numFmtId="200" fontId="0" fillId="8" borderId="0" xfId="0" applyNumberFormat="1" applyFont="1" applyFill="1" applyBorder="1"/>
    <x:xf numFmtId="200" fontId="0" fillId="8" borderId="14" xfId="0" applyNumberFormat="1" applyFont="1" applyFill="1" applyBorder="1"/>
    <x:xf numFmtId="200" fontId="0" fillId="8" borderId="17" xfId="0" applyNumberFormat="1" applyFont="1" applyFill="1" applyBorder="1"/>
    <x:xf numFmtId="200" fontId="0" fillId="8" borderId="1" xfId="0" applyNumberFormat="1" applyFont="1" applyFill="1" applyBorder="1"/>
    <x:xf numFmtId="200" fontId="0" fillId="8" borderId="22" xfId="0" applyNumberFormat="1" applyFont="1" applyFill="1" applyBorder="1"/>
    <x:xf numFmtId="0" fontId="0" fillId="7" borderId="8" xfId="0" applyNumberFormat="1" applyFont="1" applyFill="1" applyBorder="1"/>
    <x:xf numFmtId="0" fontId="0" fillId="7" borderId="9" xfId="0" applyNumberFormat="1" applyFont="1" applyFill="1" applyBorder="1"/>
    <x:xf numFmtId="0" fontId="0" fillId="7" borderId="10" xfId="0" applyNumberFormat="1" applyFont="1" applyFill="1" applyBorder="1"/>
    <x:xf numFmtId="0" fontId="0" fillId="7" borderId="11" xfId="0" applyNumberFormat="1" applyFont="1" applyFill="1" applyBorder="1"/>
    <x:xf numFmtId="0" fontId="0" fillId="7" borderId="12" xfId="0" applyNumberFormat="1" applyFont="1" applyFill="1" applyBorder="1"/>
    <x:xf numFmtId="0" fontId="0" fillId="7" borderId="13" xfId="0" applyNumberFormat="1" applyFont="1" applyFill="1" applyBorder="1"/>
    <x:xf numFmtId="0" fontId="0" fillId="7" borderId="14" xfId="0" applyNumberFormat="1" applyFont="1" applyFill="1" applyBorder="1"/>
    <x:xf numFmtId="0" fontId="0" fillId="7" borderId="15" xfId="0" applyNumberFormat="1" applyFont="1" applyFill="1" applyBorder="1"/>
    <x:xf numFmtId="0" fontId="0" fillId="7" borderId="16" xfId="0" applyNumberFormat="1" applyFont="1" applyFill="1" applyBorder="1"/>
    <x:xf numFmtId="0" fontId="0" fillId="7" borderId="17" xfId="0" applyNumberFormat="1" applyFont="1" applyFill="1" applyBorder="1"/>
    <x:xf numFmtId="0" fontId="0" fillId="7" borderId="18" xfId="0" applyNumberFormat="1" applyFont="1" applyFill="1" applyBorder="1"/>
    <x:xf numFmtId="0" fontId="0" fillId="7" borderId="19" xfId="0" applyNumberFormat="1" applyFont="1" applyFill="1" applyBorder="1"/>
    <x:xf numFmtId="0" fontId="0" fillId="7" borderId="20" xfId="0" applyNumberFormat="1" applyFont="1" applyFill="1" applyBorder="1"/>
    <x:xf numFmtId="0" fontId="0" fillId="7" borderId="21" xfId="0" applyNumberFormat="1" applyFont="1" applyFill="1" applyBorder="1"/>
    <x:xf numFmtId="0" fontId="0" fillId="7" borderId="22" xfId="0" applyNumberFormat="1" applyFont="1" applyFill="1" applyBorder="1"/>
    <x:xf numFmtId="0" fontId="0" fillId="7" borderId="23" xfId="0" applyNumberFormat="1" applyFont="1" applyFill="1" applyBorder="1"/>
    <x:xf numFmtId="200" fontId="0" fillId="7" borderId="8" xfId="0" applyNumberFormat="1" applyFont="1" applyFill="1" applyBorder="1"/>
    <x:xf numFmtId="200" fontId="0" fillId="7" borderId="9" xfId="0" applyNumberFormat="1" applyFont="1" applyFill="1" applyBorder="1"/>
    <x:xf numFmtId="200" fontId="0" fillId="7" borderId="11" xfId="0" applyNumberFormat="1" applyFont="1" applyFill="1" applyBorder="1"/>
    <x:xf numFmtId="200" fontId="0" fillId="7" borderId="0" xfId="0" applyNumberFormat="1" applyFont="1" applyFill="1" applyBorder="1"/>
    <x:xf numFmtId="200" fontId="0" fillId="7" borderId="13" xfId="0" applyNumberFormat="1" applyFont="1" applyFill="1" applyBorder="1"/>
    <x:xf numFmtId="200" fontId="0" fillId="7" borderId="14" xfId="0" applyNumberFormat="1" applyFont="1" applyFill="1" applyBorder="1"/>
    <x:xf numFmtId="200" fontId="0" fillId="0" borderId="0" xfId="0" applyNumberFormat="1" applyFont="1" applyFill="1" applyBorder="1"/>
    <x:xf numFmtId="200" fontId="0" fillId="7" borderId="16" xfId="0" applyNumberFormat="1" applyFont="1" applyFill="1" applyBorder="1"/>
    <x:xf numFmtId="200" fontId="0" fillId="7" borderId="17" xfId="0" applyNumberFormat="1" applyFont="1" applyFill="1" applyBorder="1"/>
    <x:xf numFmtId="200" fontId="0" fillId="7" borderId="19" xfId="0" applyNumberFormat="1" applyFont="1" applyFill="1" applyBorder="1"/>
    <x:xf numFmtId="200" fontId="0" fillId="7" borderId="1" xfId="0" applyNumberFormat="1" applyFont="1" applyFill="1" applyBorder="1"/>
    <x:xf numFmtId="200" fontId="0" fillId="7" borderId="21" xfId="0" applyNumberFormat="1" applyFont="1" applyFill="1" applyBorder="1"/>
    <x:xf numFmtId="200" fontId="0" fillId="7" borderId="22" xfId="0" applyNumberFormat="1" applyFont="1" applyFill="1" applyBorder="1"/>
    <x:xf numFmtId="200" fontId="0" fillId="0" borderId="1" xfId="0" applyNumberFormat="1" applyFont="1" applyFill="1" applyBorder="1"/>
    <x:xf numFmtId="202" fontId="0" fillId="7" borderId="9" xfId="0" applyNumberFormat="1" applyFont="1" applyFill="1" applyBorder="1"/>
    <x:xf numFmtId="202" fontId="0" fillId="7" borderId="0" xfId="0" applyNumberFormat="1" applyFont="1" applyFill="1" applyBorder="1"/>
    <x:xf numFmtId="202" fontId="0" fillId="7" borderId="14" xfId="0" applyNumberFormat="1" applyFont="1" applyFill="1" applyBorder="1"/>
    <x:xf numFmtId="202" fontId="0" fillId="7" borderId="17" xfId="0" applyNumberFormat="1" applyFont="1" applyFill="1" applyBorder="1"/>
    <x:xf numFmtId="202" fontId="0" fillId="7" borderId="1" xfId="0" applyNumberFormat="1" applyFont="1" applyFill="1" applyBorder="1"/>
    <x:xf numFmtId="202" fontId="0" fillId="7" borderId="22" xfId="0" applyNumberFormat="1" applyFont="1" applyFill="1" applyBorder="1"/>
    <x:xf numFmtId="203" fontId="0" fillId="7" borderId="9" xfId="0" applyNumberFormat="1" applyFont="1" applyFill="1" applyBorder="1"/>
    <x:xf numFmtId="203" fontId="0" fillId="7" borderId="0" xfId="0" applyNumberFormat="1" applyFont="1" applyFill="1" applyBorder="1"/>
    <x:xf numFmtId="203" fontId="0" fillId="7" borderId="14" xfId="0" applyNumberFormat="1" applyFont="1" applyFill="1" applyBorder="1"/>
    <x:xf numFmtId="203" fontId="0" fillId="7" borderId="17" xfId="0" applyNumberFormat="1" applyFont="1" applyFill="1" applyBorder="1"/>
    <x:xf numFmtId="203" fontId="0" fillId="7" borderId="1" xfId="0" applyNumberFormat="1" applyFont="1" applyFill="1" applyBorder="1"/>
    <x:xf numFmtId="203" fontId="0" fillId="7" borderId="22" xfId="0" applyNumberFormat="1" applyFont="1" applyFill="1" applyBorder="1"/>
    <x:xf numFmtId="0" fontId="0" fillId="9" borderId="0" xfId="0" applyNumberFormat="1" applyFont="1" applyFill="1" applyBorder="1"/>
    <x:xf numFmtId="200" fontId="0" fillId="9" borderId="0" xfId="0" applyNumberFormat="1" applyFont="1" applyFill="1" applyBorder="1"/>
    <x:xf numFmtId="0" fontId="4" fillId="9" borderId="0" xfId="0" applyNumberFormat="1" applyFont="1" applyFill="1" applyBorder="1"/>
    <x:xf numFmtId="200" fontId="4" fillId="9" borderId="0" xfId="0" applyNumberFormat="1" applyFont="1" applyFill="1" applyBorder="1"/>
    <x:xf numFmtId="0" fontId="4" fillId="9" borderId="24" xfId="0" applyNumberFormat="1" applyFont="1" applyFill="1" applyBorder="1"/>
    <x:xf numFmtId="200" fontId="4" fillId="9" borderId="25" xfId="0" applyNumberFormat="1" applyFont="1" applyFill="1" applyBorder="1"/>
    <x:xf numFmtId="0" fontId="4" fillId="9" borderId="25" xfId="0" applyNumberFormat="1" applyFont="1" applyFill="1" applyBorder="1"/>
    <x:xf numFmtId="0" fontId="4" fillId="9" borderId="26" xfId="0" applyNumberFormat="1" applyFont="1" applyFill="1" applyBorder="1"/>
    <x:xf numFmtId="0" fontId="0" fillId="9" borderId="1" xfId="0" applyNumberFormat="1" applyFont="1" applyFill="1" applyBorder="1"/>
    <x:xf numFmtId="200" fontId="0" fillId="9" borderId="1" xfId="0" applyNumberFormat="1" applyFont="1" applyFill="1" applyBorder="1"/>
    <x:xf numFmtId="0" fontId="4" fillId="9" borderId="1" xfId="0" applyNumberFormat="1" applyFont="1" applyFill="1" applyBorder="1"/>
    <x:xf numFmtId="200" fontId="4" fillId="9" borderId="1" xfId="0" applyNumberFormat="1" applyFont="1" applyFill="1" applyBorder="1"/>
    <x:xf numFmtId="0" fontId="4" fillId="9" borderId="27" xfId="0" applyNumberFormat="1" applyFont="1" applyFill="1" applyBorder="1"/>
    <x:xf numFmtId="200" fontId="4" fillId="9" borderId="28" xfId="0" applyNumberFormat="1" applyFont="1" applyFill="1" applyBorder="1"/>
    <x:xf numFmtId="0" fontId="4" fillId="9" borderId="28" xfId="0" applyNumberFormat="1" applyFont="1" applyFill="1" applyBorder="1"/>
    <x:xf numFmtId="0" fontId="4" fillId="9" borderId="29" xfId="0" applyNumberFormat="1" applyFont="1" applyFill="1" applyBorder="1"/>
    <x:xf numFmtId="0" fontId="0" fillId="10" borderId="0" xfId="0" applyNumberFormat="1" applyFont="1" applyFill="1" applyBorder="1"/>
    <x:xf numFmtId="200" fontId="0" fillId="10" borderId="0" xfId="0" applyNumberFormat="1" applyFont="1" applyFill="1" applyBorder="1"/>
    <x:xf numFmtId="0" fontId="6" fillId="10" borderId="0" xfId="0" applyNumberFormat="1" applyFont="1" applyFill="1" applyBorder="1"/>
    <x:xf numFmtId="200" fontId="6" fillId="10" borderId="0" xfId="0" applyNumberFormat="1" applyFont="1" applyFill="1" applyBorder="1"/>
    <x:xf numFmtId="0" fontId="6" fillId="10" borderId="30" xfId="0" applyNumberFormat="1" applyFont="1" applyFill="1" applyBorder="1"/>
    <x:xf numFmtId="200" fontId="6" fillId="10" borderId="31" xfId="0" applyNumberFormat="1" applyFont="1" applyFill="1" applyBorder="1"/>
    <x:xf numFmtId="0" fontId="6" fillId="10" borderId="31" xfId="0" applyNumberFormat="1" applyFont="1" applyFill="1" applyBorder="1"/>
    <x:xf numFmtId="0" fontId="6" fillId="10" borderId="32" xfId="0" applyNumberFormat="1" applyFont="1" applyFill="1" applyBorder="1"/>
    <x:xf numFmtId="0" fontId="0" fillId="10" borderId="1" xfId="0" applyNumberFormat="1" applyFont="1" applyFill="1" applyBorder="1"/>
    <x:xf numFmtId="200" fontId="0" fillId="10" borderId="1" xfId="0" applyNumberFormat="1" applyFont="1" applyFill="1" applyBorder="1"/>
    <x:xf numFmtId="0" fontId="6" fillId="10" borderId="1" xfId="0" applyNumberFormat="1" applyFont="1" applyFill="1" applyBorder="1"/>
    <x:xf numFmtId="200" fontId="6" fillId="10" borderId="1" xfId="0" applyNumberFormat="1" applyFont="1" applyFill="1" applyBorder="1"/>
    <x:xf numFmtId="0" fontId="6" fillId="10" borderId="33" xfId="0" applyNumberFormat="1" applyFont="1" applyFill="1" applyBorder="1"/>
    <x:xf numFmtId="200" fontId="6" fillId="10" borderId="34" xfId="0" applyNumberFormat="1" applyFont="1" applyFill="1" applyBorder="1"/>
    <x:xf numFmtId="0" fontId="6" fillId="10" borderId="34" xfId="0" applyNumberFormat="1" applyFont="1" applyFill="1" applyBorder="1"/>
    <x:xf numFmtId="0" fontId="6" fillId="10" borderId="35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 applyAlignment="1">
      <x:alignment horizontal="center" vertical="center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horizontal="center"/>
    </x:xf>
    <x:xf numFmtId="0" fontId="8" fillId="7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df901258ca4579" /><Relationship Type="http://schemas.openxmlformats.org/officeDocument/2006/relationships/theme" Target="/xl/theme/theme1.xml" Id="Rd6fda144466646ae" /><Relationship Type="http://schemas.openxmlformats.org/officeDocument/2006/relationships/sharedStrings" Target="/xl/sharedStrings.xml" Id="R6e3dc238d4654e34" /><Relationship Type="http://schemas.openxmlformats.org/officeDocument/2006/relationships/worksheet" Target="/xl/worksheets/sheet1.xml" Id="Rc8ab0a82e07d4df5" /><Relationship Type="http://schemas.openxmlformats.org/officeDocument/2006/relationships/worksheet" Target="/xl/worksheets/sheet2.xml" Id="Rf5cf502044154a99" /><Relationship Type="http://schemas.openxmlformats.org/officeDocument/2006/relationships/worksheet" Target="/xl/worksheets/sheet3.xml" Id="R9e8dce638ba24f3d" /><Relationship Type="http://schemas.openxmlformats.org/officeDocument/2006/relationships/worksheet" Target="/xl/worksheets/sheet4.xml" Id="R21f56d7af5d24a74" /><Relationship Type="http://schemas.openxmlformats.org/officeDocument/2006/relationships/worksheet" Target="/xl/worksheets/sheet5.xml" Id="R79b172bd84924a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4" hidden="0" customWidth="1"/>
  </x:cols>
  <x:sheetData>
    <x:row r="1" ht="30" customHeight="1">
      <x:c r="A1" s="5" t="str">
        <x:v>지점별 실적·평가 관리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2" t="str">
        <x:v>지점별 목표·매출·비용을 연결해 이익·달성률·마진·평가점수·등급을 계산하는 합성 샘플</x:v>
      </x:c>
      <x:c r="B2" s="12"/>
      <x:c r="C2" s="12"/>
      <x:c r="D2" s="12"/>
      <x:c r="E2" s="12"/>
      <x:c r="F2" s="12"/>
      <x:c r="G2" s="12"/>
      <x:c r="H2" s="12"/>
    </x:row>
    <x:row r="3">
      <x:c r="A3" s="18" t="str">
        <x:v>M4-C 추가 교정용 합성 데이터입니다.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</x:row>
    <x:row r="5" ht="28" customHeight="1">
      <x:c r="A5" s="30" t="str">
        <x:v>구분</x:v>
      </x:c>
      <x:c r="B5" s="31" t="str">
        <x:v>내용</x:v>
      </x:c>
    </x:row>
    <x:row r="6">
      <x:c r="A6" s="45" t="str">
        <x:v>샘플 성격</x:v>
      </x:c>
      <x:c r="B6" s="51" t="str">
        <x:v>실제 회사·개인정보를 사용하지 않은 합성 업무 파일</x:v>
      </x:c>
    </x:row>
    <x:row r="7">
      <x:c r="A7" s="45" t="str">
        <x:v>검증 용도</x:v>
      </x:c>
      <x:c r="B7" s="51" t="str">
        <x:v>Calibration</x:v>
      </x:c>
    </x:row>
    <x:row r="8">
      <x:c r="A8" s="45" t="str">
        <x:v>핵심 검증</x:v>
      </x:c>
      <x:c r="B8" s="51" t="str">
        <x:v>매출 집계 기준행 이탈, 이익 함수 이탈, 평가점수 상수 덮어쓰기, 등급 빈 셀</x:v>
      </x:c>
    </x:row>
    <x:row r="9">
      <x:c r="A9" s="45" t="str">
        <x:v>사용 방법</x:v>
      </x:c>
      <x:c r="B9" s="51" t="str">
        <x:v>기본 무료 진단 후 M4 수식 패턴 정밀검사를 선택 실행</x:v>
      </x:c>
    </x:row>
    <x:row r="10">
      <x:c r="A10" s="45" t="str">
        <x:v>주의</x:v>
      </x:c>
      <x:c r="B10" s="51" t="str">
        <x:v>Finding은 업무 오류 확정이 아니라 사람이 확인할 이상 후보입니다.</x:v>
      </x:c>
    </x:row>
    <x:row r="12" ht="28" customHeight="1">
      <x:c r="A12" s="30" t="str">
        <x:v>시트</x:v>
      </x:c>
      <x:c r="B12" s="31" t="str">
        <x:v>업무 역할</x:v>
      </x:c>
    </x:row>
    <x:row r="13">
      <x:c r="A13" s="55" t="str">
        <x:v>지점마스터</x:v>
      </x:c>
      <x:c r="B13" s="50" t="str">
        <x:v>지점·지역·목표</x:v>
      </x:c>
    </x:row>
    <x:row r="14">
      <x:c r="A14" s="55" t="str">
        <x:v>거래내역</x:v>
      </x:c>
      <x:c r="B14" s="50" t="str">
        <x:v>지점별 매출·비용</x:v>
      </x:c>
    </x:row>
    <x:row r="15">
      <x:c r="A15" s="55" t="str">
        <x:v>지점평가</x:v>
      </x:c>
      <x:c r="B15" s="50" t="str">
        <x:v>실적·점수·등급</x:v>
      </x:c>
    </x:row>
    <x:row r="16">
      <x:c r="A16" s="55" t="str">
        <x:v>대시보드</x:v>
      </x:c>
      <x:c r="B16" s="50" t="str">
        <x:v>지점 KPI</x:v>
      </x:c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2" hidden="0" customWidth="1"/>
    <x:col min="4" max="4" width="17" hidden="0" customWidth="1"/>
  </x:cols>
  <x:sheetData>
    <x:row r="1" ht="30" customHeight="1">
      <x:c r="A1" s="5" t="str">
        <x:v>지점 마스터</x:v>
      </x:c>
      <x:c r="B1" s="5"/>
      <x:c r="C1" s="5"/>
      <x:c r="D1" s="5"/>
    </x:row>
    <x:row r="2" ht="24" customHeight="1">
      <x:c r="A2" s="12" t="str">
        <x:v>합성 지점·지역·매출목표</x:v>
      </x:c>
      <x:c r="B2" s="12"/>
      <x:c r="C2" s="12"/>
      <x:c r="D2" s="12"/>
    </x:row>
    <x:row r="3">
      <x:c r="A3" s="18" t="str">
        <x:v>M4-C 추가 교정용 합성 데이터입니다. 노란색은 입력, 파란색은 계산 영역입니다.</x:v>
      </x:c>
      <x:c r="B3" s="18"/>
      <x:c r="C3" s="18"/>
      <x:c r="D3" s="18"/>
    </x:row>
    <x:row r="5" ht="28" customHeight="1">
      <x:c r="A5" s="30" t="str">
        <x:v>지점코드</x:v>
      </x:c>
      <x:c r="B5" s="61" t="str">
        <x:v>지점명</x:v>
      </x:c>
      <x:c r="C5" s="61" t="str">
        <x:v>지역</x:v>
      </x:c>
      <x:c r="D5" s="31" t="str">
        <x:v>월목표</x:v>
      </x:c>
    </x:row>
    <x:row r="6">
      <x:c r="A6" s="67" t="str">
        <x:v>BR-001</x:v>
      </x:c>
      <x:c r="B6" s="68" t="str">
        <x:v>지점01</x:v>
      </x:c>
      <x:c r="C6" s="68" t="str">
        <x:v>수도권</x:v>
      </x:c>
      <x:c r="D6" s="84" t="n">
        <x:v>18350000</x:v>
      </x:c>
    </x:row>
    <x:row r="7">
      <x:c r="A7" s="70" t="str">
        <x:v>BR-002</x:v>
      </x:c>
      <x:c r="B7" s="66" t="str">
        <x:v>지점02</x:v>
      </x:c>
      <x:c r="C7" s="66" t="str">
        <x:v>충청</x:v>
      </x:c>
      <x:c r="D7" s="85" t="n">
        <x:v>18700000</x:v>
      </x:c>
    </x:row>
    <x:row r="8">
      <x:c r="A8" s="70" t="str">
        <x:v>BR-003</x:v>
      </x:c>
      <x:c r="B8" s="66" t="str">
        <x:v>지점03</x:v>
      </x:c>
      <x:c r="C8" s="66" t="str">
        <x:v>영남</x:v>
      </x:c>
      <x:c r="D8" s="85" t="n">
        <x:v>19050000</x:v>
      </x:c>
    </x:row>
    <x:row r="9">
      <x:c r="A9" s="70" t="str">
        <x:v>BR-004</x:v>
      </x:c>
      <x:c r="B9" s="66" t="str">
        <x:v>지점04</x:v>
      </x:c>
      <x:c r="C9" s="66" t="str">
        <x:v>호남</x:v>
      </x:c>
      <x:c r="D9" s="85" t="n">
        <x:v>19400000</x:v>
      </x:c>
    </x:row>
    <x:row r="10">
      <x:c r="A10" s="70" t="str">
        <x:v>BR-005</x:v>
      </x:c>
      <x:c r="B10" s="66" t="str">
        <x:v>지점05</x:v>
      </x:c>
      <x:c r="C10" s="66" t="str">
        <x:v>수도권</x:v>
      </x:c>
      <x:c r="D10" s="85" t="n">
        <x:v>19750000</x:v>
      </x:c>
    </x:row>
    <x:row r="11">
      <x:c r="A11" s="70" t="str">
        <x:v>BR-006</x:v>
      </x:c>
      <x:c r="B11" s="66" t="str">
        <x:v>지점06</x:v>
      </x:c>
      <x:c r="C11" s="66" t="str">
        <x:v>충청</x:v>
      </x:c>
      <x:c r="D11" s="85" t="n">
        <x:v>20100000</x:v>
      </x:c>
    </x:row>
    <x:row r="12">
      <x:c r="A12" s="70" t="str">
        <x:v>BR-007</x:v>
      </x:c>
      <x:c r="B12" s="66" t="str">
        <x:v>지점07</x:v>
      </x:c>
      <x:c r="C12" s="66" t="str">
        <x:v>영남</x:v>
      </x:c>
      <x:c r="D12" s="85" t="n">
        <x:v>20450000</x:v>
      </x:c>
    </x:row>
    <x:row r="13">
      <x:c r="A13" s="70" t="str">
        <x:v>BR-008</x:v>
      </x:c>
      <x:c r="B13" s="66" t="str">
        <x:v>지점08</x:v>
      </x:c>
      <x:c r="C13" s="66" t="str">
        <x:v>호남</x:v>
      </x:c>
      <x:c r="D13" s="85" t="n">
        <x:v>20800000</x:v>
      </x:c>
    </x:row>
    <x:row r="14">
      <x:c r="A14" s="70" t="str">
        <x:v>BR-009</x:v>
      </x:c>
      <x:c r="B14" s="66" t="str">
        <x:v>지점09</x:v>
      </x:c>
      <x:c r="C14" s="66" t="str">
        <x:v>수도권</x:v>
      </x:c>
      <x:c r="D14" s="85" t="n">
        <x:v>21150000</x:v>
      </x:c>
    </x:row>
    <x:row r="15">
      <x:c r="A15" s="70" t="str">
        <x:v>BR-010</x:v>
      </x:c>
      <x:c r="B15" s="66" t="str">
        <x:v>지점10</x:v>
      </x:c>
      <x:c r="C15" s="66" t="str">
        <x:v>충청</x:v>
      </x:c>
      <x:c r="D15" s="85" t="n">
        <x:v>21500000</x:v>
      </x:c>
    </x:row>
    <x:row r="16">
      <x:c r="A16" s="70" t="str">
        <x:v>BR-011</x:v>
      </x:c>
      <x:c r="B16" s="66" t="str">
        <x:v>지점11</x:v>
      </x:c>
      <x:c r="C16" s="66" t="str">
        <x:v>영남</x:v>
      </x:c>
      <x:c r="D16" s="85" t="n">
        <x:v>21850000</x:v>
      </x:c>
    </x:row>
    <x:row r="17">
      <x:c r="A17" s="70" t="str">
        <x:v>BR-012</x:v>
      </x:c>
      <x:c r="B17" s="66" t="str">
        <x:v>지점12</x:v>
      </x:c>
      <x:c r="C17" s="66" t="str">
        <x:v>호남</x:v>
      </x:c>
      <x:c r="D17" s="85" t="n">
        <x:v>22200000</x:v>
      </x:c>
    </x:row>
    <x:row r="18">
      <x:c r="A18" s="70" t="str">
        <x:v>BR-013</x:v>
      </x:c>
      <x:c r="B18" s="66" t="str">
        <x:v>지점13</x:v>
      </x:c>
      <x:c r="C18" s="66" t="str">
        <x:v>수도권</x:v>
      </x:c>
      <x:c r="D18" s="85" t="n">
        <x:v>22550000</x:v>
      </x:c>
    </x:row>
    <x:row r="19">
      <x:c r="A19" s="70" t="str">
        <x:v>BR-014</x:v>
      </x:c>
      <x:c r="B19" s="66" t="str">
        <x:v>지점14</x:v>
      </x:c>
      <x:c r="C19" s="66" t="str">
        <x:v>충청</x:v>
      </x:c>
      <x:c r="D19" s="85" t="n">
        <x:v>22900000</x:v>
      </x:c>
    </x:row>
    <x:row r="20">
      <x:c r="A20" s="70" t="str">
        <x:v>BR-015</x:v>
      </x:c>
      <x:c r="B20" s="66" t="str">
        <x:v>지점15</x:v>
      </x:c>
      <x:c r="C20" s="66" t="str">
        <x:v>영남</x:v>
      </x:c>
      <x:c r="D20" s="85" t="n">
        <x:v>23250000</x:v>
      </x:c>
    </x:row>
    <x:row r="21">
      <x:c r="A21" s="70" t="str">
        <x:v>BR-016</x:v>
      </x:c>
      <x:c r="B21" s="66" t="str">
        <x:v>지점16</x:v>
      </x:c>
      <x:c r="C21" s="66" t="str">
        <x:v>호남</x:v>
      </x:c>
      <x:c r="D21" s="85" t="n">
        <x:v>23600000</x:v>
      </x:c>
    </x:row>
    <x:row r="22">
      <x:c r="A22" s="70" t="str">
        <x:v>BR-017</x:v>
      </x:c>
      <x:c r="B22" s="66" t="str">
        <x:v>지점17</x:v>
      </x:c>
      <x:c r="C22" s="66" t="str">
        <x:v>수도권</x:v>
      </x:c>
      <x:c r="D22" s="85" t="n">
        <x:v>23950000</x:v>
      </x:c>
    </x:row>
    <x:row r="23">
      <x:c r="A23" s="70" t="str">
        <x:v>BR-018</x:v>
      </x:c>
      <x:c r="B23" s="66" t="str">
        <x:v>지점18</x:v>
      </x:c>
      <x:c r="C23" s="66" t="str">
        <x:v>충청</x:v>
      </x:c>
      <x:c r="D23" s="85" t="n">
        <x:v>24300000</x:v>
      </x:c>
    </x:row>
    <x:row r="24">
      <x:c r="A24" s="70" t="str">
        <x:v>BR-019</x:v>
      </x:c>
      <x:c r="B24" s="66" t="str">
        <x:v>지점19</x:v>
      </x:c>
      <x:c r="C24" s="66" t="str">
        <x:v>영남</x:v>
      </x:c>
      <x:c r="D24" s="85" t="n">
        <x:v>24650000</x:v>
      </x:c>
    </x:row>
    <x:row r="25">
      <x:c r="A25" s="70" t="str">
        <x:v>BR-020</x:v>
      </x:c>
      <x:c r="B25" s="66" t="str">
        <x:v>지점20</x:v>
      </x:c>
      <x:c r="C25" s="66" t="str">
        <x:v>호남</x:v>
      </x:c>
      <x:c r="D25" s="85" t="n">
        <x:v>25000000</x:v>
      </x:c>
    </x:row>
    <x:row r="26">
      <x:c r="A26" s="70" t="str">
        <x:v>BR-021</x:v>
      </x:c>
      <x:c r="B26" s="66" t="str">
        <x:v>지점21</x:v>
      </x:c>
      <x:c r="C26" s="66" t="str">
        <x:v>수도권</x:v>
      </x:c>
      <x:c r="D26" s="85" t="n">
        <x:v>25350000</x:v>
      </x:c>
    </x:row>
    <x:row r="27">
      <x:c r="A27" s="70" t="str">
        <x:v>BR-022</x:v>
      </x:c>
      <x:c r="B27" s="66" t="str">
        <x:v>지점22</x:v>
      </x:c>
      <x:c r="C27" s="66" t="str">
        <x:v>충청</x:v>
      </x:c>
      <x:c r="D27" s="85" t="n">
        <x:v>25700000</x:v>
      </x:c>
    </x:row>
    <x:row r="28">
      <x:c r="A28" s="70" t="str">
        <x:v>BR-023</x:v>
      </x:c>
      <x:c r="B28" s="66" t="str">
        <x:v>지점23</x:v>
      </x:c>
      <x:c r="C28" s="66" t="str">
        <x:v>영남</x:v>
      </x:c>
      <x:c r="D28" s="85" t="n">
        <x:v>26050000</x:v>
      </x:c>
    </x:row>
    <x:row r="29">
      <x:c r="A29" s="70" t="str">
        <x:v>BR-024</x:v>
      </x:c>
      <x:c r="B29" s="66" t="str">
        <x:v>지점24</x:v>
      </x:c>
      <x:c r="C29" s="66" t="str">
        <x:v>호남</x:v>
      </x:c>
      <x:c r="D29" s="85" t="n">
        <x:v>26400000</x:v>
      </x:c>
    </x:row>
    <x:row r="30">
      <x:c r="A30" s="70" t="str">
        <x:v>BR-025</x:v>
      </x:c>
      <x:c r="B30" s="66" t="str">
        <x:v>지점25</x:v>
      </x:c>
      <x:c r="C30" s="66" t="str">
        <x:v>수도권</x:v>
      </x:c>
      <x:c r="D30" s="85" t="n">
        <x:v>26750000</x:v>
      </x:c>
    </x:row>
    <x:row r="31">
      <x:c r="A31" s="70" t="str">
        <x:v>BR-026</x:v>
      </x:c>
      <x:c r="B31" s="66" t="str">
        <x:v>지점26</x:v>
      </x:c>
      <x:c r="C31" s="66" t="str">
        <x:v>충청</x:v>
      </x:c>
      <x:c r="D31" s="85" t="n">
        <x:v>27100000</x:v>
      </x:c>
    </x:row>
    <x:row r="32">
      <x:c r="A32" s="70" t="str">
        <x:v>BR-027</x:v>
      </x:c>
      <x:c r="B32" s="66" t="str">
        <x:v>지점27</x:v>
      </x:c>
      <x:c r="C32" s="66" t="str">
        <x:v>영남</x:v>
      </x:c>
      <x:c r="D32" s="85" t="n">
        <x:v>27450000</x:v>
      </x:c>
    </x:row>
    <x:row r="33">
      <x:c r="A33" s="70" t="str">
        <x:v>BR-028</x:v>
      </x:c>
      <x:c r="B33" s="66" t="str">
        <x:v>지점28</x:v>
      </x:c>
      <x:c r="C33" s="66" t="str">
        <x:v>호남</x:v>
      </x:c>
      <x:c r="D33" s="85" t="n">
        <x:v>27800000</x:v>
      </x:c>
    </x:row>
    <x:row r="34">
      <x:c r="A34" s="70" t="str">
        <x:v>BR-029</x:v>
      </x:c>
      <x:c r="B34" s="66" t="str">
        <x:v>지점29</x:v>
      </x:c>
      <x:c r="C34" s="66" t="str">
        <x:v>수도권</x:v>
      </x:c>
      <x:c r="D34" s="85" t="n">
        <x:v>28150000</x:v>
      </x:c>
    </x:row>
    <x:row r="35">
      <x:c r="A35" s="70" t="str">
        <x:v>BR-030</x:v>
      </x:c>
      <x:c r="B35" s="66" t="str">
        <x:v>지점30</x:v>
      </x:c>
      <x:c r="C35" s="66" t="str">
        <x:v>충청</x:v>
      </x:c>
      <x:c r="D35" s="85" t="n">
        <x:v>28500000</x:v>
      </x:c>
    </x:row>
    <x:row r="36">
      <x:c r="A36" s="70" t="str">
        <x:v>BR-031</x:v>
      </x:c>
      <x:c r="B36" s="66" t="str">
        <x:v>지점31</x:v>
      </x:c>
      <x:c r="C36" s="66" t="str">
        <x:v>영남</x:v>
      </x:c>
      <x:c r="D36" s="85" t="n">
        <x:v>28850000</x:v>
      </x:c>
    </x:row>
    <x:row r="37">
      <x:c r="A37" s="70" t="str">
        <x:v>BR-032</x:v>
      </x:c>
      <x:c r="B37" s="66" t="str">
        <x:v>지점32</x:v>
      </x:c>
      <x:c r="C37" s="66" t="str">
        <x:v>호남</x:v>
      </x:c>
      <x:c r="D37" s="85" t="n">
        <x:v>29200000</x:v>
      </x:c>
    </x:row>
    <x:row r="38">
      <x:c r="A38" s="70" t="str">
        <x:v>BR-033</x:v>
      </x:c>
      <x:c r="B38" s="66" t="str">
        <x:v>지점33</x:v>
      </x:c>
      <x:c r="C38" s="66" t="str">
        <x:v>수도권</x:v>
      </x:c>
      <x:c r="D38" s="85" t="n">
        <x:v>29550000</x:v>
      </x:c>
    </x:row>
    <x:row r="39">
      <x:c r="A39" s="70" t="str">
        <x:v>BR-034</x:v>
      </x:c>
      <x:c r="B39" s="66" t="str">
        <x:v>지점34</x:v>
      </x:c>
      <x:c r="C39" s="66" t="str">
        <x:v>충청</x:v>
      </x:c>
      <x:c r="D39" s="85" t="n">
        <x:v>29900000</x:v>
      </x:c>
    </x:row>
    <x:row r="40">
      <x:c r="A40" s="70" t="str">
        <x:v>BR-035</x:v>
      </x:c>
      <x:c r="B40" s="66" t="str">
        <x:v>지점35</x:v>
      </x:c>
      <x:c r="C40" s="66" t="str">
        <x:v>영남</x:v>
      </x:c>
      <x:c r="D40" s="85" t="n">
        <x:v>30250000</x:v>
      </x:c>
    </x:row>
    <x:row r="41">
      <x:c r="A41" s="72" t="str">
        <x:v>BR-036</x:v>
      </x:c>
      <x:c r="B41" s="73" t="str">
        <x:v>지점36</x:v>
      </x:c>
      <x:c r="C41" s="73" t="str">
        <x:v>호남</x:v>
      </x:c>
      <x:c r="D41" s="86" t="n">
        <x:v>30600000</x:v>
      </x:c>
    </x:row>
  </x:sheetData>
  <x:mergeCells>
    <x:mergeCell ref="A1:D1"/>
    <x:mergeCell ref="A2:D2"/>
    <x:mergeCell ref="A3:D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6" hidden="0" customWidth="1"/>
    <x:col min="5" max="5" width="18" hidden="0" customWidth="1"/>
  </x:cols>
  <x:sheetData>
    <x:row r="1" ht="30" customHeight="1">
      <x:c r="A1" s="5" t="str">
        <x:v>지점 거래내역</x:v>
      </x:c>
      <x:c r="B1" s="5"/>
      <x:c r="C1" s="5"/>
      <x:c r="D1" s="5"/>
      <x:c r="E1" s="5"/>
    </x:row>
    <x:row r="2" ht="24" customHeight="1">
      <x:c r="A2" s="12" t="str">
        <x:v>합성 매출·비용 데이터</x:v>
      </x:c>
      <x:c r="B2" s="12"/>
      <x:c r="C2" s="12"/>
      <x:c r="D2" s="12"/>
      <x:c r="E2" s="12"/>
    </x:row>
    <x:row r="3">
      <x:c r="A3" s="18" t="str">
        <x:v>M4-C 추가 교정용 합성 데이터입니다. 노란색은 입력, 파란색은 계산 영역입니다.</x:v>
      </x:c>
      <x:c r="B3" s="18"/>
      <x:c r="C3" s="18"/>
      <x:c r="D3" s="18"/>
      <x:c r="E3" s="18"/>
    </x:row>
    <x:row r="5" ht="28" customHeight="1">
      <x:c r="A5" s="30" t="str">
        <x:v>일자</x:v>
      </x:c>
      <x:c r="B5" s="61" t="str">
        <x:v>지점코드</x:v>
      </x:c>
      <x:c r="C5" s="61" t="str">
        <x:v>구분</x:v>
      </x:c>
      <x:c r="D5" s="61" t="str">
        <x:v>금액</x:v>
      </x:c>
      <x:c r="E5" s="31" t="str">
        <x:v>비고</x:v>
      </x:c>
    </x:row>
    <x:row r="6">
      <x:c r="A6" s="90" t="n">
        <x:v>46235</x:v>
      </x:c>
      <x:c r="B6" s="68" t="str">
        <x:v>BR-001</x:v>
      </x:c>
      <x:c r="C6" s="68" t="str">
        <x:v>비용</x:v>
      </x:c>
      <x:c r="D6" s="96" t="n">
        <x:v>7400000</x:v>
      </x:c>
      <x:c r="E6" s="69" t="str"/>
    </x:row>
    <x:row r="7">
      <x:c r="A7" s="91" t="n">
        <x:v>46236</x:v>
      </x:c>
      <x:c r="B7" s="66" t="str">
        <x:v>BR-002</x:v>
      </x:c>
      <x:c r="C7" s="66" t="str">
        <x:v>매출</x:v>
      </x:c>
      <x:c r="D7" s="97" t="n">
        <x:v>8800000</x:v>
      </x:c>
      <x:c r="E7" s="71" t="str"/>
    </x:row>
    <x:row r="8">
      <x:c r="A8" s="91" t="n">
        <x:v>46237</x:v>
      </x:c>
      <x:c r="B8" s="66" t="str">
        <x:v>BR-003</x:v>
      </x:c>
      <x:c r="C8" s="66" t="str">
        <x:v>매출</x:v>
      </x:c>
      <x:c r="D8" s="97" t="n">
        <x:v>8500000</x:v>
      </x:c>
      <x:c r="E8" s="71" t="str"/>
    </x:row>
    <x:row r="9">
      <x:c r="A9" s="91" t="n">
        <x:v>46238</x:v>
      </x:c>
      <x:c r="B9" s="66" t="str">
        <x:v>BR-004</x:v>
      </x:c>
      <x:c r="C9" s="66" t="str">
        <x:v>비용</x:v>
      </x:c>
      <x:c r="D9" s="97" t="n">
        <x:v>5900000</x:v>
      </x:c>
      <x:c r="E9" s="71" t="str"/>
    </x:row>
    <x:row r="10">
      <x:c r="A10" s="91" t="n">
        <x:v>46239</x:v>
      </x:c>
      <x:c r="B10" s="66" t="str">
        <x:v>BR-005</x:v>
      </x:c>
      <x:c r="C10" s="66" t="str">
        <x:v>매출</x:v>
      </x:c>
      <x:c r="D10" s="97" t="n">
        <x:v>4100000</x:v>
      </x:c>
      <x:c r="E10" s="71" t="str"/>
    </x:row>
    <x:row r="11">
      <x:c r="A11" s="91" t="n">
        <x:v>46240</x:v>
      </x:c>
      <x:c r="B11" s="66" t="str">
        <x:v>BR-006</x:v>
      </x:c>
      <x:c r="C11" s="66" t="str">
        <x:v>매출</x:v>
      </x:c>
      <x:c r="D11" s="97" t="n">
        <x:v>16700000</x:v>
      </x:c>
      <x:c r="E11" s="71" t="str"/>
    </x:row>
    <x:row r="12">
      <x:c r="A12" s="91" t="n">
        <x:v>46241</x:v>
      </x:c>
      <x:c r="B12" s="66" t="str">
        <x:v>BR-007</x:v>
      </x:c>
      <x:c r="C12" s="66" t="str">
        <x:v>비용</x:v>
      </x:c>
      <x:c r="D12" s="97" t="n">
        <x:v>8700000</x:v>
      </x:c>
      <x:c r="E12" s="71" t="str"/>
    </x:row>
    <x:row r="13">
      <x:c r="A13" s="91" t="n">
        <x:v>46242</x:v>
      </x:c>
      <x:c r="B13" s="66" t="str">
        <x:v>BR-008</x:v>
      </x:c>
      <x:c r="C13" s="66" t="str">
        <x:v>매출</x:v>
      </x:c>
      <x:c r="D13" s="97" t="n">
        <x:v>6700000</x:v>
      </x:c>
      <x:c r="E13" s="71" t="str"/>
    </x:row>
    <x:row r="14">
      <x:c r="A14" s="91" t="n">
        <x:v>46243</x:v>
      </x:c>
      <x:c r="B14" s="66" t="str">
        <x:v>BR-009</x:v>
      </x:c>
      <x:c r="C14" s="66" t="str">
        <x:v>매출</x:v>
      </x:c>
      <x:c r="D14" s="97" t="n">
        <x:v>16400000</x:v>
      </x:c>
      <x:c r="E14" s="71" t="str"/>
    </x:row>
    <x:row r="15">
      <x:c r="A15" s="91" t="n">
        <x:v>46244</x:v>
      </x:c>
      <x:c r="B15" s="66" t="str">
        <x:v>BR-010</x:v>
      </x:c>
      <x:c r="C15" s="66" t="str">
        <x:v>비용</x:v>
      </x:c>
      <x:c r="D15" s="97" t="n">
        <x:v>10200000</x:v>
      </x:c>
      <x:c r="E15" s="71" t="str"/>
    </x:row>
    <x:row r="16">
      <x:c r="A16" s="91" t="n">
        <x:v>46245</x:v>
      </x:c>
      <x:c r="B16" s="66" t="str">
        <x:v>BR-011</x:v>
      </x:c>
      <x:c r="C16" s="66" t="str">
        <x:v>매출</x:v>
      </x:c>
      <x:c r="D16" s="97" t="n">
        <x:v>17000000</x:v>
      </x:c>
      <x:c r="E16" s="71" t="str"/>
    </x:row>
    <x:row r="17">
      <x:c r="A17" s="91" t="n">
        <x:v>46246</x:v>
      </x:c>
      <x:c r="B17" s="66" t="str">
        <x:v>BR-012</x:v>
      </x:c>
      <x:c r="C17" s="66" t="str">
        <x:v>매출</x:v>
      </x:c>
      <x:c r="D17" s="97" t="n">
        <x:v>14400000</x:v>
      </x:c>
      <x:c r="E17" s="71" t="str"/>
    </x:row>
    <x:row r="18">
      <x:c r="A18" s="91" t="n">
        <x:v>46247</x:v>
      </x:c>
      <x:c r="B18" s="66" t="str">
        <x:v>BR-013</x:v>
      </x:c>
      <x:c r="C18" s="66" t="str">
        <x:v>비용</x:v>
      </x:c>
      <x:c r="D18" s="97" t="n">
        <x:v>14300000</x:v>
      </x:c>
      <x:c r="E18" s="71" t="str"/>
    </x:row>
    <x:row r="19">
      <x:c r="A19" s="91" t="n">
        <x:v>46248</x:v>
      </x:c>
      <x:c r="B19" s="66" t="str">
        <x:v>BR-014</x:v>
      </x:c>
      <x:c r="C19" s="66" t="str">
        <x:v>매출</x:v>
      </x:c>
      <x:c r="D19" s="97" t="n">
        <x:v>12200000</x:v>
      </x:c>
      <x:c r="E19" s="71" t="str"/>
    </x:row>
    <x:row r="20">
      <x:c r="A20" s="91" t="n">
        <x:v>46249</x:v>
      </x:c>
      <x:c r="B20" s="66" t="str">
        <x:v>BR-015</x:v>
      </x:c>
      <x:c r="C20" s="66" t="str">
        <x:v>매출</x:v>
      </x:c>
      <x:c r="D20" s="97" t="n">
        <x:v>7700000</x:v>
      </x:c>
      <x:c r="E20" s="71" t="str"/>
    </x:row>
    <x:row r="21">
      <x:c r="A21" s="91" t="n">
        <x:v>46250</x:v>
      </x:c>
      <x:c r="B21" s="66" t="str">
        <x:v>BR-016</x:v>
      </x:c>
      <x:c r="C21" s="66" t="str">
        <x:v>비용</x:v>
      </x:c>
      <x:c r="D21" s="97" t="n">
        <x:v>12000000</x:v>
      </x:c>
      <x:c r="E21" s="71" t="str"/>
    </x:row>
    <x:row r="22">
      <x:c r="A22" s="91" t="n">
        <x:v>46251</x:v>
      </x:c>
      <x:c r="B22" s="66" t="str">
        <x:v>BR-017</x:v>
      </x:c>
      <x:c r="C22" s="66" t="str">
        <x:v>매출</x:v>
      </x:c>
      <x:c r="D22" s="97" t="n">
        <x:v>15000000</x:v>
      </x:c>
      <x:c r="E22" s="71" t="str"/>
    </x:row>
    <x:row r="23">
      <x:c r="A23" s="91" t="n">
        <x:v>46252</x:v>
      </x:c>
      <x:c r="B23" s="66" t="str">
        <x:v>BR-018</x:v>
      </x:c>
      <x:c r="C23" s="66" t="str">
        <x:v>매출</x:v>
      </x:c>
      <x:c r="D23" s="97" t="n">
        <x:v>13800000</x:v>
      </x:c>
      <x:c r="E23" s="71" t="str"/>
    </x:row>
    <x:row r="24">
      <x:c r="A24" s="91" t="n">
        <x:v>46253</x:v>
      </x:c>
      <x:c r="B24" s="66" t="str">
        <x:v>BR-019</x:v>
      </x:c>
      <x:c r="C24" s="66" t="str">
        <x:v>비용</x:v>
      </x:c>
      <x:c r="D24" s="97" t="n">
        <x:v>3600000</x:v>
      </x:c>
      <x:c r="E24" s="71" t="str"/>
    </x:row>
    <x:row r="25">
      <x:c r="A25" s="91" t="n">
        <x:v>46254</x:v>
      </x:c>
      <x:c r="B25" s="66" t="str">
        <x:v>BR-020</x:v>
      </x:c>
      <x:c r="C25" s="66" t="str">
        <x:v>매출</x:v>
      </x:c>
      <x:c r="D25" s="97" t="n">
        <x:v>15400000</x:v>
      </x:c>
      <x:c r="E25" s="71" t="str"/>
    </x:row>
    <x:row r="26">
      <x:c r="A26" s="91" t="n">
        <x:v>46255</x:v>
      </x:c>
      <x:c r="B26" s="66" t="str">
        <x:v>BR-021</x:v>
      </x:c>
      <x:c r="C26" s="66" t="str">
        <x:v>매출</x:v>
      </x:c>
      <x:c r="D26" s="97" t="n">
        <x:v>14600000</x:v>
      </x:c>
      <x:c r="E26" s="71" t="str"/>
    </x:row>
    <x:row r="27">
      <x:c r="A27" s="91" t="n">
        <x:v>46256</x:v>
      </x:c>
      <x:c r="B27" s="66" t="str">
        <x:v>BR-022</x:v>
      </x:c>
      <x:c r="C27" s="66" t="str">
        <x:v>비용</x:v>
      </x:c>
      <x:c r="D27" s="97" t="n">
        <x:v>3000000</x:v>
      </x:c>
      <x:c r="E27" s="71" t="str"/>
    </x:row>
    <x:row r="28">
      <x:c r="A28" s="91" t="n">
        <x:v>46257</x:v>
      </x:c>
      <x:c r="B28" s="66" t="str">
        <x:v>BR-023</x:v>
      </x:c>
      <x:c r="C28" s="66" t="str">
        <x:v>매출</x:v>
      </x:c>
      <x:c r="D28" s="97" t="n">
        <x:v>3000000</x:v>
      </x:c>
      <x:c r="E28" s="71" t="str"/>
    </x:row>
    <x:row r="29">
      <x:c r="A29" s="91" t="n">
        <x:v>46258</x:v>
      </x:c>
      <x:c r="B29" s="66" t="str">
        <x:v>BR-024</x:v>
      </x:c>
      <x:c r="C29" s="66" t="str">
        <x:v>매출</x:v>
      </x:c>
      <x:c r="D29" s="97" t="n">
        <x:v>7300000</x:v>
      </x:c>
      <x:c r="E29" s="71" t="str"/>
    </x:row>
    <x:row r="30">
      <x:c r="A30" s="91" t="n">
        <x:v>46259</x:v>
      </x:c>
      <x:c r="B30" s="66" t="str">
        <x:v>BR-025</x:v>
      </x:c>
      <x:c r="C30" s="66" t="str">
        <x:v>비용</x:v>
      </x:c>
      <x:c r="D30" s="97" t="n">
        <x:v>16700000</x:v>
      </x:c>
      <x:c r="E30" s="71" t="str"/>
    </x:row>
    <x:row r="31">
      <x:c r="A31" s="91" t="n">
        <x:v>46260</x:v>
      </x:c>
      <x:c r="B31" s="66" t="str">
        <x:v>BR-026</x:v>
      </x:c>
      <x:c r="C31" s="66" t="str">
        <x:v>매출</x:v>
      </x:c>
      <x:c r="D31" s="97" t="n">
        <x:v>5200000</x:v>
      </x:c>
      <x:c r="E31" s="71" t="str"/>
    </x:row>
    <x:row r="32">
      <x:c r="A32" s="91" t="n">
        <x:v>46261</x:v>
      </x:c>
      <x:c r="B32" s="66" t="str">
        <x:v>BR-027</x:v>
      </x:c>
      <x:c r="C32" s="66" t="str">
        <x:v>매출</x:v>
      </x:c>
      <x:c r="D32" s="97" t="n">
        <x:v>16800000</x:v>
      </x:c>
      <x:c r="E32" s="71" t="str"/>
    </x:row>
    <x:row r="33">
      <x:c r="A33" s="91" t="n">
        <x:v>46262</x:v>
      </x:c>
      <x:c r="B33" s="66" t="str">
        <x:v>BR-028</x:v>
      </x:c>
      <x:c r="C33" s="66" t="str">
        <x:v>비용</x:v>
      </x:c>
      <x:c r="D33" s="97" t="n">
        <x:v>9300000</x:v>
      </x:c>
      <x:c r="E33" s="71" t="str"/>
    </x:row>
    <x:row r="34">
      <x:c r="A34" s="91" t="n">
        <x:v>46235</x:v>
      </x:c>
      <x:c r="B34" s="66" t="str">
        <x:v>BR-029</x:v>
      </x:c>
      <x:c r="C34" s="66" t="str">
        <x:v>매출</x:v>
      </x:c>
      <x:c r="D34" s="97" t="n">
        <x:v>16600000</x:v>
      </x:c>
      <x:c r="E34" s="71" t="str"/>
    </x:row>
    <x:row r="35">
      <x:c r="A35" s="91" t="n">
        <x:v>46236</x:v>
      </x:c>
      <x:c r="B35" s="66" t="str">
        <x:v>BR-030</x:v>
      </x:c>
      <x:c r="C35" s="66" t="str">
        <x:v>매출</x:v>
      </x:c>
      <x:c r="D35" s="97" t="n">
        <x:v>7900000</x:v>
      </x:c>
      <x:c r="E35" s="71" t="str"/>
    </x:row>
    <x:row r="36">
      <x:c r="A36" s="91" t="n">
        <x:v>46237</x:v>
      </x:c>
      <x:c r="B36" s="66" t="str">
        <x:v>BR-031</x:v>
      </x:c>
      <x:c r="C36" s="66" t="str">
        <x:v>비용</x:v>
      </x:c>
      <x:c r="D36" s="97" t="n">
        <x:v>12600000</x:v>
      </x:c>
      <x:c r="E36" s="71" t="str"/>
    </x:row>
    <x:row r="37">
      <x:c r="A37" s="91" t="n">
        <x:v>46238</x:v>
      </x:c>
      <x:c r="B37" s="66" t="str">
        <x:v>BR-032</x:v>
      </x:c>
      <x:c r="C37" s="66" t="str">
        <x:v>매출</x:v>
      </x:c>
      <x:c r="D37" s="97" t="n">
        <x:v>4800000</x:v>
      </x:c>
      <x:c r="E37" s="71" t="str"/>
    </x:row>
    <x:row r="38">
      <x:c r="A38" s="91" t="n">
        <x:v>46239</x:v>
      </x:c>
      <x:c r="B38" s="66" t="str">
        <x:v>BR-033</x:v>
      </x:c>
      <x:c r="C38" s="66" t="str">
        <x:v>매출</x:v>
      </x:c>
      <x:c r="D38" s="97" t="n">
        <x:v>8600000</x:v>
      </x:c>
      <x:c r="E38" s="71" t="str"/>
    </x:row>
    <x:row r="39">
      <x:c r="A39" s="91" t="n">
        <x:v>46240</x:v>
      </x:c>
      <x:c r="B39" s="66" t="str">
        <x:v>BR-034</x:v>
      </x:c>
      <x:c r="C39" s="66" t="str">
        <x:v>비용</x:v>
      </x:c>
      <x:c r="D39" s="97" t="n">
        <x:v>8100000</x:v>
      </x:c>
      <x:c r="E39" s="71" t="str"/>
    </x:row>
    <x:row r="40">
      <x:c r="A40" s="91" t="n">
        <x:v>46241</x:v>
      </x:c>
      <x:c r="B40" s="66" t="str">
        <x:v>BR-035</x:v>
      </x:c>
      <x:c r="C40" s="66" t="str">
        <x:v>매출</x:v>
      </x:c>
      <x:c r="D40" s="97" t="n">
        <x:v>13700000</x:v>
      </x:c>
      <x:c r="E40" s="71" t="str"/>
    </x:row>
    <x:row r="41">
      <x:c r="A41" s="91" t="n">
        <x:v>46242</x:v>
      </x:c>
      <x:c r="B41" s="66" t="str">
        <x:v>BR-036</x:v>
      </x:c>
      <x:c r="C41" s="66" t="str">
        <x:v>매출</x:v>
      </x:c>
      <x:c r="D41" s="97" t="n">
        <x:v>13100000</x:v>
      </x:c>
      <x:c r="E41" s="71" t="str"/>
    </x:row>
    <x:row r="42">
      <x:c r="A42" s="91" t="n">
        <x:v>46243</x:v>
      </x:c>
      <x:c r="B42" s="66" t="str">
        <x:v>BR-001</x:v>
      </x:c>
      <x:c r="C42" s="66" t="str">
        <x:v>비용</x:v>
      </x:c>
      <x:c r="D42" s="97" t="n">
        <x:v>15400000</x:v>
      </x:c>
      <x:c r="E42" s="71" t="str"/>
    </x:row>
    <x:row r="43">
      <x:c r="A43" s="91" t="n">
        <x:v>46244</x:v>
      </x:c>
      <x:c r="B43" s="66" t="str">
        <x:v>BR-002</x:v>
      </x:c>
      <x:c r="C43" s="66" t="str">
        <x:v>매출</x:v>
      </x:c>
      <x:c r="D43" s="97" t="n">
        <x:v>16000000</x:v>
      </x:c>
      <x:c r="E43" s="71" t="str"/>
    </x:row>
    <x:row r="44">
      <x:c r="A44" s="91" t="n">
        <x:v>46245</x:v>
      </x:c>
      <x:c r="B44" s="66" t="str">
        <x:v>BR-003</x:v>
      </x:c>
      <x:c r="C44" s="66" t="str">
        <x:v>매출</x:v>
      </x:c>
      <x:c r="D44" s="97" t="n">
        <x:v>13200000</x:v>
      </x:c>
      <x:c r="E44" s="71" t="str"/>
    </x:row>
    <x:row r="45">
      <x:c r="A45" s="91" t="n">
        <x:v>46246</x:v>
      </x:c>
      <x:c r="B45" s="66" t="str">
        <x:v>BR-004</x:v>
      </x:c>
      <x:c r="C45" s="66" t="str">
        <x:v>비용</x:v>
      </x:c>
      <x:c r="D45" s="97" t="n">
        <x:v>7200000</x:v>
      </x:c>
      <x:c r="E45" s="71" t="str"/>
    </x:row>
    <x:row r="46">
      <x:c r="A46" s="91" t="n">
        <x:v>46247</x:v>
      </x:c>
      <x:c r="B46" s="66" t="str">
        <x:v>BR-005</x:v>
      </x:c>
      <x:c r="C46" s="66" t="str">
        <x:v>매출</x:v>
      </x:c>
      <x:c r="D46" s="97" t="n">
        <x:v>4500000</x:v>
      </x:c>
      <x:c r="E46" s="71" t="str"/>
    </x:row>
    <x:row r="47">
      <x:c r="A47" s="91" t="n">
        <x:v>46248</x:v>
      </x:c>
      <x:c r="B47" s="66" t="str">
        <x:v>BR-006</x:v>
      </x:c>
      <x:c r="C47" s="66" t="str">
        <x:v>매출</x:v>
      </x:c>
      <x:c r="D47" s="97" t="n">
        <x:v>12400000</x:v>
      </x:c>
      <x:c r="E47" s="71" t="str"/>
    </x:row>
    <x:row r="48">
      <x:c r="A48" s="91" t="n">
        <x:v>46249</x:v>
      </x:c>
      <x:c r="B48" s="66" t="str">
        <x:v>BR-007</x:v>
      </x:c>
      <x:c r="C48" s="66" t="str">
        <x:v>비용</x:v>
      </x:c>
      <x:c r="D48" s="97" t="n">
        <x:v>15300000</x:v>
      </x:c>
      <x:c r="E48" s="71" t="str"/>
    </x:row>
    <x:row r="49">
      <x:c r="A49" s="91" t="n">
        <x:v>46250</x:v>
      </x:c>
      <x:c r="B49" s="66" t="str">
        <x:v>BR-008</x:v>
      </x:c>
      <x:c r="C49" s="66" t="str">
        <x:v>매출</x:v>
      </x:c>
      <x:c r="D49" s="97" t="n">
        <x:v>14700000</x:v>
      </x:c>
      <x:c r="E49" s="71" t="str"/>
    </x:row>
    <x:row r="50">
      <x:c r="A50" s="91" t="n">
        <x:v>46251</x:v>
      </x:c>
      <x:c r="B50" s="66" t="str">
        <x:v>BR-009</x:v>
      </x:c>
      <x:c r="C50" s="66" t="str">
        <x:v>매출</x:v>
      </x:c>
      <x:c r="D50" s="97" t="n">
        <x:v>3400000</x:v>
      </x:c>
      <x:c r="E50" s="71" t="str"/>
    </x:row>
    <x:row r="51">
      <x:c r="A51" s="91" t="n">
        <x:v>46252</x:v>
      </x:c>
      <x:c r="B51" s="66" t="str">
        <x:v>BR-010</x:v>
      </x:c>
      <x:c r="C51" s="66" t="str">
        <x:v>비용</x:v>
      </x:c>
      <x:c r="D51" s="97" t="n">
        <x:v>8400000</x:v>
      </x:c>
      <x:c r="E51" s="71" t="str"/>
    </x:row>
    <x:row r="52">
      <x:c r="A52" s="91" t="n">
        <x:v>46253</x:v>
      </x:c>
      <x:c r="B52" s="66" t="str">
        <x:v>BR-011</x:v>
      </x:c>
      <x:c r="C52" s="66" t="str">
        <x:v>매출</x:v>
      </x:c>
      <x:c r="D52" s="97" t="n">
        <x:v>6200000</x:v>
      </x:c>
      <x:c r="E52" s="71" t="str"/>
    </x:row>
    <x:row r="53">
      <x:c r="A53" s="91" t="n">
        <x:v>46254</x:v>
      </x:c>
      <x:c r="B53" s="66" t="str">
        <x:v>BR-012</x:v>
      </x:c>
      <x:c r="C53" s="66" t="str">
        <x:v>매출</x:v>
      </x:c>
      <x:c r="D53" s="97" t="n">
        <x:v>7400000</x:v>
      </x:c>
      <x:c r="E53" s="71" t="str"/>
    </x:row>
    <x:row r="54">
      <x:c r="A54" s="91" t="n">
        <x:v>46255</x:v>
      </x:c>
      <x:c r="B54" s="66" t="str">
        <x:v>BR-013</x:v>
      </x:c>
      <x:c r="C54" s="66" t="str">
        <x:v>비용</x:v>
      </x:c>
      <x:c r="D54" s="97" t="n">
        <x:v>10400000</x:v>
      </x:c>
      <x:c r="E54" s="71" t="str"/>
    </x:row>
    <x:row r="55">
      <x:c r="A55" s="91" t="n">
        <x:v>46256</x:v>
      </x:c>
      <x:c r="B55" s="66" t="str">
        <x:v>BR-014</x:v>
      </x:c>
      <x:c r="C55" s="66" t="str">
        <x:v>매출</x:v>
      </x:c>
      <x:c r="D55" s="97" t="n">
        <x:v>6100000</x:v>
      </x:c>
      <x:c r="E55" s="71" t="str"/>
    </x:row>
    <x:row r="56">
      <x:c r="A56" s="91" t="n">
        <x:v>46257</x:v>
      </x:c>
      <x:c r="B56" s="66" t="str">
        <x:v>BR-015</x:v>
      </x:c>
      <x:c r="C56" s="66" t="str">
        <x:v>매출</x:v>
      </x:c>
      <x:c r="D56" s="97" t="n">
        <x:v>3500000</x:v>
      </x:c>
      <x:c r="E56" s="71" t="str"/>
    </x:row>
    <x:row r="57">
      <x:c r="A57" s="91" t="n">
        <x:v>46258</x:v>
      </x:c>
      <x:c r="B57" s="66" t="str">
        <x:v>BR-016</x:v>
      </x:c>
      <x:c r="C57" s="66" t="str">
        <x:v>비용</x:v>
      </x:c>
      <x:c r="D57" s="97" t="n">
        <x:v>4200000</x:v>
      </x:c>
      <x:c r="E57" s="71" t="str"/>
    </x:row>
    <x:row r="58">
      <x:c r="A58" s="91" t="n">
        <x:v>46259</x:v>
      </x:c>
      <x:c r="B58" s="66" t="str">
        <x:v>BR-017</x:v>
      </x:c>
      <x:c r="C58" s="66" t="str">
        <x:v>매출</x:v>
      </x:c>
      <x:c r="D58" s="97" t="n">
        <x:v>15200000</x:v>
      </x:c>
      <x:c r="E58" s="71" t="str"/>
    </x:row>
    <x:row r="59">
      <x:c r="A59" s="91" t="n">
        <x:v>46260</x:v>
      </x:c>
      <x:c r="B59" s="66" t="str">
        <x:v>BR-018</x:v>
      </x:c>
      <x:c r="C59" s="66" t="str">
        <x:v>매출</x:v>
      </x:c>
      <x:c r="D59" s="97" t="n">
        <x:v>3700000</x:v>
      </x:c>
      <x:c r="E59" s="71" t="str"/>
    </x:row>
    <x:row r="60">
      <x:c r="A60" s="91" t="n">
        <x:v>46261</x:v>
      </x:c>
      <x:c r="B60" s="66" t="str">
        <x:v>BR-019</x:v>
      </x:c>
      <x:c r="C60" s="66" t="str">
        <x:v>비용</x:v>
      </x:c>
      <x:c r="D60" s="97" t="n">
        <x:v>4600000</x:v>
      </x:c>
      <x:c r="E60" s="71" t="str"/>
    </x:row>
    <x:row r="61">
      <x:c r="A61" s="91" t="n">
        <x:v>46262</x:v>
      </x:c>
      <x:c r="B61" s="66" t="str">
        <x:v>BR-020</x:v>
      </x:c>
      <x:c r="C61" s="66" t="str">
        <x:v>매출</x:v>
      </x:c>
      <x:c r="D61" s="97" t="n">
        <x:v>4600000</x:v>
      </x:c>
      <x:c r="E61" s="71" t="str"/>
    </x:row>
    <x:row r="62">
      <x:c r="A62" s="91" t="n">
        <x:v>46235</x:v>
      </x:c>
      <x:c r="B62" s="66" t="str">
        <x:v>BR-021</x:v>
      </x:c>
      <x:c r="C62" s="66" t="str">
        <x:v>매출</x:v>
      </x:c>
      <x:c r="D62" s="97" t="n">
        <x:v>8700000</x:v>
      </x:c>
      <x:c r="E62" s="71" t="str"/>
    </x:row>
    <x:row r="63">
      <x:c r="A63" s="91" t="n">
        <x:v>46236</x:v>
      </x:c>
      <x:c r="B63" s="66" t="str">
        <x:v>BR-022</x:v>
      </x:c>
      <x:c r="C63" s="66" t="str">
        <x:v>비용</x:v>
      </x:c>
      <x:c r="D63" s="97" t="n">
        <x:v>15800000</x:v>
      </x:c>
      <x:c r="E63" s="71" t="str"/>
    </x:row>
    <x:row r="64">
      <x:c r="A64" s="91" t="n">
        <x:v>46237</x:v>
      </x:c>
      <x:c r="B64" s="66" t="str">
        <x:v>BR-023</x:v>
      </x:c>
      <x:c r="C64" s="66" t="str">
        <x:v>매출</x:v>
      </x:c>
      <x:c r="D64" s="97" t="n">
        <x:v>17200000</x:v>
      </x:c>
      <x:c r="E64" s="71" t="str"/>
    </x:row>
    <x:row r="65">
      <x:c r="A65" s="91" t="n">
        <x:v>46238</x:v>
      </x:c>
      <x:c r="B65" s="66" t="str">
        <x:v>BR-024</x:v>
      </x:c>
      <x:c r="C65" s="66" t="str">
        <x:v>매출</x:v>
      </x:c>
      <x:c r="D65" s="97" t="n">
        <x:v>9300000</x:v>
      </x:c>
      <x:c r="E65" s="71" t="str"/>
    </x:row>
    <x:row r="66">
      <x:c r="A66" s="91" t="n">
        <x:v>46239</x:v>
      </x:c>
      <x:c r="B66" s="66" t="str">
        <x:v>BR-025</x:v>
      </x:c>
      <x:c r="C66" s="66" t="str">
        <x:v>비용</x:v>
      </x:c>
      <x:c r="D66" s="97" t="n">
        <x:v>6700000</x:v>
      </x:c>
      <x:c r="E66" s="71" t="str"/>
    </x:row>
    <x:row r="67">
      <x:c r="A67" s="91" t="n">
        <x:v>46240</x:v>
      </x:c>
      <x:c r="B67" s="66" t="str">
        <x:v>BR-026</x:v>
      </x:c>
      <x:c r="C67" s="66" t="str">
        <x:v>매출</x:v>
      </x:c>
      <x:c r="D67" s="97" t="n">
        <x:v>3400000</x:v>
      </x:c>
      <x:c r="E67" s="71" t="str"/>
    </x:row>
    <x:row r="68">
      <x:c r="A68" s="91" t="n">
        <x:v>46241</x:v>
      </x:c>
      <x:c r="B68" s="66" t="str">
        <x:v>BR-027</x:v>
      </x:c>
      <x:c r="C68" s="66" t="str">
        <x:v>매출</x:v>
      </x:c>
      <x:c r="D68" s="97" t="n">
        <x:v>7600000</x:v>
      </x:c>
      <x:c r="E68" s="71" t="str"/>
    </x:row>
    <x:row r="69">
      <x:c r="A69" s="91" t="n">
        <x:v>46242</x:v>
      </x:c>
      <x:c r="B69" s="66" t="str">
        <x:v>BR-028</x:v>
      </x:c>
      <x:c r="C69" s="66" t="str">
        <x:v>비용</x:v>
      </x:c>
      <x:c r="D69" s="97" t="n">
        <x:v>15100000</x:v>
      </x:c>
      <x:c r="E69" s="71" t="str"/>
    </x:row>
    <x:row r="70">
      <x:c r="A70" s="91" t="n">
        <x:v>46243</x:v>
      </x:c>
      <x:c r="B70" s="66" t="str">
        <x:v>BR-029</x:v>
      </x:c>
      <x:c r="C70" s="66" t="str">
        <x:v>매출</x:v>
      </x:c>
      <x:c r="D70" s="97" t="n">
        <x:v>3800000</x:v>
      </x:c>
      <x:c r="E70" s="71" t="str"/>
    </x:row>
    <x:row r="71">
      <x:c r="A71" s="91" t="n">
        <x:v>46244</x:v>
      </x:c>
      <x:c r="B71" s="66" t="str">
        <x:v>BR-030</x:v>
      </x:c>
      <x:c r="C71" s="66" t="str">
        <x:v>매출</x:v>
      </x:c>
      <x:c r="D71" s="97" t="n">
        <x:v>16600000</x:v>
      </x:c>
      <x:c r="E71" s="71" t="str"/>
    </x:row>
    <x:row r="72">
      <x:c r="A72" s="91" t="n">
        <x:v>46245</x:v>
      </x:c>
      <x:c r="B72" s="66" t="str">
        <x:v>BR-031</x:v>
      </x:c>
      <x:c r="C72" s="66" t="str">
        <x:v>비용</x:v>
      </x:c>
      <x:c r="D72" s="97" t="n">
        <x:v>5800000</x:v>
      </x:c>
      <x:c r="E72" s="71" t="str"/>
    </x:row>
    <x:row r="73">
      <x:c r="A73" s="91" t="n">
        <x:v>46246</x:v>
      </x:c>
      <x:c r="B73" s="66" t="str">
        <x:v>BR-032</x:v>
      </x:c>
      <x:c r="C73" s="66" t="str">
        <x:v>매출</x:v>
      </x:c>
      <x:c r="D73" s="97" t="n">
        <x:v>15700000</x:v>
      </x:c>
      <x:c r="E73" s="71" t="str"/>
    </x:row>
    <x:row r="74">
      <x:c r="A74" s="91" t="n">
        <x:v>46247</x:v>
      </x:c>
      <x:c r="B74" s="66" t="str">
        <x:v>BR-033</x:v>
      </x:c>
      <x:c r="C74" s="66" t="str">
        <x:v>매출</x:v>
      </x:c>
      <x:c r="D74" s="97" t="n">
        <x:v>15600000</x:v>
      </x:c>
      <x:c r="E74" s="71" t="str"/>
    </x:row>
    <x:row r="75">
      <x:c r="A75" s="91" t="n">
        <x:v>46248</x:v>
      </x:c>
      <x:c r="B75" s="66" t="str">
        <x:v>BR-034</x:v>
      </x:c>
      <x:c r="C75" s="66" t="str">
        <x:v>비용</x:v>
      </x:c>
      <x:c r="D75" s="97" t="n">
        <x:v>17700000</x:v>
      </x:c>
      <x:c r="E75" s="71" t="str"/>
    </x:row>
    <x:row r="76">
      <x:c r="A76" s="91" t="n">
        <x:v>46249</x:v>
      </x:c>
      <x:c r="B76" s="66" t="str">
        <x:v>BR-035</x:v>
      </x:c>
      <x:c r="C76" s="66" t="str">
        <x:v>매출</x:v>
      </x:c>
      <x:c r="D76" s="97" t="n">
        <x:v>8900000</x:v>
      </x:c>
      <x:c r="E76" s="71" t="str"/>
    </x:row>
    <x:row r="77">
      <x:c r="A77" s="91" t="n">
        <x:v>46250</x:v>
      </x:c>
      <x:c r="B77" s="66" t="str">
        <x:v>BR-036</x:v>
      </x:c>
      <x:c r="C77" s="66" t="str">
        <x:v>매출</x:v>
      </x:c>
      <x:c r="D77" s="97" t="n">
        <x:v>9200000</x:v>
      </x:c>
      <x:c r="E77" s="71" t="str"/>
    </x:row>
    <x:row r="78">
      <x:c r="A78" s="91" t="n">
        <x:v>46251</x:v>
      </x:c>
      <x:c r="B78" s="66" t="str">
        <x:v>BR-001</x:v>
      </x:c>
      <x:c r="C78" s="66" t="str">
        <x:v>비용</x:v>
      </x:c>
      <x:c r="D78" s="97" t="n">
        <x:v>17100000</x:v>
      </x:c>
      <x:c r="E78" s="71" t="str"/>
    </x:row>
    <x:row r="79">
      <x:c r="A79" s="91" t="n">
        <x:v>46252</x:v>
      </x:c>
      <x:c r="B79" s="66" t="str">
        <x:v>BR-002</x:v>
      </x:c>
      <x:c r="C79" s="66" t="str">
        <x:v>매출</x:v>
      </x:c>
      <x:c r="D79" s="97" t="n">
        <x:v>11000000</x:v>
      </x:c>
      <x:c r="E79" s="71" t="str"/>
    </x:row>
    <x:row r="80">
      <x:c r="A80" s="91" t="n">
        <x:v>46253</x:v>
      </x:c>
      <x:c r="B80" s="66" t="str">
        <x:v>BR-003</x:v>
      </x:c>
      <x:c r="C80" s="66" t="str">
        <x:v>매출</x:v>
      </x:c>
      <x:c r="D80" s="97" t="n">
        <x:v>11600000</x:v>
      </x:c>
      <x:c r="E80" s="71" t="str"/>
    </x:row>
    <x:row r="81">
      <x:c r="A81" s="91" t="n">
        <x:v>46254</x:v>
      </x:c>
      <x:c r="B81" s="66" t="str">
        <x:v>BR-004</x:v>
      </x:c>
      <x:c r="C81" s="66" t="str">
        <x:v>비용</x:v>
      </x:c>
      <x:c r="D81" s="97" t="n">
        <x:v>16400000</x:v>
      </x:c>
      <x:c r="E81" s="71" t="str"/>
    </x:row>
    <x:row r="82">
      <x:c r="A82" s="91" t="n">
        <x:v>46255</x:v>
      </x:c>
      <x:c r="B82" s="66" t="str">
        <x:v>BR-005</x:v>
      </x:c>
      <x:c r="C82" s="66" t="str">
        <x:v>매출</x:v>
      </x:c>
      <x:c r="D82" s="97" t="n">
        <x:v>9900000</x:v>
      </x:c>
      <x:c r="E82" s="71" t="str"/>
    </x:row>
    <x:row r="83">
      <x:c r="A83" s="91" t="n">
        <x:v>46256</x:v>
      </x:c>
      <x:c r="B83" s="66" t="str">
        <x:v>BR-006</x:v>
      </x:c>
      <x:c r="C83" s="66" t="str">
        <x:v>매출</x:v>
      </x:c>
      <x:c r="D83" s="97" t="n">
        <x:v>9700000</x:v>
      </x:c>
      <x:c r="E83" s="71" t="str"/>
    </x:row>
    <x:row r="84">
      <x:c r="A84" s="91" t="n">
        <x:v>46257</x:v>
      </x:c>
      <x:c r="B84" s="66" t="str">
        <x:v>BR-007</x:v>
      </x:c>
      <x:c r="C84" s="66" t="str">
        <x:v>비용</x:v>
      </x:c>
      <x:c r="D84" s="97" t="n">
        <x:v>4000000</x:v>
      </x:c>
      <x:c r="E84" s="71" t="str"/>
    </x:row>
    <x:row r="85">
      <x:c r="A85" s="91" t="n">
        <x:v>46258</x:v>
      </x:c>
      <x:c r="B85" s="66" t="str">
        <x:v>BR-008</x:v>
      </x:c>
      <x:c r="C85" s="66" t="str">
        <x:v>매출</x:v>
      </x:c>
      <x:c r="D85" s="97" t="n">
        <x:v>9000000</x:v>
      </x:c>
      <x:c r="E85" s="71" t="str"/>
    </x:row>
    <x:row r="86">
      <x:c r="A86" s="91" t="n">
        <x:v>46259</x:v>
      </x:c>
      <x:c r="B86" s="66" t="str">
        <x:v>BR-009</x:v>
      </x:c>
      <x:c r="C86" s="66" t="str">
        <x:v>매출</x:v>
      </x:c>
      <x:c r="D86" s="97" t="n">
        <x:v>6500000</x:v>
      </x:c>
      <x:c r="E86" s="71" t="str"/>
    </x:row>
    <x:row r="87">
      <x:c r="A87" s="91" t="n">
        <x:v>46260</x:v>
      </x:c>
      <x:c r="B87" s="66" t="str">
        <x:v>BR-010</x:v>
      </x:c>
      <x:c r="C87" s="66" t="str">
        <x:v>비용</x:v>
      </x:c>
      <x:c r="D87" s="97" t="n">
        <x:v>15200000</x:v>
      </x:c>
      <x:c r="E87" s="71" t="str"/>
    </x:row>
    <x:row r="88">
      <x:c r="A88" s="91" t="n">
        <x:v>46261</x:v>
      </x:c>
      <x:c r="B88" s="66" t="str">
        <x:v>BR-011</x:v>
      </x:c>
      <x:c r="C88" s="66" t="str">
        <x:v>매출</x:v>
      </x:c>
      <x:c r="D88" s="97" t="n">
        <x:v>16100000</x:v>
      </x:c>
      <x:c r="E88" s="71" t="str"/>
    </x:row>
    <x:row r="89">
      <x:c r="A89" s="91" t="n">
        <x:v>46262</x:v>
      </x:c>
      <x:c r="B89" s="66" t="str">
        <x:v>BR-012</x:v>
      </x:c>
      <x:c r="C89" s="66" t="str">
        <x:v>매출</x:v>
      </x:c>
      <x:c r="D89" s="97" t="n">
        <x:v>13900000</x:v>
      </x:c>
      <x:c r="E89" s="71" t="str"/>
    </x:row>
    <x:row r="90">
      <x:c r="A90" s="91" t="n">
        <x:v>46235</x:v>
      </x:c>
      <x:c r="B90" s="66" t="str">
        <x:v>BR-013</x:v>
      </x:c>
      <x:c r="C90" s="66" t="str">
        <x:v>비용</x:v>
      </x:c>
      <x:c r="D90" s="97" t="n">
        <x:v>10500000</x:v>
      </x:c>
      <x:c r="E90" s="71" t="str"/>
    </x:row>
    <x:row r="91">
      <x:c r="A91" s="91" t="n">
        <x:v>46236</x:v>
      </x:c>
      <x:c r="B91" s="66" t="str">
        <x:v>BR-014</x:v>
      </x:c>
      <x:c r="C91" s="66" t="str">
        <x:v>매출</x:v>
      </x:c>
      <x:c r="D91" s="97" t="n">
        <x:v>6200000</x:v>
      </x:c>
      <x:c r="E91" s="71" t="str"/>
    </x:row>
    <x:row r="92">
      <x:c r="A92" s="91" t="n">
        <x:v>46237</x:v>
      </x:c>
      <x:c r="B92" s="66" t="str">
        <x:v>BR-015</x:v>
      </x:c>
      <x:c r="C92" s="66" t="str">
        <x:v>매출</x:v>
      </x:c>
      <x:c r="D92" s="97" t="n">
        <x:v>14500000</x:v>
      </x:c>
      <x:c r="E92" s="71" t="str"/>
    </x:row>
    <x:row r="93">
      <x:c r="A93" s="91" t="n">
        <x:v>46238</x:v>
      </x:c>
      <x:c r="B93" s="66" t="str">
        <x:v>BR-016</x:v>
      </x:c>
      <x:c r="C93" s="66" t="str">
        <x:v>비용</x:v>
      </x:c>
      <x:c r="D93" s="97" t="n">
        <x:v>11900000</x:v>
      </x:c>
      <x:c r="E93" s="71" t="str"/>
    </x:row>
    <x:row r="94">
      <x:c r="A94" s="91" t="n">
        <x:v>46239</x:v>
      </x:c>
      <x:c r="B94" s="66" t="str">
        <x:v>BR-017</x:v>
      </x:c>
      <x:c r="C94" s="66" t="str">
        <x:v>매출</x:v>
      </x:c>
      <x:c r="D94" s="97" t="n">
        <x:v>4700000</x:v>
      </x:c>
      <x:c r="E94" s="71" t="str"/>
    </x:row>
    <x:row r="95">
      <x:c r="A95" s="91" t="n">
        <x:v>46240</x:v>
      </x:c>
      <x:c r="B95" s="66" t="str">
        <x:v>BR-018</x:v>
      </x:c>
      <x:c r="C95" s="66" t="str">
        <x:v>매출</x:v>
      </x:c>
      <x:c r="D95" s="97" t="n">
        <x:v>11600000</x:v>
      </x:c>
      <x:c r="E95" s="71" t="str"/>
    </x:row>
    <x:row r="96">
      <x:c r="A96" s="91" t="n">
        <x:v>46241</x:v>
      </x:c>
      <x:c r="B96" s="66" t="str">
        <x:v>BR-019</x:v>
      </x:c>
      <x:c r="C96" s="66" t="str">
        <x:v>비용</x:v>
      </x:c>
      <x:c r="D96" s="97" t="n">
        <x:v>16800000</x:v>
      </x:c>
      <x:c r="E96" s="71" t="str"/>
    </x:row>
    <x:row r="97">
      <x:c r="A97" s="91" t="n">
        <x:v>46242</x:v>
      </x:c>
      <x:c r="B97" s="66" t="str">
        <x:v>BR-020</x:v>
      </x:c>
      <x:c r="C97" s="66" t="str">
        <x:v>매출</x:v>
      </x:c>
      <x:c r="D97" s="97" t="n">
        <x:v>8600000</x:v>
      </x:c>
      <x:c r="E97" s="71" t="str"/>
    </x:row>
    <x:row r="98">
      <x:c r="A98" s="91" t="n">
        <x:v>46243</x:v>
      </x:c>
      <x:c r="B98" s="66" t="str">
        <x:v>BR-021</x:v>
      </x:c>
      <x:c r="C98" s="66" t="str">
        <x:v>매출</x:v>
      </x:c>
      <x:c r="D98" s="97" t="n">
        <x:v>17500000</x:v>
      </x:c>
      <x:c r="E98" s="71" t="str"/>
    </x:row>
    <x:row r="99">
      <x:c r="A99" s="91" t="n">
        <x:v>46244</x:v>
      </x:c>
      <x:c r="B99" s="66" t="str">
        <x:v>BR-022</x:v>
      </x:c>
      <x:c r="C99" s="66" t="str">
        <x:v>비용</x:v>
      </x:c>
      <x:c r="D99" s="97" t="n">
        <x:v>3500000</x:v>
      </x:c>
      <x:c r="E99" s="71" t="str"/>
    </x:row>
    <x:row r="100">
      <x:c r="A100" s="91" t="n">
        <x:v>46245</x:v>
      </x:c>
      <x:c r="B100" s="66" t="str">
        <x:v>BR-023</x:v>
      </x:c>
      <x:c r="C100" s="66" t="str">
        <x:v>매출</x:v>
      </x:c>
      <x:c r="D100" s="97" t="n">
        <x:v>10600000</x:v>
      </x:c>
      <x:c r="E100" s="71" t="str"/>
    </x:row>
    <x:row r="101">
      <x:c r="A101" s="91" t="n">
        <x:v>46246</x:v>
      </x:c>
      <x:c r="B101" s="66" t="str">
        <x:v>BR-024</x:v>
      </x:c>
      <x:c r="C101" s="66" t="str">
        <x:v>매출</x:v>
      </x:c>
      <x:c r="D101" s="97" t="n">
        <x:v>17200000</x:v>
      </x:c>
      <x:c r="E101" s="71" t="str"/>
    </x:row>
    <x:row r="102">
      <x:c r="A102" s="91" t="n">
        <x:v>46247</x:v>
      </x:c>
      <x:c r="B102" s="66" t="str">
        <x:v>BR-025</x:v>
      </x:c>
      <x:c r="C102" s="66" t="str">
        <x:v>비용</x:v>
      </x:c>
      <x:c r="D102" s="97" t="n">
        <x:v>11800000</x:v>
      </x:c>
      <x:c r="E102" s="71" t="str"/>
    </x:row>
    <x:row r="103">
      <x:c r="A103" s="91" t="n">
        <x:v>46248</x:v>
      </x:c>
      <x:c r="B103" s="66" t="str">
        <x:v>BR-026</x:v>
      </x:c>
      <x:c r="C103" s="66" t="str">
        <x:v>매출</x:v>
      </x:c>
      <x:c r="D103" s="97" t="n">
        <x:v>13900000</x:v>
      </x:c>
      <x:c r="E103" s="71" t="str"/>
    </x:row>
    <x:row r="104">
      <x:c r="A104" s="91" t="n">
        <x:v>46249</x:v>
      </x:c>
      <x:c r="B104" s="66" t="str">
        <x:v>BR-027</x:v>
      </x:c>
      <x:c r="C104" s="66" t="str">
        <x:v>매출</x:v>
      </x:c>
      <x:c r="D104" s="97" t="n">
        <x:v>8600000</x:v>
      </x:c>
      <x:c r="E104" s="71" t="str"/>
    </x:row>
    <x:row r="105">
      <x:c r="A105" s="91" t="n">
        <x:v>46250</x:v>
      </x:c>
      <x:c r="B105" s="66" t="str">
        <x:v>BR-028</x:v>
      </x:c>
      <x:c r="C105" s="66" t="str">
        <x:v>비용</x:v>
      </x:c>
      <x:c r="D105" s="97" t="n">
        <x:v>4500000</x:v>
      </x:c>
      <x:c r="E105" s="71" t="str"/>
    </x:row>
    <x:row r="106">
      <x:c r="A106" s="91" t="n">
        <x:v>46251</x:v>
      </x:c>
      <x:c r="B106" s="66" t="str">
        <x:v>BR-029</x:v>
      </x:c>
      <x:c r="C106" s="66" t="str">
        <x:v>매출</x:v>
      </x:c>
      <x:c r="D106" s="97" t="n">
        <x:v>17200000</x:v>
      </x:c>
      <x:c r="E106" s="71" t="str"/>
    </x:row>
    <x:row r="107">
      <x:c r="A107" s="91" t="n">
        <x:v>46252</x:v>
      </x:c>
      <x:c r="B107" s="66" t="str">
        <x:v>BR-030</x:v>
      </x:c>
      <x:c r="C107" s="66" t="str">
        <x:v>매출</x:v>
      </x:c>
      <x:c r="D107" s="97" t="n">
        <x:v>9100000</x:v>
      </x:c>
      <x:c r="E107" s="71" t="str"/>
    </x:row>
    <x:row r="108">
      <x:c r="A108" s="91" t="n">
        <x:v>46253</x:v>
      </x:c>
      <x:c r="B108" s="66" t="str">
        <x:v>BR-031</x:v>
      </x:c>
      <x:c r="C108" s="66" t="str">
        <x:v>비용</x:v>
      </x:c>
      <x:c r="D108" s="97" t="n">
        <x:v>15200000</x:v>
      </x:c>
      <x:c r="E108" s="71" t="str"/>
    </x:row>
    <x:row r="109">
      <x:c r="A109" s="91" t="n">
        <x:v>46254</x:v>
      </x:c>
      <x:c r="B109" s="66" t="str">
        <x:v>BR-032</x:v>
      </x:c>
      <x:c r="C109" s="66" t="str">
        <x:v>매출</x:v>
      </x:c>
      <x:c r="D109" s="97" t="n">
        <x:v>6100000</x:v>
      </x:c>
      <x:c r="E109" s="71" t="str"/>
    </x:row>
    <x:row r="110">
      <x:c r="A110" s="91" t="n">
        <x:v>46255</x:v>
      </x:c>
      <x:c r="B110" s="66" t="str">
        <x:v>BR-033</x:v>
      </x:c>
      <x:c r="C110" s="66" t="str">
        <x:v>매출</x:v>
      </x:c>
      <x:c r="D110" s="97" t="n">
        <x:v>16400000</x:v>
      </x:c>
      <x:c r="E110" s="71" t="str"/>
    </x:row>
    <x:row r="111">
      <x:c r="A111" s="91" t="n">
        <x:v>46256</x:v>
      </x:c>
      <x:c r="B111" s="66" t="str">
        <x:v>BR-034</x:v>
      </x:c>
      <x:c r="C111" s="66" t="str">
        <x:v>비용</x:v>
      </x:c>
      <x:c r="D111" s="97" t="n">
        <x:v>14200000</x:v>
      </x:c>
      <x:c r="E111" s="71" t="str"/>
    </x:row>
    <x:row r="112">
      <x:c r="A112" s="91" t="n">
        <x:v>46257</x:v>
      </x:c>
      <x:c r="B112" s="66" t="str">
        <x:v>BR-035</x:v>
      </x:c>
      <x:c r="C112" s="66" t="str">
        <x:v>매출</x:v>
      </x:c>
      <x:c r="D112" s="97" t="n">
        <x:v>9800000</x:v>
      </x:c>
      <x:c r="E112" s="71" t="str"/>
    </x:row>
    <x:row r="113">
      <x:c r="A113" s="91" t="n">
        <x:v>46258</x:v>
      </x:c>
      <x:c r="B113" s="66" t="str">
        <x:v>BR-036</x:v>
      </x:c>
      <x:c r="C113" s="66" t="str">
        <x:v>매출</x:v>
      </x:c>
      <x:c r="D113" s="97" t="n">
        <x:v>6800000</x:v>
      </x:c>
      <x:c r="E113" s="71" t="str"/>
    </x:row>
    <x:row r="114">
      <x:c r="A114" s="91" t="n">
        <x:v>46259</x:v>
      </x:c>
      <x:c r="B114" s="66" t="str">
        <x:v>BR-001</x:v>
      </x:c>
      <x:c r="C114" s="66" t="str">
        <x:v>비용</x:v>
      </x:c>
      <x:c r="D114" s="97" t="n">
        <x:v>5300000</x:v>
      </x:c>
      <x:c r="E114" s="71" t="str"/>
    </x:row>
    <x:row r="115">
      <x:c r="A115" s="91" t="n">
        <x:v>46260</x:v>
      </x:c>
      <x:c r="B115" s="66" t="str">
        <x:v>BR-002</x:v>
      </x:c>
      <x:c r="C115" s="66" t="str">
        <x:v>매출</x:v>
      </x:c>
      <x:c r="D115" s="97" t="n">
        <x:v>9100000</x:v>
      </x:c>
      <x:c r="E115" s="71" t="str"/>
    </x:row>
    <x:row r="116">
      <x:c r="A116" s="91" t="n">
        <x:v>46261</x:v>
      </x:c>
      <x:c r="B116" s="66" t="str">
        <x:v>BR-003</x:v>
      </x:c>
      <x:c r="C116" s="66" t="str">
        <x:v>매출</x:v>
      </x:c>
      <x:c r="D116" s="97" t="n">
        <x:v>17400000</x:v>
      </x:c>
      <x:c r="E116" s="71" t="str"/>
    </x:row>
    <x:row r="117">
      <x:c r="A117" s="91" t="n">
        <x:v>46262</x:v>
      </x:c>
      <x:c r="B117" s="66" t="str">
        <x:v>BR-004</x:v>
      </x:c>
      <x:c r="C117" s="66" t="str">
        <x:v>비용</x:v>
      </x:c>
      <x:c r="D117" s="97" t="n">
        <x:v>4600000</x:v>
      </x:c>
      <x:c r="E117" s="71" t="str"/>
    </x:row>
    <x:row r="118">
      <x:c r="A118" s="91" t="n">
        <x:v>46235</x:v>
      </x:c>
      <x:c r="B118" s="66" t="str">
        <x:v>BR-005</x:v>
      </x:c>
      <x:c r="C118" s="66" t="str">
        <x:v>매출</x:v>
      </x:c>
      <x:c r="D118" s="97" t="n">
        <x:v>6900000</x:v>
      </x:c>
      <x:c r="E118" s="71" t="str"/>
    </x:row>
    <x:row r="119">
      <x:c r="A119" s="91" t="n">
        <x:v>46236</x:v>
      </x:c>
      <x:c r="B119" s="66" t="str">
        <x:v>BR-006</x:v>
      </x:c>
      <x:c r="C119" s="66" t="str">
        <x:v>매출</x:v>
      </x:c>
      <x:c r="D119" s="97" t="n">
        <x:v>17800000</x:v>
      </x:c>
      <x:c r="E119" s="71" t="str"/>
    </x:row>
    <x:row r="120">
      <x:c r="A120" s="91" t="n">
        <x:v>46237</x:v>
      </x:c>
      <x:c r="B120" s="66" t="str">
        <x:v>BR-007</x:v>
      </x:c>
      <x:c r="C120" s="66" t="str">
        <x:v>비용</x:v>
      </x:c>
      <x:c r="D120" s="97" t="n">
        <x:v>4600000</x:v>
      </x:c>
      <x:c r="E120" s="71" t="str"/>
    </x:row>
    <x:row r="121">
      <x:c r="A121" s="91" t="n">
        <x:v>46238</x:v>
      </x:c>
      <x:c r="B121" s="66" t="str">
        <x:v>BR-008</x:v>
      </x:c>
      <x:c r="C121" s="66" t="str">
        <x:v>매출</x:v>
      </x:c>
      <x:c r="D121" s="97" t="n">
        <x:v>13200000</x:v>
      </x:c>
      <x:c r="E121" s="71" t="str"/>
    </x:row>
    <x:row r="122">
      <x:c r="A122" s="91" t="n">
        <x:v>46239</x:v>
      </x:c>
      <x:c r="B122" s="66" t="str">
        <x:v>BR-009</x:v>
      </x:c>
      <x:c r="C122" s="66" t="str">
        <x:v>매출</x:v>
      </x:c>
      <x:c r="D122" s="97" t="n">
        <x:v>6800000</x:v>
      </x:c>
      <x:c r="E122" s="71" t="str"/>
    </x:row>
    <x:row r="123">
      <x:c r="A123" s="91" t="n">
        <x:v>46240</x:v>
      </x:c>
      <x:c r="B123" s="66" t="str">
        <x:v>BR-010</x:v>
      </x:c>
      <x:c r="C123" s="66" t="str">
        <x:v>비용</x:v>
      </x:c>
      <x:c r="D123" s="97" t="n">
        <x:v>10900000</x:v>
      </x:c>
      <x:c r="E123" s="71" t="str"/>
    </x:row>
    <x:row r="124">
      <x:c r="A124" s="91" t="n">
        <x:v>46241</x:v>
      </x:c>
      <x:c r="B124" s="66" t="str">
        <x:v>BR-011</x:v>
      </x:c>
      <x:c r="C124" s="66" t="str">
        <x:v>매출</x:v>
      </x:c>
      <x:c r="D124" s="97" t="n">
        <x:v>3000000</x:v>
      </x:c>
      <x:c r="E124" s="71" t="str"/>
    </x:row>
    <x:row r="125">
      <x:c r="A125" s="91" t="n">
        <x:v>46242</x:v>
      </x:c>
      <x:c r="B125" s="66" t="str">
        <x:v>BR-012</x:v>
      </x:c>
      <x:c r="C125" s="66" t="str">
        <x:v>매출</x:v>
      </x:c>
      <x:c r="D125" s="97" t="n">
        <x:v>14200000</x:v>
      </x:c>
      <x:c r="E125" s="71" t="str"/>
    </x:row>
    <x:row r="126">
      <x:c r="A126" s="91" t="n">
        <x:v>46243</x:v>
      </x:c>
      <x:c r="B126" s="66" t="str">
        <x:v>BR-013</x:v>
      </x:c>
      <x:c r="C126" s="66" t="str">
        <x:v>비용</x:v>
      </x:c>
      <x:c r="D126" s="97" t="n">
        <x:v>10500000</x:v>
      </x:c>
      <x:c r="E126" s="71" t="str"/>
    </x:row>
    <x:row r="127">
      <x:c r="A127" s="91" t="n">
        <x:v>46244</x:v>
      </x:c>
      <x:c r="B127" s="66" t="str">
        <x:v>BR-014</x:v>
      </x:c>
      <x:c r="C127" s="66" t="str">
        <x:v>매출</x:v>
      </x:c>
      <x:c r="D127" s="97" t="n">
        <x:v>7300000</x:v>
      </x:c>
      <x:c r="E127" s="71" t="str"/>
    </x:row>
    <x:row r="128">
      <x:c r="A128" s="91" t="n">
        <x:v>46245</x:v>
      </x:c>
      <x:c r="B128" s="66" t="str">
        <x:v>BR-015</x:v>
      </x:c>
      <x:c r="C128" s="66" t="str">
        <x:v>매출</x:v>
      </x:c>
      <x:c r="D128" s="97" t="n">
        <x:v>8300000</x:v>
      </x:c>
      <x:c r="E128" s="71" t="str"/>
    </x:row>
    <x:row r="129">
      <x:c r="A129" s="91" t="n">
        <x:v>46246</x:v>
      </x:c>
      <x:c r="B129" s="66" t="str">
        <x:v>BR-016</x:v>
      </x:c>
      <x:c r="C129" s="66" t="str">
        <x:v>비용</x:v>
      </x:c>
      <x:c r="D129" s="97" t="n">
        <x:v>10800000</x:v>
      </x:c>
      <x:c r="E129" s="71" t="str"/>
    </x:row>
    <x:row r="130">
      <x:c r="A130" s="91" t="n">
        <x:v>46247</x:v>
      </x:c>
      <x:c r="B130" s="66" t="str">
        <x:v>BR-017</x:v>
      </x:c>
      <x:c r="C130" s="66" t="str">
        <x:v>매출</x:v>
      </x:c>
      <x:c r="D130" s="97" t="n">
        <x:v>17800000</x:v>
      </x:c>
      <x:c r="E130" s="71" t="str"/>
    </x:row>
    <x:row r="131">
      <x:c r="A131" s="91" t="n">
        <x:v>46248</x:v>
      </x:c>
      <x:c r="B131" s="66" t="str">
        <x:v>BR-018</x:v>
      </x:c>
      <x:c r="C131" s="66" t="str">
        <x:v>매출</x:v>
      </x:c>
      <x:c r="D131" s="97" t="n">
        <x:v>4500000</x:v>
      </x:c>
      <x:c r="E131" s="71" t="str"/>
    </x:row>
    <x:row r="132">
      <x:c r="A132" s="91" t="n">
        <x:v>46249</x:v>
      </x:c>
      <x:c r="B132" s="66" t="str">
        <x:v>BR-019</x:v>
      </x:c>
      <x:c r="C132" s="66" t="str">
        <x:v>비용</x:v>
      </x:c>
      <x:c r="D132" s="97" t="n">
        <x:v>10000000</x:v>
      </x:c>
      <x:c r="E132" s="71" t="str"/>
    </x:row>
    <x:row r="133">
      <x:c r="A133" s="91" t="n">
        <x:v>46250</x:v>
      </x:c>
      <x:c r="B133" s="66" t="str">
        <x:v>BR-020</x:v>
      </x:c>
      <x:c r="C133" s="66" t="str">
        <x:v>매출</x:v>
      </x:c>
      <x:c r="D133" s="97" t="n">
        <x:v>8900000</x:v>
      </x:c>
      <x:c r="E133" s="71" t="str"/>
    </x:row>
    <x:row r="134">
      <x:c r="A134" s="91" t="n">
        <x:v>46251</x:v>
      </x:c>
      <x:c r="B134" s="66" t="str">
        <x:v>BR-021</x:v>
      </x:c>
      <x:c r="C134" s="66" t="str">
        <x:v>매출</x:v>
      </x:c>
      <x:c r="D134" s="97" t="n">
        <x:v>4500000</x:v>
      </x:c>
      <x:c r="E134" s="71" t="str"/>
    </x:row>
    <x:row r="135">
      <x:c r="A135" s="91" t="n">
        <x:v>46252</x:v>
      </x:c>
      <x:c r="B135" s="66" t="str">
        <x:v>BR-022</x:v>
      </x:c>
      <x:c r="C135" s="66" t="str">
        <x:v>비용</x:v>
      </x:c>
      <x:c r="D135" s="97" t="n">
        <x:v>8100000</x:v>
      </x:c>
      <x:c r="E135" s="71" t="str"/>
    </x:row>
    <x:row r="136">
      <x:c r="A136" s="91" t="n">
        <x:v>46253</x:v>
      </x:c>
      <x:c r="B136" s="66" t="str">
        <x:v>BR-023</x:v>
      </x:c>
      <x:c r="C136" s="66" t="str">
        <x:v>매출</x:v>
      </x:c>
      <x:c r="D136" s="97" t="n">
        <x:v>3300000</x:v>
      </x:c>
      <x:c r="E136" s="71" t="str"/>
    </x:row>
    <x:row r="137">
      <x:c r="A137" s="91" t="n">
        <x:v>46254</x:v>
      </x:c>
      <x:c r="B137" s="66" t="str">
        <x:v>BR-024</x:v>
      </x:c>
      <x:c r="C137" s="66" t="str">
        <x:v>매출</x:v>
      </x:c>
      <x:c r="D137" s="97" t="n">
        <x:v>10700000</x:v>
      </x:c>
      <x:c r="E137" s="71" t="str"/>
    </x:row>
    <x:row r="138">
      <x:c r="A138" s="91" t="n">
        <x:v>46255</x:v>
      </x:c>
      <x:c r="B138" s="66" t="str">
        <x:v>BR-025</x:v>
      </x:c>
      <x:c r="C138" s="66" t="str">
        <x:v>비용</x:v>
      </x:c>
      <x:c r="D138" s="97" t="n">
        <x:v>16000000</x:v>
      </x:c>
      <x:c r="E138" s="71" t="str"/>
    </x:row>
    <x:row r="139">
      <x:c r="A139" s="91" t="n">
        <x:v>46256</x:v>
      </x:c>
      <x:c r="B139" s="66" t="str">
        <x:v>BR-026</x:v>
      </x:c>
      <x:c r="C139" s="66" t="str">
        <x:v>매출</x:v>
      </x:c>
      <x:c r="D139" s="97" t="n">
        <x:v>9000000</x:v>
      </x:c>
      <x:c r="E139" s="71" t="str"/>
    </x:row>
    <x:row r="140">
      <x:c r="A140" s="91" t="n">
        <x:v>46257</x:v>
      </x:c>
      <x:c r="B140" s="66" t="str">
        <x:v>BR-027</x:v>
      </x:c>
      <x:c r="C140" s="66" t="str">
        <x:v>매출</x:v>
      </x:c>
      <x:c r="D140" s="97" t="n">
        <x:v>17600000</x:v>
      </x:c>
      <x:c r="E140" s="71" t="str"/>
    </x:row>
    <x:row r="141">
      <x:c r="A141" s="91" t="n">
        <x:v>46258</x:v>
      </x:c>
      <x:c r="B141" s="66" t="str">
        <x:v>BR-028</x:v>
      </x:c>
      <x:c r="C141" s="66" t="str">
        <x:v>비용</x:v>
      </x:c>
      <x:c r="D141" s="97" t="n">
        <x:v>4600000</x:v>
      </x:c>
      <x:c r="E141" s="71" t="str"/>
    </x:row>
    <x:row r="142">
      <x:c r="A142" s="91" t="n">
        <x:v>46259</x:v>
      </x:c>
      <x:c r="B142" s="66" t="str">
        <x:v>BR-029</x:v>
      </x:c>
      <x:c r="C142" s="66" t="str">
        <x:v>매출</x:v>
      </x:c>
      <x:c r="D142" s="97" t="n">
        <x:v>13500000</x:v>
      </x:c>
      <x:c r="E142" s="71" t="str"/>
    </x:row>
    <x:row r="143">
      <x:c r="A143" s="91" t="n">
        <x:v>46260</x:v>
      </x:c>
      <x:c r="B143" s="66" t="str">
        <x:v>BR-030</x:v>
      </x:c>
      <x:c r="C143" s="66" t="str">
        <x:v>매출</x:v>
      </x:c>
      <x:c r="D143" s="97" t="n">
        <x:v>14900000</x:v>
      </x:c>
      <x:c r="E143" s="71" t="str"/>
    </x:row>
    <x:row r="144">
      <x:c r="A144" s="91" t="n">
        <x:v>46261</x:v>
      </x:c>
      <x:c r="B144" s="66" t="str">
        <x:v>BR-031</x:v>
      </x:c>
      <x:c r="C144" s="66" t="str">
        <x:v>비용</x:v>
      </x:c>
      <x:c r="D144" s="97" t="n">
        <x:v>7100000</x:v>
      </x:c>
      <x:c r="E144" s="71" t="str"/>
    </x:row>
    <x:row r="145">
      <x:c r="A145" s="91" t="n">
        <x:v>46262</x:v>
      </x:c>
      <x:c r="B145" s="66" t="str">
        <x:v>BR-032</x:v>
      </x:c>
      <x:c r="C145" s="66" t="str">
        <x:v>매출</x:v>
      </x:c>
      <x:c r="D145" s="97" t="n">
        <x:v>10400000</x:v>
      </x:c>
      <x:c r="E145" s="71" t="str"/>
    </x:row>
    <x:row r="146">
      <x:c r="A146" s="91" t="n">
        <x:v>46235</x:v>
      </x:c>
      <x:c r="B146" s="66" t="str">
        <x:v>BR-033</x:v>
      </x:c>
      <x:c r="C146" s="66" t="str">
        <x:v>매출</x:v>
      </x:c>
      <x:c r="D146" s="97" t="n">
        <x:v>16700000</x:v>
      </x:c>
      <x:c r="E146" s="71" t="str"/>
    </x:row>
    <x:row r="147">
      <x:c r="A147" s="91" t="n">
        <x:v>46236</x:v>
      </x:c>
      <x:c r="B147" s="66" t="str">
        <x:v>BR-034</x:v>
      </x:c>
      <x:c r="C147" s="66" t="str">
        <x:v>비용</x:v>
      </x:c>
      <x:c r="D147" s="97" t="n">
        <x:v>8900000</x:v>
      </x:c>
      <x:c r="E147" s="71" t="str"/>
    </x:row>
    <x:row r="148">
      <x:c r="A148" s="91" t="n">
        <x:v>46237</x:v>
      </x:c>
      <x:c r="B148" s="66" t="str">
        <x:v>BR-035</x:v>
      </x:c>
      <x:c r="C148" s="66" t="str">
        <x:v>매출</x:v>
      </x:c>
      <x:c r="D148" s="97" t="n">
        <x:v>16300000</x:v>
      </x:c>
      <x:c r="E148" s="71" t="str"/>
    </x:row>
    <x:row r="149">
      <x:c r="A149" s="91" t="n">
        <x:v>46238</x:v>
      </x:c>
      <x:c r="B149" s="66" t="str">
        <x:v>BR-036</x:v>
      </x:c>
      <x:c r="C149" s="66" t="str">
        <x:v>매출</x:v>
      </x:c>
      <x:c r="D149" s="97" t="n">
        <x:v>17300000</x:v>
      </x:c>
      <x:c r="E149" s="71" t="str"/>
    </x:row>
    <x:row r="150">
      <x:c r="A150" s="91" t="n">
        <x:v>46239</x:v>
      </x:c>
      <x:c r="B150" s="66" t="str">
        <x:v>BR-001</x:v>
      </x:c>
      <x:c r="C150" s="66" t="str">
        <x:v>비용</x:v>
      </x:c>
      <x:c r="D150" s="97" t="n">
        <x:v>5600000</x:v>
      </x:c>
      <x:c r="E150" s="71" t="str"/>
    </x:row>
    <x:row r="151">
      <x:c r="A151" s="91" t="n">
        <x:v>46240</x:v>
      </x:c>
      <x:c r="B151" s="66" t="str">
        <x:v>BR-002</x:v>
      </x:c>
      <x:c r="C151" s="66" t="str">
        <x:v>매출</x:v>
      </x:c>
      <x:c r="D151" s="97" t="n">
        <x:v>8100000</x:v>
      </x:c>
      <x:c r="E151" s="71" t="str"/>
    </x:row>
    <x:row r="152">
      <x:c r="A152" s="91" t="n">
        <x:v>46241</x:v>
      </x:c>
      <x:c r="B152" s="66" t="str">
        <x:v>BR-003</x:v>
      </x:c>
      <x:c r="C152" s="66" t="str">
        <x:v>매출</x:v>
      </x:c>
      <x:c r="D152" s="97" t="n">
        <x:v>9900000</x:v>
      </x:c>
      <x:c r="E152" s="71" t="str"/>
    </x:row>
    <x:row r="153">
      <x:c r="A153" s="91" t="n">
        <x:v>46242</x:v>
      </x:c>
      <x:c r="B153" s="66" t="str">
        <x:v>BR-004</x:v>
      </x:c>
      <x:c r="C153" s="66" t="str">
        <x:v>비용</x:v>
      </x:c>
      <x:c r="D153" s="97" t="n">
        <x:v>3600000</x:v>
      </x:c>
      <x:c r="E153" s="71" t="str"/>
    </x:row>
    <x:row r="154">
      <x:c r="A154" s="91" t="n">
        <x:v>46243</x:v>
      </x:c>
      <x:c r="B154" s="66" t="str">
        <x:v>BR-005</x:v>
      </x:c>
      <x:c r="C154" s="66" t="str">
        <x:v>매출</x:v>
      </x:c>
      <x:c r="D154" s="97" t="n">
        <x:v>4900000</x:v>
      </x:c>
      <x:c r="E154" s="71" t="str"/>
    </x:row>
    <x:row r="155">
      <x:c r="A155" s="91" t="n">
        <x:v>46244</x:v>
      </x:c>
      <x:c r="B155" s="66" t="str">
        <x:v>BR-006</x:v>
      </x:c>
      <x:c r="C155" s="66" t="str">
        <x:v>매출</x:v>
      </x:c>
      <x:c r="D155" s="97" t="n">
        <x:v>7800000</x:v>
      </x:c>
      <x:c r="E155" s="71" t="str"/>
    </x:row>
    <x:row r="156">
      <x:c r="A156" s="91" t="n">
        <x:v>46245</x:v>
      </x:c>
      <x:c r="B156" s="66" t="str">
        <x:v>BR-007</x:v>
      </x:c>
      <x:c r="C156" s="66" t="str">
        <x:v>비용</x:v>
      </x:c>
      <x:c r="D156" s="97" t="n">
        <x:v>8600000</x:v>
      </x:c>
      <x:c r="E156" s="71" t="str"/>
    </x:row>
    <x:row r="157">
      <x:c r="A157" s="91" t="n">
        <x:v>46246</x:v>
      </x:c>
      <x:c r="B157" s="66" t="str">
        <x:v>BR-008</x:v>
      </x:c>
      <x:c r="C157" s="66" t="str">
        <x:v>매출</x:v>
      </x:c>
      <x:c r="D157" s="97" t="n">
        <x:v>7800000</x:v>
      </x:c>
      <x:c r="E157" s="71" t="str"/>
    </x:row>
    <x:row r="158">
      <x:c r="A158" s="91" t="n">
        <x:v>46247</x:v>
      </x:c>
      <x:c r="B158" s="66" t="str">
        <x:v>BR-009</x:v>
      </x:c>
      <x:c r="C158" s="66" t="str">
        <x:v>매출</x:v>
      </x:c>
      <x:c r="D158" s="97" t="n">
        <x:v>14800000</x:v>
      </x:c>
      <x:c r="E158" s="71" t="str"/>
    </x:row>
    <x:row r="159">
      <x:c r="A159" s="91" t="n">
        <x:v>46248</x:v>
      </x:c>
      <x:c r="B159" s="66" t="str">
        <x:v>BR-010</x:v>
      </x:c>
      <x:c r="C159" s="66" t="str">
        <x:v>비용</x:v>
      </x:c>
      <x:c r="D159" s="97" t="n">
        <x:v>5900000</x:v>
      </x:c>
      <x:c r="E159" s="71" t="str"/>
    </x:row>
    <x:row r="160">
      <x:c r="A160" s="91" t="n">
        <x:v>46249</x:v>
      </x:c>
      <x:c r="B160" s="66" t="str">
        <x:v>BR-011</x:v>
      </x:c>
      <x:c r="C160" s="66" t="str">
        <x:v>매출</x:v>
      </x:c>
      <x:c r="D160" s="97" t="n">
        <x:v>16300000</x:v>
      </x:c>
      <x:c r="E160" s="71" t="str"/>
    </x:row>
    <x:row r="161">
      <x:c r="A161" s="91" t="n">
        <x:v>46250</x:v>
      </x:c>
      <x:c r="B161" s="66" t="str">
        <x:v>BR-012</x:v>
      </x:c>
      <x:c r="C161" s="66" t="str">
        <x:v>매출</x:v>
      </x:c>
      <x:c r="D161" s="97" t="n">
        <x:v>14500000</x:v>
      </x:c>
      <x:c r="E161" s="71" t="str"/>
    </x:row>
    <x:row r="162">
      <x:c r="A162" s="91" t="n">
        <x:v>46251</x:v>
      </x:c>
      <x:c r="B162" s="66" t="str">
        <x:v>BR-013</x:v>
      </x:c>
      <x:c r="C162" s="66" t="str">
        <x:v>비용</x:v>
      </x:c>
      <x:c r="D162" s="97" t="n">
        <x:v>5900000</x:v>
      </x:c>
      <x:c r="E162" s="71" t="str"/>
    </x:row>
    <x:row r="163">
      <x:c r="A163" s="91" t="n">
        <x:v>46252</x:v>
      </x:c>
      <x:c r="B163" s="66" t="str">
        <x:v>BR-014</x:v>
      </x:c>
      <x:c r="C163" s="66" t="str">
        <x:v>매출</x:v>
      </x:c>
      <x:c r="D163" s="97" t="n">
        <x:v>3400000</x:v>
      </x:c>
      <x:c r="E163" s="71" t="str"/>
    </x:row>
    <x:row r="164">
      <x:c r="A164" s="91" t="n">
        <x:v>46253</x:v>
      </x:c>
      <x:c r="B164" s="66" t="str">
        <x:v>BR-015</x:v>
      </x:c>
      <x:c r="C164" s="66" t="str">
        <x:v>매출</x:v>
      </x:c>
      <x:c r="D164" s="97" t="n">
        <x:v>9300000</x:v>
      </x:c>
      <x:c r="E164" s="71" t="str"/>
    </x:row>
    <x:row r="165">
      <x:c r="A165" s="91" t="n">
        <x:v>46254</x:v>
      </x:c>
      <x:c r="B165" s="66" t="str">
        <x:v>BR-016</x:v>
      </x:c>
      <x:c r="C165" s="66" t="str">
        <x:v>비용</x:v>
      </x:c>
      <x:c r="D165" s="97" t="n">
        <x:v>7000000</x:v>
      </x:c>
      <x:c r="E165" s="71" t="str"/>
    </x:row>
    <x:row r="166">
      <x:c r="A166" s="91" t="n">
        <x:v>46255</x:v>
      </x:c>
      <x:c r="B166" s="66" t="str">
        <x:v>BR-017</x:v>
      </x:c>
      <x:c r="C166" s="66" t="str">
        <x:v>매출</x:v>
      </x:c>
      <x:c r="D166" s="97" t="n">
        <x:v>7800000</x:v>
      </x:c>
      <x:c r="E166" s="71" t="str"/>
    </x:row>
    <x:row r="167">
      <x:c r="A167" s="91" t="n">
        <x:v>46256</x:v>
      </x:c>
      <x:c r="B167" s="66" t="str">
        <x:v>BR-018</x:v>
      </x:c>
      <x:c r="C167" s="66" t="str">
        <x:v>매출</x:v>
      </x:c>
      <x:c r="D167" s="97" t="n">
        <x:v>9900000</x:v>
      </x:c>
      <x:c r="E167" s="71" t="str"/>
    </x:row>
    <x:row r="168">
      <x:c r="A168" s="91" t="n">
        <x:v>46257</x:v>
      </x:c>
      <x:c r="B168" s="66" t="str">
        <x:v>BR-019</x:v>
      </x:c>
      <x:c r="C168" s="66" t="str">
        <x:v>비용</x:v>
      </x:c>
      <x:c r="D168" s="97" t="n">
        <x:v>16600000</x:v>
      </x:c>
      <x:c r="E168" s="71" t="str"/>
    </x:row>
    <x:row r="169">
      <x:c r="A169" s="91" t="n">
        <x:v>46258</x:v>
      </x:c>
      <x:c r="B169" s="66" t="str">
        <x:v>BR-020</x:v>
      </x:c>
      <x:c r="C169" s="66" t="str">
        <x:v>매출</x:v>
      </x:c>
      <x:c r="D169" s="97" t="n">
        <x:v>9000000</x:v>
      </x:c>
      <x:c r="E169" s="71" t="str"/>
    </x:row>
    <x:row r="170">
      <x:c r="A170" s="91" t="n">
        <x:v>46259</x:v>
      </x:c>
      <x:c r="B170" s="66" t="str">
        <x:v>BR-021</x:v>
      </x:c>
      <x:c r="C170" s="66" t="str">
        <x:v>매출</x:v>
      </x:c>
      <x:c r="D170" s="97" t="n">
        <x:v>4000000</x:v>
      </x:c>
      <x:c r="E170" s="71" t="str"/>
    </x:row>
    <x:row r="171">
      <x:c r="A171" s="91" t="n">
        <x:v>46260</x:v>
      </x:c>
      <x:c r="B171" s="66" t="str">
        <x:v>BR-022</x:v>
      </x:c>
      <x:c r="C171" s="66" t="str">
        <x:v>비용</x:v>
      </x:c>
      <x:c r="D171" s="97" t="n">
        <x:v>7500000</x:v>
      </x:c>
      <x:c r="E171" s="71" t="str"/>
    </x:row>
    <x:row r="172">
      <x:c r="A172" s="91" t="n">
        <x:v>46261</x:v>
      </x:c>
      <x:c r="B172" s="66" t="str">
        <x:v>BR-023</x:v>
      </x:c>
      <x:c r="C172" s="66" t="str">
        <x:v>매출</x:v>
      </x:c>
      <x:c r="D172" s="97" t="n">
        <x:v>9300000</x:v>
      </x:c>
      <x:c r="E172" s="71" t="str"/>
    </x:row>
    <x:row r="173">
      <x:c r="A173" s="91" t="n">
        <x:v>46262</x:v>
      </x:c>
      <x:c r="B173" s="66" t="str">
        <x:v>BR-024</x:v>
      </x:c>
      <x:c r="C173" s="66" t="str">
        <x:v>매출</x:v>
      </x:c>
      <x:c r="D173" s="97" t="n">
        <x:v>4600000</x:v>
      </x:c>
      <x:c r="E173" s="71" t="str"/>
    </x:row>
    <x:row r="174">
      <x:c r="A174" s="91" t="n">
        <x:v>46235</x:v>
      </x:c>
      <x:c r="B174" s="66" t="str">
        <x:v>BR-025</x:v>
      </x:c>
      <x:c r="C174" s="66" t="str">
        <x:v>비용</x:v>
      </x:c>
      <x:c r="D174" s="97" t="n">
        <x:v>7400000</x:v>
      </x:c>
      <x:c r="E174" s="71" t="str"/>
    </x:row>
    <x:row r="175">
      <x:c r="A175" s="91" t="n">
        <x:v>46236</x:v>
      </x:c>
      <x:c r="B175" s="66" t="str">
        <x:v>BR-026</x:v>
      </x:c>
      <x:c r="C175" s="66" t="str">
        <x:v>매출</x:v>
      </x:c>
      <x:c r="D175" s="97" t="n">
        <x:v>17500000</x:v>
      </x:c>
      <x:c r="E175" s="71" t="str"/>
    </x:row>
    <x:row r="176">
      <x:c r="A176" s="91" t="n">
        <x:v>46237</x:v>
      </x:c>
      <x:c r="B176" s="66" t="str">
        <x:v>BR-027</x:v>
      </x:c>
      <x:c r="C176" s="66" t="str">
        <x:v>매출</x:v>
      </x:c>
      <x:c r="D176" s="97" t="n">
        <x:v>10100000</x:v>
      </x:c>
      <x:c r="E176" s="71" t="str"/>
    </x:row>
    <x:row r="177">
      <x:c r="A177" s="91" t="n">
        <x:v>46238</x:v>
      </x:c>
      <x:c r="B177" s="66" t="str">
        <x:v>BR-028</x:v>
      </x:c>
      <x:c r="C177" s="66" t="str">
        <x:v>비용</x:v>
      </x:c>
      <x:c r="D177" s="97" t="n">
        <x:v>8600000</x:v>
      </x:c>
      <x:c r="E177" s="71" t="str"/>
    </x:row>
    <x:row r="178">
      <x:c r="A178" s="91" t="n">
        <x:v>46239</x:v>
      </x:c>
      <x:c r="B178" s="66" t="str">
        <x:v>BR-029</x:v>
      </x:c>
      <x:c r="C178" s="66" t="str">
        <x:v>매출</x:v>
      </x:c>
      <x:c r="D178" s="97" t="n">
        <x:v>11200000</x:v>
      </x:c>
      <x:c r="E178" s="71" t="str"/>
    </x:row>
    <x:row r="179">
      <x:c r="A179" s="91" t="n">
        <x:v>46240</x:v>
      </x:c>
      <x:c r="B179" s="66" t="str">
        <x:v>BR-030</x:v>
      </x:c>
      <x:c r="C179" s="66" t="str">
        <x:v>매출</x:v>
      </x:c>
      <x:c r="D179" s="97" t="n">
        <x:v>10400000</x:v>
      </x:c>
      <x:c r="E179" s="71" t="str"/>
    </x:row>
    <x:row r="180">
      <x:c r="A180" s="91" t="n">
        <x:v>46241</x:v>
      </x:c>
      <x:c r="B180" s="66" t="str">
        <x:v>BR-031</x:v>
      </x:c>
      <x:c r="C180" s="66" t="str">
        <x:v>비용</x:v>
      </x:c>
      <x:c r="D180" s="97" t="n">
        <x:v>3800000</x:v>
      </x:c>
      <x:c r="E180" s="71" t="str"/>
    </x:row>
    <x:row r="181">
      <x:c r="A181" s="91" t="n">
        <x:v>46242</x:v>
      </x:c>
      <x:c r="B181" s="66" t="str">
        <x:v>BR-032</x:v>
      </x:c>
      <x:c r="C181" s="66" t="str">
        <x:v>매출</x:v>
      </x:c>
      <x:c r="D181" s="97" t="n">
        <x:v>7400000</x:v>
      </x:c>
      <x:c r="E181" s="71" t="str"/>
    </x:row>
    <x:row r="182">
      <x:c r="A182" s="91" t="n">
        <x:v>46243</x:v>
      </x:c>
      <x:c r="B182" s="66" t="str">
        <x:v>BR-033</x:v>
      </x:c>
      <x:c r="C182" s="66" t="str">
        <x:v>매출</x:v>
      </x:c>
      <x:c r="D182" s="97" t="n">
        <x:v>7100000</x:v>
      </x:c>
      <x:c r="E182" s="71" t="str"/>
    </x:row>
    <x:row r="183">
      <x:c r="A183" s="91" t="n">
        <x:v>46244</x:v>
      </x:c>
      <x:c r="B183" s="66" t="str">
        <x:v>BR-034</x:v>
      </x:c>
      <x:c r="C183" s="66" t="str">
        <x:v>비용</x:v>
      </x:c>
      <x:c r="D183" s="97" t="n">
        <x:v>3300000</x:v>
      </x:c>
      <x:c r="E183" s="71" t="str"/>
    </x:row>
    <x:row r="184">
      <x:c r="A184" s="91" t="n">
        <x:v>46245</x:v>
      </x:c>
      <x:c r="B184" s="66" t="str">
        <x:v>BR-035</x:v>
      </x:c>
      <x:c r="C184" s="66" t="str">
        <x:v>매출</x:v>
      </x:c>
      <x:c r="D184" s="97" t="n">
        <x:v>4700000</x:v>
      </x:c>
      <x:c r="E184" s="71" t="str"/>
    </x:row>
    <x:row r="185">
      <x:c r="A185" s="91" t="n">
        <x:v>46246</x:v>
      </x:c>
      <x:c r="B185" s="66" t="str">
        <x:v>BR-036</x:v>
      </x:c>
      <x:c r="C185" s="66" t="str">
        <x:v>매출</x:v>
      </x:c>
      <x:c r="D185" s="97" t="n">
        <x:v>8600000</x:v>
      </x:c>
      <x:c r="E185" s="71" t="str"/>
    </x:row>
    <x:row r="186">
      <x:c r="A186" s="91" t="n">
        <x:v>46247</x:v>
      </x:c>
      <x:c r="B186" s="66" t="str">
        <x:v>BR-001</x:v>
      </x:c>
      <x:c r="C186" s="66" t="str">
        <x:v>비용</x:v>
      </x:c>
      <x:c r="D186" s="97" t="n">
        <x:v>9000000</x:v>
      </x:c>
      <x:c r="E186" s="71" t="str"/>
    </x:row>
    <x:row r="187">
      <x:c r="A187" s="91" t="n">
        <x:v>46248</x:v>
      </x:c>
      <x:c r="B187" s="66" t="str">
        <x:v>BR-002</x:v>
      </x:c>
      <x:c r="C187" s="66" t="str">
        <x:v>매출</x:v>
      </x:c>
      <x:c r="D187" s="97" t="n">
        <x:v>6500000</x:v>
      </x:c>
      <x:c r="E187" s="71" t="str"/>
    </x:row>
    <x:row r="188">
      <x:c r="A188" s="91" t="n">
        <x:v>46249</x:v>
      </x:c>
      <x:c r="B188" s="66" t="str">
        <x:v>BR-003</x:v>
      </x:c>
      <x:c r="C188" s="66" t="str">
        <x:v>매출</x:v>
      </x:c>
      <x:c r="D188" s="97" t="n">
        <x:v>12100000</x:v>
      </x:c>
      <x:c r="E188" s="71" t="str"/>
    </x:row>
    <x:row r="189">
      <x:c r="A189" s="91" t="n">
        <x:v>46250</x:v>
      </x:c>
      <x:c r="B189" s="66" t="str">
        <x:v>BR-004</x:v>
      </x:c>
      <x:c r="C189" s="66" t="str">
        <x:v>비용</x:v>
      </x:c>
      <x:c r="D189" s="97" t="n">
        <x:v>14600000</x:v>
      </x:c>
      <x:c r="E189" s="71" t="str"/>
    </x:row>
    <x:row r="190">
      <x:c r="A190" s="91" t="n">
        <x:v>46251</x:v>
      </x:c>
      <x:c r="B190" s="66" t="str">
        <x:v>BR-005</x:v>
      </x:c>
      <x:c r="C190" s="66" t="str">
        <x:v>매출</x:v>
      </x:c>
      <x:c r="D190" s="97" t="n">
        <x:v>17500000</x:v>
      </x:c>
      <x:c r="E190" s="71" t="str"/>
    </x:row>
    <x:row r="191">
      <x:c r="A191" s="91" t="n">
        <x:v>46252</x:v>
      </x:c>
      <x:c r="B191" s="66" t="str">
        <x:v>BR-006</x:v>
      </x:c>
      <x:c r="C191" s="66" t="str">
        <x:v>매출</x:v>
      </x:c>
      <x:c r="D191" s="97" t="n">
        <x:v>11800000</x:v>
      </x:c>
      <x:c r="E191" s="71" t="str"/>
    </x:row>
    <x:row r="192">
      <x:c r="A192" s="91" t="n">
        <x:v>46253</x:v>
      </x:c>
      <x:c r="B192" s="66" t="str">
        <x:v>BR-007</x:v>
      </x:c>
      <x:c r="C192" s="66" t="str">
        <x:v>비용</x:v>
      </x:c>
      <x:c r="D192" s="97" t="n">
        <x:v>15200000</x:v>
      </x:c>
      <x:c r="E192" s="71" t="str"/>
    </x:row>
    <x:row r="193">
      <x:c r="A193" s="91" t="n">
        <x:v>46254</x:v>
      </x:c>
      <x:c r="B193" s="66" t="str">
        <x:v>BR-008</x:v>
      </x:c>
      <x:c r="C193" s="66" t="str">
        <x:v>매출</x:v>
      </x:c>
      <x:c r="D193" s="97" t="n">
        <x:v>5200000</x:v>
      </x:c>
      <x:c r="E193" s="71" t="str"/>
    </x:row>
    <x:row r="194">
      <x:c r="A194" s="91" t="n">
        <x:v>46255</x:v>
      </x:c>
      <x:c r="B194" s="66" t="str">
        <x:v>BR-009</x:v>
      </x:c>
      <x:c r="C194" s="66" t="str">
        <x:v>매출</x:v>
      </x:c>
      <x:c r="D194" s="97" t="n">
        <x:v>15400000</x:v>
      </x:c>
      <x:c r="E194" s="71" t="str"/>
    </x:row>
    <x:row r="195">
      <x:c r="A195" s="91" t="n">
        <x:v>46256</x:v>
      </x:c>
      <x:c r="B195" s="66" t="str">
        <x:v>BR-010</x:v>
      </x:c>
      <x:c r="C195" s="66" t="str">
        <x:v>비용</x:v>
      </x:c>
      <x:c r="D195" s="97" t="n">
        <x:v>11900000</x:v>
      </x:c>
      <x:c r="E195" s="71" t="str"/>
    </x:row>
    <x:row r="196">
      <x:c r="A196" s="91" t="n">
        <x:v>46257</x:v>
      </x:c>
      <x:c r="B196" s="66" t="str">
        <x:v>BR-011</x:v>
      </x:c>
      <x:c r="C196" s="66" t="str">
        <x:v>매출</x:v>
      </x:c>
      <x:c r="D196" s="97" t="n">
        <x:v>7100000</x:v>
      </x:c>
      <x:c r="E196" s="71" t="str"/>
    </x:row>
    <x:row r="197">
      <x:c r="A197" s="91" t="n">
        <x:v>46258</x:v>
      </x:c>
      <x:c r="B197" s="66" t="str">
        <x:v>BR-012</x:v>
      </x:c>
      <x:c r="C197" s="66" t="str">
        <x:v>매출</x:v>
      </x:c>
      <x:c r="D197" s="97" t="n">
        <x:v>9200000</x:v>
      </x:c>
      <x:c r="E197" s="71" t="str"/>
    </x:row>
    <x:row r="198">
      <x:c r="A198" s="91" t="n">
        <x:v>46259</x:v>
      </x:c>
      <x:c r="B198" s="66" t="str">
        <x:v>BR-013</x:v>
      </x:c>
      <x:c r="C198" s="66" t="str">
        <x:v>비용</x:v>
      </x:c>
      <x:c r="D198" s="97" t="n">
        <x:v>9000000</x:v>
      </x:c>
      <x:c r="E198" s="71" t="str"/>
    </x:row>
    <x:row r="199">
      <x:c r="A199" s="91" t="n">
        <x:v>46260</x:v>
      </x:c>
      <x:c r="B199" s="66" t="str">
        <x:v>BR-014</x:v>
      </x:c>
      <x:c r="C199" s="66" t="str">
        <x:v>매출</x:v>
      </x:c>
      <x:c r="D199" s="97" t="n">
        <x:v>11700000</x:v>
      </x:c>
      <x:c r="E199" s="71" t="str"/>
    </x:row>
    <x:row r="200">
      <x:c r="A200" s="91" t="n">
        <x:v>46261</x:v>
      </x:c>
      <x:c r="B200" s="66" t="str">
        <x:v>BR-015</x:v>
      </x:c>
      <x:c r="C200" s="66" t="str">
        <x:v>매출</x:v>
      </x:c>
      <x:c r="D200" s="97" t="n">
        <x:v>14200000</x:v>
      </x:c>
      <x:c r="E200" s="71" t="str"/>
    </x:row>
    <x:row r="201">
      <x:c r="A201" s="91" t="n">
        <x:v>46262</x:v>
      </x:c>
      <x:c r="B201" s="66" t="str">
        <x:v>BR-016</x:v>
      </x:c>
      <x:c r="C201" s="66" t="str">
        <x:v>비용</x:v>
      </x:c>
      <x:c r="D201" s="97" t="n">
        <x:v>4400000</x:v>
      </x:c>
      <x:c r="E201" s="71" t="str"/>
    </x:row>
    <x:row r="202">
      <x:c r="A202" s="91" t="n">
        <x:v>46235</x:v>
      </x:c>
      <x:c r="B202" s="66" t="str">
        <x:v>BR-017</x:v>
      </x:c>
      <x:c r="C202" s="66" t="str">
        <x:v>매출</x:v>
      </x:c>
      <x:c r="D202" s="97" t="n">
        <x:v>16000000</x:v>
      </x:c>
      <x:c r="E202" s="71" t="str"/>
    </x:row>
    <x:row r="203">
      <x:c r="A203" s="91" t="n">
        <x:v>46236</x:v>
      </x:c>
      <x:c r="B203" s="66" t="str">
        <x:v>BR-018</x:v>
      </x:c>
      <x:c r="C203" s="66" t="str">
        <x:v>매출</x:v>
      </x:c>
      <x:c r="D203" s="97" t="n">
        <x:v>13500000</x:v>
      </x:c>
      <x:c r="E203" s="71" t="str"/>
    </x:row>
    <x:row r="204">
      <x:c r="A204" s="91" t="n">
        <x:v>46237</x:v>
      </x:c>
      <x:c r="B204" s="66" t="str">
        <x:v>BR-019</x:v>
      </x:c>
      <x:c r="C204" s="66" t="str">
        <x:v>비용</x:v>
      </x:c>
      <x:c r="D204" s="97" t="n">
        <x:v>7700000</x:v>
      </x:c>
      <x:c r="E204" s="71" t="str"/>
    </x:row>
    <x:row r="205">
      <x:c r="A205" s="91" t="n">
        <x:v>46238</x:v>
      </x:c>
      <x:c r="B205" s="66" t="str">
        <x:v>BR-020</x:v>
      </x:c>
      <x:c r="C205" s="66" t="str">
        <x:v>매출</x:v>
      </x:c>
      <x:c r="D205" s="97" t="n">
        <x:v>4900000</x:v>
      </x:c>
      <x:c r="E205" s="71" t="str"/>
    </x:row>
    <x:row r="206">
      <x:c r="A206" s="91" t="n">
        <x:v>46239</x:v>
      </x:c>
      <x:c r="B206" s="66" t="str">
        <x:v>BR-021</x:v>
      </x:c>
      <x:c r="C206" s="66" t="str">
        <x:v>매출</x:v>
      </x:c>
      <x:c r="D206" s="97" t="n">
        <x:v>10800000</x:v>
      </x:c>
      <x:c r="E206" s="71" t="str"/>
    </x:row>
    <x:row r="207">
      <x:c r="A207" s="91" t="n">
        <x:v>46240</x:v>
      </x:c>
      <x:c r="B207" s="66" t="str">
        <x:v>BR-022</x:v>
      </x:c>
      <x:c r="C207" s="66" t="str">
        <x:v>비용</x:v>
      </x:c>
      <x:c r="D207" s="97" t="n">
        <x:v>11200000</x:v>
      </x:c>
      <x:c r="E207" s="71" t="str"/>
    </x:row>
    <x:row r="208">
      <x:c r="A208" s="91" t="n">
        <x:v>46241</x:v>
      </x:c>
      <x:c r="B208" s="66" t="str">
        <x:v>BR-023</x:v>
      </x:c>
      <x:c r="C208" s="66" t="str">
        <x:v>매출</x:v>
      </x:c>
      <x:c r="D208" s="97" t="n">
        <x:v>11100000</x:v>
      </x:c>
      <x:c r="E208" s="71" t="str"/>
    </x:row>
    <x:row r="209">
      <x:c r="A209" s="91" t="n">
        <x:v>46242</x:v>
      </x:c>
      <x:c r="B209" s="66" t="str">
        <x:v>BR-024</x:v>
      </x:c>
      <x:c r="C209" s="66" t="str">
        <x:v>매출</x:v>
      </x:c>
      <x:c r="D209" s="97" t="n">
        <x:v>3600000</x:v>
      </x:c>
      <x:c r="E209" s="71" t="str"/>
    </x:row>
    <x:row r="210">
      <x:c r="A210" s="91" t="n">
        <x:v>46243</x:v>
      </x:c>
      <x:c r="B210" s="66" t="str">
        <x:v>BR-025</x:v>
      </x:c>
      <x:c r="C210" s="66" t="str">
        <x:v>비용</x:v>
      </x:c>
      <x:c r="D210" s="97" t="n">
        <x:v>8100000</x:v>
      </x:c>
      <x:c r="E210" s="71" t="str"/>
    </x:row>
    <x:row r="211">
      <x:c r="A211" s="91" t="n">
        <x:v>46244</x:v>
      </x:c>
      <x:c r="B211" s="66" t="str">
        <x:v>BR-026</x:v>
      </x:c>
      <x:c r="C211" s="66" t="str">
        <x:v>매출</x:v>
      </x:c>
      <x:c r="D211" s="97" t="n">
        <x:v>16600000</x:v>
      </x:c>
      <x:c r="E211" s="71" t="str"/>
    </x:row>
    <x:row r="212">
      <x:c r="A212" s="91" t="n">
        <x:v>46245</x:v>
      </x:c>
      <x:c r="B212" s="66" t="str">
        <x:v>BR-027</x:v>
      </x:c>
      <x:c r="C212" s="66" t="str">
        <x:v>매출</x:v>
      </x:c>
      <x:c r="D212" s="97" t="n">
        <x:v>13400000</x:v>
      </x:c>
      <x:c r="E212" s="71" t="str"/>
    </x:row>
    <x:row r="213">
      <x:c r="A213" s="91" t="n">
        <x:v>46246</x:v>
      </x:c>
      <x:c r="B213" s="66" t="str">
        <x:v>BR-028</x:v>
      </x:c>
      <x:c r="C213" s="66" t="str">
        <x:v>비용</x:v>
      </x:c>
      <x:c r="D213" s="97" t="n">
        <x:v>7000000</x:v>
      </x:c>
      <x:c r="E213" s="71" t="str"/>
    </x:row>
    <x:row r="214">
      <x:c r="A214" s="91" t="n">
        <x:v>46247</x:v>
      </x:c>
      <x:c r="B214" s="66" t="str">
        <x:v>BR-029</x:v>
      </x:c>
      <x:c r="C214" s="66" t="str">
        <x:v>매출</x:v>
      </x:c>
      <x:c r="D214" s="97" t="n">
        <x:v>14000000</x:v>
      </x:c>
      <x:c r="E214" s="71" t="str"/>
    </x:row>
    <x:row r="215">
      <x:c r="A215" s="91" t="n">
        <x:v>46248</x:v>
      </x:c>
      <x:c r="B215" s="66" t="str">
        <x:v>BR-030</x:v>
      </x:c>
      <x:c r="C215" s="66" t="str">
        <x:v>매출</x:v>
      </x:c>
      <x:c r="D215" s="97" t="n">
        <x:v>3700000</x:v>
      </x:c>
      <x:c r="E215" s="71" t="str"/>
    </x:row>
    <x:row r="216">
      <x:c r="A216" s="91" t="n">
        <x:v>46249</x:v>
      </x:c>
      <x:c r="B216" s="66" t="str">
        <x:v>BR-031</x:v>
      </x:c>
      <x:c r="C216" s="66" t="str">
        <x:v>비용</x:v>
      </x:c>
      <x:c r="D216" s="97" t="n">
        <x:v>8000000</x:v>
      </x:c>
      <x:c r="E216" s="71" t="str"/>
    </x:row>
    <x:row r="217">
      <x:c r="A217" s="91" t="n">
        <x:v>46250</x:v>
      </x:c>
      <x:c r="B217" s="66" t="str">
        <x:v>BR-032</x:v>
      </x:c>
      <x:c r="C217" s="66" t="str">
        <x:v>매출</x:v>
      </x:c>
      <x:c r="D217" s="97" t="n">
        <x:v>15900000</x:v>
      </x:c>
      <x:c r="E217" s="71" t="str"/>
    </x:row>
    <x:row r="218">
      <x:c r="A218" s="91" t="n">
        <x:v>46251</x:v>
      </x:c>
      <x:c r="B218" s="66" t="str">
        <x:v>BR-033</x:v>
      </x:c>
      <x:c r="C218" s="66" t="str">
        <x:v>매출</x:v>
      </x:c>
      <x:c r="D218" s="97" t="n">
        <x:v>6900000</x:v>
      </x:c>
      <x:c r="E218" s="71" t="str"/>
    </x:row>
    <x:row r="219">
      <x:c r="A219" s="91" t="n">
        <x:v>46252</x:v>
      </x:c>
      <x:c r="B219" s="66" t="str">
        <x:v>BR-034</x:v>
      </x:c>
      <x:c r="C219" s="66" t="str">
        <x:v>비용</x:v>
      </x:c>
      <x:c r="D219" s="97" t="n">
        <x:v>8100000</x:v>
      </x:c>
      <x:c r="E219" s="71" t="str"/>
    </x:row>
    <x:row r="220">
      <x:c r="A220" s="91" t="n">
        <x:v>46253</x:v>
      </x:c>
      <x:c r="B220" s="66" t="str">
        <x:v>BR-035</x:v>
      </x:c>
      <x:c r="C220" s="66" t="str">
        <x:v>매출</x:v>
      </x:c>
      <x:c r="D220" s="97" t="n">
        <x:v>8400000</x:v>
      </x:c>
      <x:c r="E220" s="71" t="str"/>
    </x:row>
    <x:row r="221">
      <x:c r="A221" s="91" t="n">
        <x:v>46254</x:v>
      </x:c>
      <x:c r="B221" s="66" t="str">
        <x:v>BR-036</x:v>
      </x:c>
      <x:c r="C221" s="66" t="str">
        <x:v>매출</x:v>
      </x:c>
      <x:c r="D221" s="97" t="n">
        <x:v>17400000</x:v>
      </x:c>
      <x:c r="E221" s="71" t="str"/>
    </x:row>
    <x:row r="222">
      <x:c r="A222" s="91" t="n">
        <x:v>46255</x:v>
      </x:c>
      <x:c r="B222" s="66" t="str">
        <x:v>BR-001</x:v>
      </x:c>
      <x:c r="C222" s="66" t="str">
        <x:v>비용</x:v>
      </x:c>
      <x:c r="D222" s="97" t="n">
        <x:v>15900000</x:v>
      </x:c>
      <x:c r="E222" s="71" t="str"/>
    </x:row>
    <x:row r="223">
      <x:c r="A223" s="91" t="n">
        <x:v>46256</x:v>
      </x:c>
      <x:c r="B223" s="66" t="str">
        <x:v>BR-002</x:v>
      </x:c>
      <x:c r="C223" s="66" t="str">
        <x:v>매출</x:v>
      </x:c>
      <x:c r="D223" s="97" t="n">
        <x:v>17000000</x:v>
      </x:c>
      <x:c r="E223" s="71" t="str"/>
    </x:row>
    <x:row r="224">
      <x:c r="A224" s="91" t="n">
        <x:v>46257</x:v>
      </x:c>
      <x:c r="B224" s="66" t="str">
        <x:v>BR-003</x:v>
      </x:c>
      <x:c r="C224" s="66" t="str">
        <x:v>매출</x:v>
      </x:c>
      <x:c r="D224" s="97" t="n">
        <x:v>18000000</x:v>
      </x:c>
      <x:c r="E224" s="71" t="str"/>
    </x:row>
    <x:row r="225">
      <x:c r="A225" s="91" t="n">
        <x:v>46258</x:v>
      </x:c>
      <x:c r="B225" s="66" t="str">
        <x:v>BR-004</x:v>
      </x:c>
      <x:c r="C225" s="66" t="str">
        <x:v>비용</x:v>
      </x:c>
      <x:c r="D225" s="97" t="n">
        <x:v>9500000</x:v>
      </x:c>
      <x:c r="E225" s="71" t="str"/>
    </x:row>
    <x:row r="226">
      <x:c r="A226" s="91" t="n">
        <x:v>46259</x:v>
      </x:c>
      <x:c r="B226" s="66" t="str">
        <x:v>BR-005</x:v>
      </x:c>
      <x:c r="C226" s="66" t="str">
        <x:v>매출</x:v>
      </x:c>
      <x:c r="D226" s="97" t="n">
        <x:v>14500000</x:v>
      </x:c>
      <x:c r="E226" s="71" t="str"/>
    </x:row>
    <x:row r="227">
      <x:c r="A227" s="91" t="n">
        <x:v>46260</x:v>
      </x:c>
      <x:c r="B227" s="66" t="str">
        <x:v>BR-006</x:v>
      </x:c>
      <x:c r="C227" s="66" t="str">
        <x:v>매출</x:v>
      </x:c>
      <x:c r="D227" s="97" t="n">
        <x:v>13800000</x:v>
      </x:c>
      <x:c r="E227" s="71" t="str"/>
    </x:row>
    <x:row r="228">
      <x:c r="A228" s="91" t="n">
        <x:v>46261</x:v>
      </x:c>
      <x:c r="B228" s="66" t="str">
        <x:v>BR-007</x:v>
      </x:c>
      <x:c r="C228" s="66" t="str">
        <x:v>비용</x:v>
      </x:c>
      <x:c r="D228" s="97" t="n">
        <x:v>5400000</x:v>
      </x:c>
      <x:c r="E228" s="71" t="str"/>
    </x:row>
    <x:row r="229">
      <x:c r="A229" s="91" t="n">
        <x:v>46262</x:v>
      </x:c>
      <x:c r="B229" s="66" t="str">
        <x:v>BR-008</x:v>
      </x:c>
      <x:c r="C229" s="66" t="str">
        <x:v>매출</x:v>
      </x:c>
      <x:c r="D229" s="97" t="n">
        <x:v>15500000</x:v>
      </x:c>
      <x:c r="E229" s="71" t="str"/>
    </x:row>
    <x:row r="230">
      <x:c r="A230" s="91" t="n">
        <x:v>46235</x:v>
      </x:c>
      <x:c r="B230" s="66" t="str">
        <x:v>BR-009</x:v>
      </x:c>
      <x:c r="C230" s="66" t="str">
        <x:v>매출</x:v>
      </x:c>
      <x:c r="D230" s="97" t="n">
        <x:v>16400000</x:v>
      </x:c>
      <x:c r="E230" s="71" t="str"/>
    </x:row>
    <x:row r="231">
      <x:c r="A231" s="91" t="n">
        <x:v>46236</x:v>
      </x:c>
      <x:c r="B231" s="66" t="str">
        <x:v>BR-010</x:v>
      </x:c>
      <x:c r="C231" s="66" t="str">
        <x:v>비용</x:v>
      </x:c>
      <x:c r="D231" s="97" t="n">
        <x:v>3700000</x:v>
      </x:c>
      <x:c r="E231" s="71" t="str"/>
    </x:row>
    <x:row r="232">
      <x:c r="A232" s="91" t="n">
        <x:v>46237</x:v>
      </x:c>
      <x:c r="B232" s="66" t="str">
        <x:v>BR-011</x:v>
      </x:c>
      <x:c r="C232" s="66" t="str">
        <x:v>매출</x:v>
      </x:c>
      <x:c r="D232" s="97" t="n">
        <x:v>11500000</x:v>
      </x:c>
      <x:c r="E232" s="71" t="str"/>
    </x:row>
    <x:row r="233">
      <x:c r="A233" s="91" t="n">
        <x:v>46238</x:v>
      </x:c>
      <x:c r="B233" s="66" t="str">
        <x:v>BR-012</x:v>
      </x:c>
      <x:c r="C233" s="66" t="str">
        <x:v>매출</x:v>
      </x:c>
      <x:c r="D233" s="97" t="n">
        <x:v>12200000</x:v>
      </x:c>
      <x:c r="E233" s="71" t="str"/>
    </x:row>
    <x:row r="234">
      <x:c r="A234" s="91" t="n">
        <x:v>46239</x:v>
      </x:c>
      <x:c r="B234" s="66" t="str">
        <x:v>BR-013</x:v>
      </x:c>
      <x:c r="C234" s="66" t="str">
        <x:v>비용</x:v>
      </x:c>
      <x:c r="D234" s="97" t="n">
        <x:v>7900000</x:v>
      </x:c>
      <x:c r="E234" s="71" t="str"/>
    </x:row>
    <x:row r="235">
      <x:c r="A235" s="91" t="n">
        <x:v>46240</x:v>
      </x:c>
      <x:c r="B235" s="66" t="str">
        <x:v>BR-014</x:v>
      </x:c>
      <x:c r="C235" s="66" t="str">
        <x:v>매출</x:v>
      </x:c>
      <x:c r="D235" s="97" t="n">
        <x:v>12300000</x:v>
      </x:c>
      <x:c r="E235" s="71" t="str"/>
    </x:row>
    <x:row r="236">
      <x:c r="A236" s="91" t="n">
        <x:v>46241</x:v>
      </x:c>
      <x:c r="B236" s="66" t="str">
        <x:v>BR-015</x:v>
      </x:c>
      <x:c r="C236" s="66" t="str">
        <x:v>매출</x:v>
      </x:c>
      <x:c r="D236" s="97" t="n">
        <x:v>15900000</x:v>
      </x:c>
      <x:c r="E236" s="71" t="str"/>
    </x:row>
    <x:row r="237">
      <x:c r="A237" s="91" t="n">
        <x:v>46242</x:v>
      </x:c>
      <x:c r="B237" s="66" t="str">
        <x:v>BR-016</x:v>
      </x:c>
      <x:c r="C237" s="66" t="str">
        <x:v>비용</x:v>
      </x:c>
      <x:c r="D237" s="97" t="n">
        <x:v>15900000</x:v>
      </x:c>
      <x:c r="E237" s="71" t="str"/>
    </x:row>
    <x:row r="238">
      <x:c r="A238" s="91" t="n">
        <x:v>46243</x:v>
      </x:c>
      <x:c r="B238" s="66" t="str">
        <x:v>BR-017</x:v>
      </x:c>
      <x:c r="C238" s="66" t="str">
        <x:v>매출</x:v>
      </x:c>
      <x:c r="D238" s="97" t="n">
        <x:v>13200000</x:v>
      </x:c>
      <x:c r="E238" s="71" t="str"/>
    </x:row>
    <x:row r="239">
      <x:c r="A239" s="91" t="n">
        <x:v>46244</x:v>
      </x:c>
      <x:c r="B239" s="66" t="str">
        <x:v>BR-018</x:v>
      </x:c>
      <x:c r="C239" s="66" t="str">
        <x:v>매출</x:v>
      </x:c>
      <x:c r="D239" s="97" t="n">
        <x:v>11400000</x:v>
      </x:c>
      <x:c r="E239" s="71" t="str"/>
    </x:row>
    <x:row r="240">
      <x:c r="A240" s="91" t="n">
        <x:v>46245</x:v>
      </x:c>
      <x:c r="B240" s="66" t="str">
        <x:v>BR-019</x:v>
      </x:c>
      <x:c r="C240" s="66" t="str">
        <x:v>비용</x:v>
      </x:c>
      <x:c r="D240" s="97" t="n">
        <x:v>9300000</x:v>
      </x:c>
      <x:c r="E240" s="71" t="str"/>
    </x:row>
    <x:row r="241">
      <x:c r="A241" s="91" t="n">
        <x:v>46246</x:v>
      </x:c>
      <x:c r="B241" s="66" t="str">
        <x:v>BR-020</x:v>
      </x:c>
      <x:c r="C241" s="66" t="str">
        <x:v>매출</x:v>
      </x:c>
      <x:c r="D241" s="97" t="n">
        <x:v>15900000</x:v>
      </x:c>
      <x:c r="E241" s="71" t="str"/>
    </x:row>
    <x:row r="242">
      <x:c r="A242" s="91" t="n">
        <x:v>46247</x:v>
      </x:c>
      <x:c r="B242" s="66" t="str">
        <x:v>BR-021</x:v>
      </x:c>
      <x:c r="C242" s="66" t="str">
        <x:v>매출</x:v>
      </x:c>
      <x:c r="D242" s="97" t="n">
        <x:v>15100000</x:v>
      </x:c>
      <x:c r="E242" s="71" t="str"/>
    </x:row>
    <x:row r="243">
      <x:c r="A243" s="91" t="n">
        <x:v>46248</x:v>
      </x:c>
      <x:c r="B243" s="66" t="str">
        <x:v>BR-022</x:v>
      </x:c>
      <x:c r="C243" s="66" t="str">
        <x:v>비용</x:v>
      </x:c>
      <x:c r="D243" s="97" t="n">
        <x:v>10900000</x:v>
      </x:c>
      <x:c r="E243" s="71" t="str"/>
    </x:row>
    <x:row r="244">
      <x:c r="A244" s="91" t="n">
        <x:v>46249</x:v>
      </x:c>
      <x:c r="B244" s="66" t="str">
        <x:v>BR-023</x:v>
      </x:c>
      <x:c r="C244" s="66" t="str">
        <x:v>매출</x:v>
      </x:c>
      <x:c r="D244" s="97" t="n">
        <x:v>6900000</x:v>
      </x:c>
      <x:c r="E244" s="71" t="str"/>
    </x:row>
    <x:row r="245">
      <x:c r="A245" s="91" t="n">
        <x:v>46250</x:v>
      </x:c>
      <x:c r="B245" s="66" t="str">
        <x:v>BR-024</x:v>
      </x:c>
      <x:c r="C245" s="66" t="str">
        <x:v>매출</x:v>
      </x:c>
      <x:c r="D245" s="97" t="n">
        <x:v>3600000</x:v>
      </x:c>
      <x:c r="E245" s="71" t="str"/>
    </x:row>
    <x:row r="246">
      <x:c r="A246" s="91" t="n">
        <x:v>46251</x:v>
      </x:c>
      <x:c r="B246" s="66" t="str">
        <x:v>BR-025</x:v>
      </x:c>
      <x:c r="C246" s="66" t="str">
        <x:v>비용</x:v>
      </x:c>
      <x:c r="D246" s="97" t="n">
        <x:v>6800000</x:v>
      </x:c>
      <x:c r="E246" s="71" t="str"/>
    </x:row>
    <x:row r="247">
      <x:c r="A247" s="91" t="n">
        <x:v>46252</x:v>
      </x:c>
      <x:c r="B247" s="66" t="str">
        <x:v>BR-026</x:v>
      </x:c>
      <x:c r="C247" s="66" t="str">
        <x:v>매출</x:v>
      </x:c>
      <x:c r="D247" s="97" t="n">
        <x:v>15900000</x:v>
      </x:c>
      <x:c r="E247" s="71" t="str"/>
    </x:row>
    <x:row r="248">
      <x:c r="A248" s="91" t="n">
        <x:v>46253</x:v>
      </x:c>
      <x:c r="B248" s="66" t="str">
        <x:v>BR-027</x:v>
      </x:c>
      <x:c r="C248" s="66" t="str">
        <x:v>매출</x:v>
      </x:c>
      <x:c r="D248" s="97" t="n">
        <x:v>16500000</x:v>
      </x:c>
      <x:c r="E248" s="71" t="str"/>
    </x:row>
    <x:row r="249">
      <x:c r="A249" s="91" t="n">
        <x:v>46254</x:v>
      </x:c>
      <x:c r="B249" s="66" t="str">
        <x:v>BR-028</x:v>
      </x:c>
      <x:c r="C249" s="66" t="str">
        <x:v>비용</x:v>
      </x:c>
      <x:c r="D249" s="97" t="n">
        <x:v>12700000</x:v>
      </x:c>
      <x:c r="E249" s="71" t="str"/>
    </x:row>
    <x:row r="250">
      <x:c r="A250" s="91" t="n">
        <x:v>46255</x:v>
      </x:c>
      <x:c r="B250" s="66" t="str">
        <x:v>BR-029</x:v>
      </x:c>
      <x:c r="C250" s="66" t="str">
        <x:v>매출</x:v>
      </x:c>
      <x:c r="D250" s="97" t="n">
        <x:v>9200000</x:v>
      </x:c>
      <x:c r="E250" s="71" t="str"/>
    </x:row>
    <x:row r="251">
      <x:c r="A251" s="91" t="n">
        <x:v>46256</x:v>
      </x:c>
      <x:c r="B251" s="66" t="str">
        <x:v>BR-030</x:v>
      </x:c>
      <x:c r="C251" s="66" t="str">
        <x:v>매출</x:v>
      </x:c>
      <x:c r="D251" s="97" t="n">
        <x:v>7800000</x:v>
      </x:c>
      <x:c r="E251" s="71" t="str"/>
    </x:row>
    <x:row r="252">
      <x:c r="A252" s="91" t="n">
        <x:v>46257</x:v>
      </x:c>
      <x:c r="B252" s="66" t="str">
        <x:v>BR-031</x:v>
      </x:c>
      <x:c r="C252" s="66" t="str">
        <x:v>비용</x:v>
      </x:c>
      <x:c r="D252" s="97" t="n">
        <x:v>14600000</x:v>
      </x:c>
      <x:c r="E252" s="71" t="str"/>
    </x:row>
    <x:row r="253">
      <x:c r="A253" s="91" t="n">
        <x:v>46258</x:v>
      </x:c>
      <x:c r="B253" s="66" t="str">
        <x:v>BR-032</x:v>
      </x:c>
      <x:c r="C253" s="66" t="str">
        <x:v>매출</x:v>
      </x:c>
      <x:c r="D253" s="97" t="n">
        <x:v>15900000</x:v>
      </x:c>
      <x:c r="E253" s="71" t="str"/>
    </x:row>
    <x:row r="254">
      <x:c r="A254" s="91" t="n">
        <x:v>46259</x:v>
      </x:c>
      <x:c r="B254" s="66" t="str">
        <x:v>BR-033</x:v>
      </x:c>
      <x:c r="C254" s="66" t="str">
        <x:v>매출</x:v>
      </x:c>
      <x:c r="D254" s="97" t="n">
        <x:v>11000000</x:v>
      </x:c>
      <x:c r="E254" s="71" t="str"/>
    </x:row>
    <x:row r="255">
      <x:c r="A255" s="91" t="n">
        <x:v>46260</x:v>
      </x:c>
      <x:c r="B255" s="66" t="str">
        <x:v>BR-034</x:v>
      </x:c>
      <x:c r="C255" s="66" t="str">
        <x:v>비용</x:v>
      </x:c>
      <x:c r="D255" s="97" t="n">
        <x:v>11100000</x:v>
      </x:c>
      <x:c r="E255" s="71" t="str"/>
    </x:row>
    <x:row r="256">
      <x:c r="A256" s="91" t="n">
        <x:v>46261</x:v>
      </x:c>
      <x:c r="B256" s="66" t="str">
        <x:v>BR-035</x:v>
      </x:c>
      <x:c r="C256" s="66" t="str">
        <x:v>매출</x:v>
      </x:c>
      <x:c r="D256" s="97" t="n">
        <x:v>14400000</x:v>
      </x:c>
      <x:c r="E256" s="71" t="str"/>
    </x:row>
    <x:row r="257">
      <x:c r="A257" s="91" t="n">
        <x:v>46262</x:v>
      </x:c>
      <x:c r="B257" s="66" t="str">
        <x:v>BR-036</x:v>
      </x:c>
      <x:c r="C257" s="66" t="str">
        <x:v>매출</x:v>
      </x:c>
      <x:c r="D257" s="97" t="n">
        <x:v>8700000</x:v>
      </x:c>
      <x:c r="E257" s="71" t="str"/>
    </x:row>
    <x:row r="258">
      <x:c r="A258" s="91" t="n">
        <x:v>46235</x:v>
      </x:c>
      <x:c r="B258" s="66" t="str">
        <x:v>BR-001</x:v>
      </x:c>
      <x:c r="C258" s="66" t="str">
        <x:v>비용</x:v>
      </x:c>
      <x:c r="D258" s="97" t="n">
        <x:v>4700000</x:v>
      </x:c>
      <x:c r="E258" s="71" t="str"/>
    </x:row>
    <x:row r="259">
      <x:c r="A259" s="91" t="n">
        <x:v>46236</x:v>
      </x:c>
      <x:c r="B259" s="66" t="str">
        <x:v>BR-002</x:v>
      </x:c>
      <x:c r="C259" s="66" t="str">
        <x:v>매출</x:v>
      </x:c>
      <x:c r="D259" s="97" t="n">
        <x:v>8100000</x:v>
      </x:c>
      <x:c r="E259" s="71" t="str"/>
    </x:row>
    <x:row r="260">
      <x:c r="A260" s="91" t="n">
        <x:v>46237</x:v>
      </x:c>
      <x:c r="B260" s="66" t="str">
        <x:v>BR-003</x:v>
      </x:c>
      <x:c r="C260" s="66" t="str">
        <x:v>매출</x:v>
      </x:c>
      <x:c r="D260" s="97" t="n">
        <x:v>9200000</x:v>
      </x:c>
      <x:c r="E260" s="71" t="str"/>
    </x:row>
    <x:row r="261">
      <x:c r="A261" s="91" t="n">
        <x:v>46238</x:v>
      </x:c>
      <x:c r="B261" s="66" t="str">
        <x:v>BR-004</x:v>
      </x:c>
      <x:c r="C261" s="66" t="str">
        <x:v>비용</x:v>
      </x:c>
      <x:c r="D261" s="97" t="n">
        <x:v>12100000</x:v>
      </x:c>
      <x:c r="E261" s="71" t="str"/>
    </x:row>
    <x:row r="262">
      <x:c r="A262" s="91" t="n">
        <x:v>46239</x:v>
      </x:c>
      <x:c r="B262" s="66" t="str">
        <x:v>BR-005</x:v>
      </x:c>
      <x:c r="C262" s="66" t="str">
        <x:v>매출</x:v>
      </x:c>
      <x:c r="D262" s="97" t="n">
        <x:v>6100000</x:v>
      </x:c>
      <x:c r="E262" s="71" t="str"/>
    </x:row>
    <x:row r="263">
      <x:c r="A263" s="91" t="n">
        <x:v>46240</x:v>
      </x:c>
      <x:c r="B263" s="66" t="str">
        <x:v>BR-006</x:v>
      </x:c>
      <x:c r="C263" s="66" t="str">
        <x:v>매출</x:v>
      </x:c>
      <x:c r="D263" s="97" t="n">
        <x:v>9000000</x:v>
      </x:c>
      <x:c r="E263" s="71" t="str"/>
    </x:row>
    <x:row r="264">
      <x:c r="A264" s="91" t="n">
        <x:v>46241</x:v>
      </x:c>
      <x:c r="B264" s="66" t="str">
        <x:v>BR-007</x:v>
      </x:c>
      <x:c r="C264" s="66" t="str">
        <x:v>비용</x:v>
      </x:c>
      <x:c r="D264" s="97" t="n">
        <x:v>12900000</x:v>
      </x:c>
      <x:c r="E264" s="71" t="str"/>
    </x:row>
    <x:row r="265">
      <x:c r="A265" s="91" t="n">
        <x:v>46242</x:v>
      </x:c>
      <x:c r="B265" s="66" t="str">
        <x:v>BR-008</x:v>
      </x:c>
      <x:c r="C265" s="66" t="str">
        <x:v>매출</x:v>
      </x:c>
      <x:c r="D265" s="97" t="n">
        <x:v>17000000</x:v>
      </x:c>
      <x:c r="E265" s="71" t="str"/>
    </x:row>
    <x:row r="266">
      <x:c r="A266" s="91" t="n">
        <x:v>46243</x:v>
      </x:c>
      <x:c r="B266" s="66" t="str">
        <x:v>BR-009</x:v>
      </x:c>
      <x:c r="C266" s="66" t="str">
        <x:v>매출</x:v>
      </x:c>
      <x:c r="D266" s="97" t="n">
        <x:v>8600000</x:v>
      </x:c>
      <x:c r="E266" s="71" t="str"/>
    </x:row>
    <x:row r="267">
      <x:c r="A267" s="91" t="n">
        <x:v>46244</x:v>
      </x:c>
      <x:c r="B267" s="66" t="str">
        <x:v>BR-010</x:v>
      </x:c>
      <x:c r="C267" s="66" t="str">
        <x:v>비용</x:v>
      </x:c>
      <x:c r="D267" s="97" t="n">
        <x:v>5000000</x:v>
      </x:c>
      <x:c r="E267" s="71" t="str"/>
    </x:row>
    <x:row r="268">
      <x:c r="A268" s="91" t="n">
        <x:v>46245</x:v>
      </x:c>
      <x:c r="B268" s="66" t="str">
        <x:v>BR-011</x:v>
      </x:c>
      <x:c r="C268" s="66" t="str">
        <x:v>매출</x:v>
      </x:c>
      <x:c r="D268" s="97" t="n">
        <x:v>8400000</x:v>
      </x:c>
      <x:c r="E268" s="71" t="str"/>
    </x:row>
    <x:row r="269">
      <x:c r="A269" s="91" t="n">
        <x:v>46246</x:v>
      </x:c>
      <x:c r="B269" s="66" t="str">
        <x:v>BR-012</x:v>
      </x:c>
      <x:c r="C269" s="66" t="str">
        <x:v>매출</x:v>
      </x:c>
      <x:c r="D269" s="97" t="n">
        <x:v>10300000</x:v>
      </x:c>
      <x:c r="E269" s="71" t="str"/>
    </x:row>
    <x:row r="270">
      <x:c r="A270" s="91" t="n">
        <x:v>46247</x:v>
      </x:c>
      <x:c r="B270" s="66" t="str">
        <x:v>BR-013</x:v>
      </x:c>
      <x:c r="C270" s="66" t="str">
        <x:v>비용</x:v>
      </x:c>
      <x:c r="D270" s="97" t="n">
        <x:v>14900000</x:v>
      </x:c>
      <x:c r="E270" s="71" t="str"/>
    </x:row>
    <x:row r="271">
      <x:c r="A271" s="91" t="n">
        <x:v>46248</x:v>
      </x:c>
      <x:c r="B271" s="66" t="str">
        <x:v>BR-014</x:v>
      </x:c>
      <x:c r="C271" s="66" t="str">
        <x:v>매출</x:v>
      </x:c>
      <x:c r="D271" s="97" t="n">
        <x:v>15600000</x:v>
      </x:c>
      <x:c r="E271" s="71" t="str"/>
    </x:row>
    <x:row r="272">
      <x:c r="A272" s="91" t="n">
        <x:v>46249</x:v>
      </x:c>
      <x:c r="B272" s="66" t="str">
        <x:v>BR-015</x:v>
      </x:c>
      <x:c r="C272" s="66" t="str">
        <x:v>매출</x:v>
      </x:c>
      <x:c r="D272" s="97" t="n">
        <x:v>11400000</x:v>
      </x:c>
      <x:c r="E272" s="71" t="str"/>
    </x:row>
    <x:row r="273">
      <x:c r="A273" s="91" t="n">
        <x:v>46250</x:v>
      </x:c>
      <x:c r="B273" s="66" t="str">
        <x:v>BR-016</x:v>
      </x:c>
      <x:c r="C273" s="66" t="str">
        <x:v>비용</x:v>
      </x:c>
      <x:c r="D273" s="97" t="n">
        <x:v>5200000</x:v>
      </x:c>
      <x:c r="E273" s="71" t="str"/>
    </x:row>
    <x:row r="274">
      <x:c r="A274" s="91" t="n">
        <x:v>46251</x:v>
      </x:c>
      <x:c r="B274" s="66" t="str">
        <x:v>BR-017</x:v>
      </x:c>
      <x:c r="C274" s="66" t="str">
        <x:v>매출</x:v>
      </x:c>
      <x:c r="D274" s="97" t="n">
        <x:v>7200000</x:v>
      </x:c>
      <x:c r="E274" s="71" t="str"/>
    </x:row>
    <x:row r="275">
      <x:c r="A275" s="91" t="n">
        <x:v>46252</x:v>
      </x:c>
      <x:c r="B275" s="66" t="str">
        <x:v>BR-018</x:v>
      </x:c>
      <x:c r="C275" s="66" t="str">
        <x:v>매출</x:v>
      </x:c>
      <x:c r="D275" s="97" t="n">
        <x:v>11500000</x:v>
      </x:c>
      <x:c r="E275" s="71" t="str"/>
    </x:row>
    <x:row r="276">
      <x:c r="A276" s="91" t="n">
        <x:v>46253</x:v>
      </x:c>
      <x:c r="B276" s="66" t="str">
        <x:v>BR-019</x:v>
      </x:c>
      <x:c r="C276" s="66" t="str">
        <x:v>비용</x:v>
      </x:c>
      <x:c r="D276" s="97" t="n">
        <x:v>6600000</x:v>
      </x:c>
      <x:c r="E276" s="71" t="str"/>
    </x:row>
    <x:row r="277">
      <x:c r="A277" s="91" t="n">
        <x:v>46254</x:v>
      </x:c>
      <x:c r="B277" s="66" t="str">
        <x:v>BR-020</x:v>
      </x:c>
      <x:c r="C277" s="66" t="str">
        <x:v>매출</x:v>
      </x:c>
      <x:c r="D277" s="97" t="n">
        <x:v>3700000</x:v>
      </x:c>
      <x:c r="E277" s="71" t="str"/>
    </x:row>
    <x:row r="278">
      <x:c r="A278" s="91" t="n">
        <x:v>46255</x:v>
      </x:c>
      <x:c r="B278" s="66" t="str">
        <x:v>BR-021</x:v>
      </x:c>
      <x:c r="C278" s="66" t="str">
        <x:v>매출</x:v>
      </x:c>
      <x:c r="D278" s="97" t="n">
        <x:v>3300000</x:v>
      </x:c>
      <x:c r="E278" s="71" t="str"/>
    </x:row>
    <x:row r="279">
      <x:c r="A279" s="91" t="n">
        <x:v>46256</x:v>
      </x:c>
      <x:c r="B279" s="66" t="str">
        <x:v>BR-022</x:v>
      </x:c>
      <x:c r="C279" s="66" t="str">
        <x:v>비용</x:v>
      </x:c>
      <x:c r="D279" s="97" t="n">
        <x:v>5200000</x:v>
      </x:c>
      <x:c r="E279" s="71" t="str"/>
    </x:row>
    <x:row r="280">
      <x:c r="A280" s="91" t="n">
        <x:v>46257</x:v>
      </x:c>
      <x:c r="B280" s="66" t="str">
        <x:v>BR-023</x:v>
      </x:c>
      <x:c r="C280" s="66" t="str">
        <x:v>매출</x:v>
      </x:c>
      <x:c r="D280" s="97" t="n">
        <x:v>15700000</x:v>
      </x:c>
      <x:c r="E280" s="71" t="str"/>
    </x:row>
    <x:row r="281">
      <x:c r="A281" s="91" t="n">
        <x:v>46258</x:v>
      </x:c>
      <x:c r="B281" s="66" t="str">
        <x:v>BR-024</x:v>
      </x:c>
      <x:c r="C281" s="66" t="str">
        <x:v>매출</x:v>
      </x:c>
      <x:c r="D281" s="97" t="n">
        <x:v>14200000</x:v>
      </x:c>
      <x:c r="E281" s="71" t="str"/>
    </x:row>
    <x:row r="282">
      <x:c r="A282" s="91" t="n">
        <x:v>46259</x:v>
      </x:c>
      <x:c r="B282" s="66" t="str">
        <x:v>BR-025</x:v>
      </x:c>
      <x:c r="C282" s="66" t="str">
        <x:v>비용</x:v>
      </x:c>
      <x:c r="D282" s="97" t="n">
        <x:v>11600000</x:v>
      </x:c>
      <x:c r="E282" s="71" t="str"/>
    </x:row>
    <x:row r="283">
      <x:c r="A283" s="91" t="n">
        <x:v>46260</x:v>
      </x:c>
      <x:c r="B283" s="66" t="str">
        <x:v>BR-026</x:v>
      </x:c>
      <x:c r="C283" s="66" t="str">
        <x:v>매출</x:v>
      </x:c>
      <x:c r="D283" s="97" t="n">
        <x:v>12200000</x:v>
      </x:c>
      <x:c r="E283" s="71" t="str"/>
    </x:row>
    <x:row r="284">
      <x:c r="A284" s="91" t="n">
        <x:v>46261</x:v>
      </x:c>
      <x:c r="B284" s="66" t="str">
        <x:v>BR-027</x:v>
      </x:c>
      <x:c r="C284" s="66" t="str">
        <x:v>매출</x:v>
      </x:c>
      <x:c r="D284" s="97" t="n">
        <x:v>17400000</x:v>
      </x:c>
      <x:c r="E284" s="71" t="str"/>
    </x:row>
    <x:row r="285">
      <x:c r="A285" s="91" t="n">
        <x:v>46262</x:v>
      </x:c>
      <x:c r="B285" s="66" t="str">
        <x:v>BR-028</x:v>
      </x:c>
      <x:c r="C285" s="66" t="str">
        <x:v>비용</x:v>
      </x:c>
      <x:c r="D285" s="97" t="n">
        <x:v>12200000</x:v>
      </x:c>
      <x:c r="E285" s="71" t="str"/>
    </x:row>
    <x:row r="286">
      <x:c r="A286" s="91" t="n">
        <x:v>46235</x:v>
      </x:c>
      <x:c r="B286" s="66" t="str">
        <x:v>BR-029</x:v>
      </x:c>
      <x:c r="C286" s="66" t="str">
        <x:v>매출</x:v>
      </x:c>
      <x:c r="D286" s="97" t="n">
        <x:v>5000000</x:v>
      </x:c>
      <x:c r="E286" s="71" t="str"/>
    </x:row>
    <x:row r="287">
      <x:c r="A287" s="91" t="n">
        <x:v>46236</x:v>
      </x:c>
      <x:c r="B287" s="66" t="str">
        <x:v>BR-030</x:v>
      </x:c>
      <x:c r="C287" s="66" t="str">
        <x:v>매출</x:v>
      </x:c>
      <x:c r="D287" s="97" t="n">
        <x:v>16900000</x:v>
      </x:c>
      <x:c r="E287" s="71" t="str"/>
    </x:row>
    <x:row r="288">
      <x:c r="A288" s="91" t="n">
        <x:v>46237</x:v>
      </x:c>
      <x:c r="B288" s="66" t="str">
        <x:v>BR-031</x:v>
      </x:c>
      <x:c r="C288" s="66" t="str">
        <x:v>비용</x:v>
      </x:c>
      <x:c r="D288" s="97" t="n">
        <x:v>11900000</x:v>
      </x:c>
      <x:c r="E288" s="71" t="str"/>
    </x:row>
    <x:row r="289">
      <x:c r="A289" s="91" t="n">
        <x:v>46238</x:v>
      </x:c>
      <x:c r="B289" s="66" t="str">
        <x:v>BR-032</x:v>
      </x:c>
      <x:c r="C289" s="66" t="str">
        <x:v>매출</x:v>
      </x:c>
      <x:c r="D289" s="97" t="n">
        <x:v>9400000</x:v>
      </x:c>
      <x:c r="E289" s="71" t="str"/>
    </x:row>
    <x:row r="290">
      <x:c r="A290" s="91" t="n">
        <x:v>46239</x:v>
      </x:c>
      <x:c r="B290" s="66" t="str">
        <x:v>BR-033</x:v>
      </x:c>
      <x:c r="C290" s="66" t="str">
        <x:v>매출</x:v>
      </x:c>
      <x:c r="D290" s="97" t="n">
        <x:v>8600000</x:v>
      </x:c>
      <x:c r="E290" s="71" t="str"/>
    </x:row>
    <x:row r="291">
      <x:c r="A291" s="91" t="n">
        <x:v>46240</x:v>
      </x:c>
      <x:c r="B291" s="66" t="str">
        <x:v>BR-034</x:v>
      </x:c>
      <x:c r="C291" s="66" t="str">
        <x:v>비용</x:v>
      </x:c>
      <x:c r="D291" s="97" t="n">
        <x:v>16600000</x:v>
      </x:c>
      <x:c r="E291" s="71" t="str"/>
    </x:row>
    <x:row r="292">
      <x:c r="A292" s="91" t="n">
        <x:v>46241</x:v>
      </x:c>
      <x:c r="B292" s="66" t="str">
        <x:v>BR-035</x:v>
      </x:c>
      <x:c r="C292" s="66" t="str">
        <x:v>매출</x:v>
      </x:c>
      <x:c r="D292" s="97" t="n">
        <x:v>17500000</x:v>
      </x:c>
      <x:c r="E292" s="71" t="str"/>
    </x:row>
    <x:row r="293">
      <x:c r="A293" s="91" t="n">
        <x:v>46242</x:v>
      </x:c>
      <x:c r="B293" s="66" t="str">
        <x:v>BR-036</x:v>
      </x:c>
      <x:c r="C293" s="66" t="str">
        <x:v>매출</x:v>
      </x:c>
      <x:c r="D293" s="97" t="n">
        <x:v>13100000</x:v>
      </x:c>
      <x:c r="E293" s="71" t="str"/>
    </x:row>
    <x:row r="294">
      <x:c r="A294" s="91" t="n">
        <x:v>46243</x:v>
      </x:c>
      <x:c r="B294" s="66" t="str">
        <x:v>BR-001</x:v>
      </x:c>
      <x:c r="C294" s="66" t="str">
        <x:v>비용</x:v>
      </x:c>
      <x:c r="D294" s="97" t="n">
        <x:v>17000000</x:v>
      </x:c>
      <x:c r="E294" s="71" t="str"/>
    </x:row>
    <x:row r="295">
      <x:c r="A295" s="91" t="n">
        <x:v>46244</x:v>
      </x:c>
      <x:c r="B295" s="66" t="str">
        <x:v>BR-002</x:v>
      </x:c>
      <x:c r="C295" s="66" t="str">
        <x:v>매출</x:v>
      </x:c>
      <x:c r="D295" s="97" t="n">
        <x:v>7200000</x:v>
      </x:c>
      <x:c r="E295" s="71" t="str"/>
    </x:row>
    <x:row r="296">
      <x:c r="A296" s="91" t="n">
        <x:v>46245</x:v>
      </x:c>
      <x:c r="B296" s="66" t="str">
        <x:v>BR-003</x:v>
      </x:c>
      <x:c r="C296" s="66" t="str">
        <x:v>매출</x:v>
      </x:c>
      <x:c r="D296" s="97" t="n">
        <x:v>12200000</x:v>
      </x:c>
      <x:c r="E296" s="71" t="str"/>
    </x:row>
    <x:row r="297">
      <x:c r="A297" s="91" t="n">
        <x:v>46246</x:v>
      </x:c>
      <x:c r="B297" s="66" t="str">
        <x:v>BR-004</x:v>
      </x:c>
      <x:c r="C297" s="66" t="str">
        <x:v>비용</x:v>
      </x:c>
      <x:c r="D297" s="97" t="n">
        <x:v>12100000</x:v>
      </x:c>
      <x:c r="E297" s="71" t="str"/>
    </x:row>
    <x:row r="298">
      <x:c r="A298" s="91" t="n">
        <x:v>46247</x:v>
      </x:c>
      <x:c r="B298" s="66" t="str">
        <x:v>BR-005</x:v>
      </x:c>
      <x:c r="C298" s="66" t="str">
        <x:v>매출</x:v>
      </x:c>
      <x:c r="D298" s="97" t="n">
        <x:v>14400000</x:v>
      </x:c>
      <x:c r="E298" s="71" t="str"/>
    </x:row>
    <x:row r="299">
      <x:c r="A299" s="91" t="n">
        <x:v>46248</x:v>
      </x:c>
      <x:c r="B299" s="66" t="str">
        <x:v>BR-006</x:v>
      </x:c>
      <x:c r="C299" s="66" t="str">
        <x:v>매출</x:v>
      </x:c>
      <x:c r="D299" s="97" t="n">
        <x:v>10400000</x:v>
      </x:c>
      <x:c r="E299" s="71" t="str"/>
    </x:row>
    <x:row r="300">
      <x:c r="A300" s="91" t="n">
        <x:v>46249</x:v>
      </x:c>
      <x:c r="B300" s="66" t="str">
        <x:v>BR-007</x:v>
      </x:c>
      <x:c r="C300" s="66" t="str">
        <x:v>비용</x:v>
      </x:c>
      <x:c r="D300" s="97" t="n">
        <x:v>16500000</x:v>
      </x:c>
      <x:c r="E300" s="71" t="str"/>
    </x:row>
    <x:row r="301">
      <x:c r="A301" s="91" t="n">
        <x:v>46250</x:v>
      </x:c>
      <x:c r="B301" s="66" t="str">
        <x:v>BR-008</x:v>
      </x:c>
      <x:c r="C301" s="66" t="str">
        <x:v>매출</x:v>
      </x:c>
      <x:c r="D301" s="97" t="n">
        <x:v>17400000</x:v>
      </x:c>
      <x:c r="E301" s="71" t="str"/>
    </x:row>
    <x:row r="302">
      <x:c r="A302" s="91" t="n">
        <x:v>46251</x:v>
      </x:c>
      <x:c r="B302" s="66" t="str">
        <x:v>BR-009</x:v>
      </x:c>
      <x:c r="C302" s="66" t="str">
        <x:v>매출</x:v>
      </x:c>
      <x:c r="D302" s="97" t="n">
        <x:v>11400000</x:v>
      </x:c>
      <x:c r="E302" s="71" t="str"/>
    </x:row>
    <x:row r="303">
      <x:c r="A303" s="91" t="n">
        <x:v>46252</x:v>
      </x:c>
      <x:c r="B303" s="66" t="str">
        <x:v>BR-010</x:v>
      </x:c>
      <x:c r="C303" s="66" t="str">
        <x:v>비용</x:v>
      </x:c>
      <x:c r="D303" s="97" t="n">
        <x:v>3700000</x:v>
      </x:c>
      <x:c r="E303" s="71" t="str"/>
    </x:row>
    <x:row r="304">
      <x:c r="A304" s="91" t="n">
        <x:v>46253</x:v>
      </x:c>
      <x:c r="B304" s="66" t="str">
        <x:v>BR-011</x:v>
      </x:c>
      <x:c r="C304" s="66" t="str">
        <x:v>매출</x:v>
      </x:c>
      <x:c r="D304" s="97" t="n">
        <x:v>9400000</x:v>
      </x:c>
      <x:c r="E304" s="71" t="str"/>
    </x:row>
    <x:row r="305">
      <x:c r="A305" s="91" t="n">
        <x:v>46254</x:v>
      </x:c>
      <x:c r="B305" s="66" t="str">
        <x:v>BR-012</x:v>
      </x:c>
      <x:c r="C305" s="66" t="str">
        <x:v>매출</x:v>
      </x:c>
      <x:c r="D305" s="97" t="n">
        <x:v>16900000</x:v>
      </x:c>
      <x:c r="E305" s="71" t="str"/>
    </x:row>
    <x:row r="306">
      <x:c r="A306" s="91" t="n">
        <x:v>46255</x:v>
      </x:c>
      <x:c r="B306" s="66" t="str">
        <x:v>BR-013</x:v>
      </x:c>
      <x:c r="C306" s="66" t="str">
        <x:v>비용</x:v>
      </x:c>
      <x:c r="D306" s="97" t="n">
        <x:v>14400000</x:v>
      </x:c>
      <x:c r="E306" s="71" t="str"/>
    </x:row>
    <x:row r="307">
      <x:c r="A307" s="91" t="n">
        <x:v>46256</x:v>
      </x:c>
      <x:c r="B307" s="66" t="str">
        <x:v>BR-014</x:v>
      </x:c>
      <x:c r="C307" s="66" t="str">
        <x:v>매출</x:v>
      </x:c>
      <x:c r="D307" s="97" t="n">
        <x:v>16300000</x:v>
      </x:c>
      <x:c r="E307" s="71" t="str"/>
    </x:row>
    <x:row r="308">
      <x:c r="A308" s="91" t="n">
        <x:v>46257</x:v>
      </x:c>
      <x:c r="B308" s="66" t="str">
        <x:v>BR-015</x:v>
      </x:c>
      <x:c r="C308" s="66" t="str">
        <x:v>매출</x:v>
      </x:c>
      <x:c r="D308" s="97" t="n">
        <x:v>9600000</x:v>
      </x:c>
      <x:c r="E308" s="71" t="str"/>
    </x:row>
    <x:row r="309">
      <x:c r="A309" s="91" t="n">
        <x:v>46258</x:v>
      </x:c>
      <x:c r="B309" s="66" t="str">
        <x:v>BR-016</x:v>
      </x:c>
      <x:c r="C309" s="66" t="str">
        <x:v>비용</x:v>
      </x:c>
      <x:c r="D309" s="97" t="n">
        <x:v>3400000</x:v>
      </x:c>
      <x:c r="E309" s="71" t="str"/>
    </x:row>
    <x:row r="310">
      <x:c r="A310" s="91" t="n">
        <x:v>46259</x:v>
      </x:c>
      <x:c r="B310" s="66" t="str">
        <x:v>BR-017</x:v>
      </x:c>
      <x:c r="C310" s="66" t="str">
        <x:v>매출</x:v>
      </x:c>
      <x:c r="D310" s="97" t="n">
        <x:v>10500000</x:v>
      </x:c>
      <x:c r="E310" s="71" t="str"/>
    </x:row>
    <x:row r="311">
      <x:c r="A311" s="91" t="n">
        <x:v>46260</x:v>
      </x:c>
      <x:c r="B311" s="66" t="str">
        <x:v>BR-018</x:v>
      </x:c>
      <x:c r="C311" s="66" t="str">
        <x:v>매출</x:v>
      </x:c>
      <x:c r="D311" s="97" t="n">
        <x:v>7800000</x:v>
      </x:c>
      <x:c r="E311" s="71" t="str"/>
    </x:row>
    <x:row r="312">
      <x:c r="A312" s="91" t="n">
        <x:v>46261</x:v>
      </x:c>
      <x:c r="B312" s="66" t="str">
        <x:v>BR-019</x:v>
      </x:c>
      <x:c r="C312" s="66" t="str">
        <x:v>비용</x:v>
      </x:c>
      <x:c r="D312" s="97" t="n">
        <x:v>16500000</x:v>
      </x:c>
      <x:c r="E312" s="71" t="str"/>
    </x:row>
    <x:row r="313">
      <x:c r="A313" s="91" t="n">
        <x:v>46262</x:v>
      </x:c>
      <x:c r="B313" s="66" t="str">
        <x:v>BR-020</x:v>
      </x:c>
      <x:c r="C313" s="66" t="str">
        <x:v>매출</x:v>
      </x:c>
      <x:c r="D313" s="97" t="n">
        <x:v>10700000</x:v>
      </x:c>
      <x:c r="E313" s="71" t="str"/>
    </x:row>
    <x:row r="314">
      <x:c r="A314" s="91" t="n">
        <x:v>46235</x:v>
      </x:c>
      <x:c r="B314" s="66" t="str">
        <x:v>BR-021</x:v>
      </x:c>
      <x:c r="C314" s="66" t="str">
        <x:v>매출</x:v>
      </x:c>
      <x:c r="D314" s="97" t="n">
        <x:v>16000000</x:v>
      </x:c>
      <x:c r="E314" s="71" t="str"/>
    </x:row>
    <x:row r="315">
      <x:c r="A315" s="91" t="n">
        <x:v>46236</x:v>
      </x:c>
      <x:c r="B315" s="66" t="str">
        <x:v>BR-022</x:v>
      </x:c>
      <x:c r="C315" s="66" t="str">
        <x:v>비용</x:v>
      </x:c>
      <x:c r="D315" s="97" t="n">
        <x:v>9000000</x:v>
      </x:c>
      <x:c r="E315" s="71" t="str"/>
    </x:row>
    <x:row r="316">
      <x:c r="A316" s="91" t="n">
        <x:v>46237</x:v>
      </x:c>
      <x:c r="B316" s="66" t="str">
        <x:v>BR-023</x:v>
      </x:c>
      <x:c r="C316" s="66" t="str">
        <x:v>매출</x:v>
      </x:c>
      <x:c r="D316" s="97" t="n">
        <x:v>16000000</x:v>
      </x:c>
      <x:c r="E316" s="71" t="str"/>
    </x:row>
    <x:row r="317">
      <x:c r="A317" s="91" t="n">
        <x:v>46238</x:v>
      </x:c>
      <x:c r="B317" s="66" t="str">
        <x:v>BR-024</x:v>
      </x:c>
      <x:c r="C317" s="66" t="str">
        <x:v>매출</x:v>
      </x:c>
      <x:c r="D317" s="97" t="n">
        <x:v>14400000</x:v>
      </x:c>
      <x:c r="E317" s="71" t="str"/>
    </x:row>
    <x:row r="318">
      <x:c r="A318" s="91" t="n">
        <x:v>46239</x:v>
      </x:c>
      <x:c r="B318" s="66" t="str">
        <x:v>BR-025</x:v>
      </x:c>
      <x:c r="C318" s="66" t="str">
        <x:v>비용</x:v>
      </x:c>
      <x:c r="D318" s="97" t="n">
        <x:v>17400000</x:v>
      </x:c>
      <x:c r="E318" s="71" t="str"/>
    </x:row>
    <x:row r="319">
      <x:c r="A319" s="91" t="n">
        <x:v>46240</x:v>
      </x:c>
      <x:c r="B319" s="66" t="str">
        <x:v>BR-026</x:v>
      </x:c>
      <x:c r="C319" s="66" t="str">
        <x:v>매출</x:v>
      </x:c>
      <x:c r="D319" s="97" t="n">
        <x:v>6000000</x:v>
      </x:c>
      <x:c r="E319" s="71" t="str"/>
    </x:row>
    <x:row r="320">
      <x:c r="A320" s="91" t="n">
        <x:v>46241</x:v>
      </x:c>
      <x:c r="B320" s="66" t="str">
        <x:v>BR-027</x:v>
      </x:c>
      <x:c r="C320" s="66" t="str">
        <x:v>매출</x:v>
      </x:c>
      <x:c r="D320" s="97" t="n">
        <x:v>6000000</x:v>
      </x:c>
      <x:c r="E320" s="71" t="str"/>
    </x:row>
    <x:row r="321">
      <x:c r="A321" s="91" t="n">
        <x:v>46242</x:v>
      </x:c>
      <x:c r="B321" s="66" t="str">
        <x:v>BR-028</x:v>
      </x:c>
      <x:c r="C321" s="66" t="str">
        <x:v>비용</x:v>
      </x:c>
      <x:c r="D321" s="97" t="n">
        <x:v>10600000</x:v>
      </x:c>
      <x:c r="E321" s="71" t="str"/>
    </x:row>
    <x:row r="322">
      <x:c r="A322" s="91" t="n">
        <x:v>46243</x:v>
      </x:c>
      <x:c r="B322" s="66" t="str">
        <x:v>BR-029</x:v>
      </x:c>
      <x:c r="C322" s="66" t="str">
        <x:v>매출</x:v>
      </x:c>
      <x:c r="D322" s="97" t="n">
        <x:v>11200000</x:v>
      </x:c>
      <x:c r="E322" s="71" t="str"/>
    </x:row>
    <x:row r="323">
      <x:c r="A323" s="91" t="n">
        <x:v>46244</x:v>
      </x:c>
      <x:c r="B323" s="66" t="str">
        <x:v>BR-030</x:v>
      </x:c>
      <x:c r="C323" s="66" t="str">
        <x:v>매출</x:v>
      </x:c>
      <x:c r="D323" s="97" t="n">
        <x:v>16200000</x:v>
      </x:c>
      <x:c r="E323" s="71" t="str"/>
    </x:row>
    <x:row r="324">
      <x:c r="A324" s="91" t="n">
        <x:v>46245</x:v>
      </x:c>
      <x:c r="B324" s="66" t="str">
        <x:v>BR-031</x:v>
      </x:c>
      <x:c r="C324" s="66" t="str">
        <x:v>비용</x:v>
      </x:c>
      <x:c r="D324" s="97" t="n">
        <x:v>5600000</x:v>
      </x:c>
      <x:c r="E324" s="71" t="str"/>
    </x:row>
    <x:row r="325">
      <x:c r="A325" s="91" t="n">
        <x:v>46246</x:v>
      </x:c>
      <x:c r="B325" s="66" t="str">
        <x:v>BR-032</x:v>
      </x:c>
      <x:c r="C325" s="66" t="str">
        <x:v>매출</x:v>
      </x:c>
      <x:c r="D325" s="97" t="n">
        <x:v>16200000</x:v>
      </x:c>
      <x:c r="E325" s="71" t="str"/>
    </x:row>
    <x:row r="326">
      <x:c r="A326" s="91" t="n">
        <x:v>46247</x:v>
      </x:c>
      <x:c r="B326" s="66" t="str">
        <x:v>BR-033</x:v>
      </x:c>
      <x:c r="C326" s="66" t="str">
        <x:v>매출</x:v>
      </x:c>
      <x:c r="D326" s="97" t="n">
        <x:v>12800000</x:v>
      </x:c>
      <x:c r="E326" s="71" t="str"/>
    </x:row>
    <x:row r="327">
      <x:c r="A327" s="91" t="n">
        <x:v>46248</x:v>
      </x:c>
      <x:c r="B327" s="66" t="str">
        <x:v>BR-034</x:v>
      </x:c>
      <x:c r="C327" s="66" t="str">
        <x:v>비용</x:v>
      </x:c>
      <x:c r="D327" s="97" t="n">
        <x:v>9800000</x:v>
      </x:c>
      <x:c r="E327" s="71" t="str"/>
    </x:row>
    <x:row r="328">
      <x:c r="A328" s="91" t="n">
        <x:v>46249</x:v>
      </x:c>
      <x:c r="B328" s="66" t="str">
        <x:v>BR-035</x:v>
      </x:c>
      <x:c r="C328" s="66" t="str">
        <x:v>매출</x:v>
      </x:c>
      <x:c r="D328" s="97" t="n">
        <x:v>4600000</x:v>
      </x:c>
      <x:c r="E328" s="71" t="str"/>
    </x:row>
    <x:row r="329">
      <x:c r="A329" s="91" t="n">
        <x:v>46250</x:v>
      </x:c>
      <x:c r="B329" s="66" t="str">
        <x:v>BR-036</x:v>
      </x:c>
      <x:c r="C329" s="66" t="str">
        <x:v>매출</x:v>
      </x:c>
      <x:c r="D329" s="97" t="n">
        <x:v>15200000</x:v>
      </x:c>
      <x:c r="E329" s="71" t="str"/>
    </x:row>
    <x:row r="330">
      <x:c r="A330" s="91" t="n">
        <x:v>46251</x:v>
      </x:c>
      <x:c r="B330" s="66" t="str">
        <x:v>BR-001</x:v>
      </x:c>
      <x:c r="C330" s="66" t="str">
        <x:v>비용</x:v>
      </x:c>
      <x:c r="D330" s="97" t="n">
        <x:v>16900000</x:v>
      </x:c>
      <x:c r="E330" s="71" t="str"/>
    </x:row>
    <x:row r="331">
      <x:c r="A331" s="91" t="n">
        <x:v>46252</x:v>
      </x:c>
      <x:c r="B331" s="66" t="str">
        <x:v>BR-002</x:v>
      </x:c>
      <x:c r="C331" s="66" t="str">
        <x:v>매출</x:v>
      </x:c>
      <x:c r="D331" s="97" t="n">
        <x:v>11800000</x:v>
      </x:c>
      <x:c r="E331" s="71" t="str"/>
    </x:row>
    <x:row r="332">
      <x:c r="A332" s="91" t="n">
        <x:v>46253</x:v>
      </x:c>
      <x:c r="B332" s="66" t="str">
        <x:v>BR-003</x:v>
      </x:c>
      <x:c r="C332" s="66" t="str">
        <x:v>매출</x:v>
      </x:c>
      <x:c r="D332" s="97" t="n">
        <x:v>15100000</x:v>
      </x:c>
      <x:c r="E332" s="71" t="str"/>
    </x:row>
    <x:row r="333">
      <x:c r="A333" s="91" t="n">
        <x:v>46254</x:v>
      </x:c>
      <x:c r="B333" s="66" t="str">
        <x:v>BR-004</x:v>
      </x:c>
      <x:c r="C333" s="66" t="str">
        <x:v>비용</x:v>
      </x:c>
      <x:c r="D333" s="97" t="n">
        <x:v>4000000</x:v>
      </x:c>
      <x:c r="E333" s="71" t="str"/>
    </x:row>
    <x:row r="334">
      <x:c r="A334" s="91" t="n">
        <x:v>46255</x:v>
      </x:c>
      <x:c r="B334" s="66" t="str">
        <x:v>BR-005</x:v>
      </x:c>
      <x:c r="C334" s="66" t="str">
        <x:v>매출</x:v>
      </x:c>
      <x:c r="D334" s="97" t="n">
        <x:v>16300000</x:v>
      </x:c>
      <x:c r="E334" s="71" t="str"/>
    </x:row>
    <x:row r="335">
      <x:c r="A335" s="91" t="n">
        <x:v>46256</x:v>
      </x:c>
      <x:c r="B335" s="66" t="str">
        <x:v>BR-006</x:v>
      </x:c>
      <x:c r="C335" s="66" t="str">
        <x:v>매출</x:v>
      </x:c>
      <x:c r="D335" s="97" t="n">
        <x:v>7400000</x:v>
      </x:c>
      <x:c r="E335" s="71" t="str"/>
    </x:row>
    <x:row r="336">
      <x:c r="A336" s="91" t="n">
        <x:v>46257</x:v>
      </x:c>
      <x:c r="B336" s="66" t="str">
        <x:v>BR-007</x:v>
      </x:c>
      <x:c r="C336" s="66" t="str">
        <x:v>비용</x:v>
      </x:c>
      <x:c r="D336" s="97" t="n">
        <x:v>7300000</x:v>
      </x:c>
      <x:c r="E336" s="71" t="str"/>
    </x:row>
    <x:row r="337">
      <x:c r="A337" s="91" t="n">
        <x:v>46258</x:v>
      </x:c>
      <x:c r="B337" s="66" t="str">
        <x:v>BR-008</x:v>
      </x:c>
      <x:c r="C337" s="66" t="str">
        <x:v>매출</x:v>
      </x:c>
      <x:c r="D337" s="97" t="n">
        <x:v>7900000</x:v>
      </x:c>
      <x:c r="E337" s="71" t="str"/>
    </x:row>
    <x:row r="338">
      <x:c r="A338" s="91" t="n">
        <x:v>46259</x:v>
      </x:c>
      <x:c r="B338" s="66" t="str">
        <x:v>BR-009</x:v>
      </x:c>
      <x:c r="C338" s="66" t="str">
        <x:v>매출</x:v>
      </x:c>
      <x:c r="D338" s="97" t="n">
        <x:v>12700000</x:v>
      </x:c>
      <x:c r="E338" s="71" t="str"/>
    </x:row>
    <x:row r="339">
      <x:c r="A339" s="91" t="n">
        <x:v>46260</x:v>
      </x:c>
      <x:c r="B339" s="66" t="str">
        <x:v>BR-010</x:v>
      </x:c>
      <x:c r="C339" s="66" t="str">
        <x:v>비용</x:v>
      </x:c>
      <x:c r="D339" s="97" t="n">
        <x:v>11700000</x:v>
      </x:c>
      <x:c r="E339" s="71" t="str"/>
    </x:row>
    <x:row r="340">
      <x:c r="A340" s="91" t="n">
        <x:v>46261</x:v>
      </x:c>
      <x:c r="B340" s="66" t="str">
        <x:v>BR-011</x:v>
      </x:c>
      <x:c r="C340" s="66" t="str">
        <x:v>매출</x:v>
      </x:c>
      <x:c r="D340" s="97" t="n">
        <x:v>3300000</x:v>
      </x:c>
      <x:c r="E340" s="71" t="str"/>
    </x:row>
    <x:row r="341">
      <x:c r="A341" s="91" t="n">
        <x:v>46262</x:v>
      </x:c>
      <x:c r="B341" s="66" t="str">
        <x:v>BR-012</x:v>
      </x:c>
      <x:c r="C341" s="66" t="str">
        <x:v>매출</x:v>
      </x:c>
      <x:c r="D341" s="97" t="n">
        <x:v>7800000</x:v>
      </x:c>
      <x:c r="E341" s="71" t="str"/>
    </x:row>
    <x:row r="342">
      <x:c r="A342" s="91" t="n">
        <x:v>46235</x:v>
      </x:c>
      <x:c r="B342" s="66" t="str">
        <x:v>BR-013</x:v>
      </x:c>
      <x:c r="C342" s="66" t="str">
        <x:v>비용</x:v>
      </x:c>
      <x:c r="D342" s="97" t="n">
        <x:v>12000000</x:v>
      </x:c>
      <x:c r="E342" s="71" t="str"/>
    </x:row>
    <x:row r="343">
      <x:c r="A343" s="91" t="n">
        <x:v>46236</x:v>
      </x:c>
      <x:c r="B343" s="66" t="str">
        <x:v>BR-014</x:v>
      </x:c>
      <x:c r="C343" s="66" t="str">
        <x:v>매출</x:v>
      </x:c>
      <x:c r="D343" s="97" t="n">
        <x:v>8700000</x:v>
      </x:c>
      <x:c r="E343" s="71" t="str"/>
    </x:row>
    <x:row r="344">
      <x:c r="A344" s="91" t="n">
        <x:v>46237</x:v>
      </x:c>
      <x:c r="B344" s="66" t="str">
        <x:v>BR-015</x:v>
      </x:c>
      <x:c r="C344" s="66" t="str">
        <x:v>매출</x:v>
      </x:c>
      <x:c r="D344" s="97" t="n">
        <x:v>5500000</x:v>
      </x:c>
      <x:c r="E344" s="71" t="str"/>
    </x:row>
    <x:row r="345">
      <x:c r="A345" s="91" t="n">
        <x:v>46238</x:v>
      </x:c>
      <x:c r="B345" s="66" t="str">
        <x:v>BR-016</x:v>
      </x:c>
      <x:c r="C345" s="66" t="str">
        <x:v>비용</x:v>
      </x:c>
      <x:c r="D345" s="97" t="n">
        <x:v>12300000</x:v>
      </x:c>
      <x:c r="E345" s="71" t="str"/>
    </x:row>
    <x:row r="346">
      <x:c r="A346" s="91" t="n">
        <x:v>46239</x:v>
      </x:c>
      <x:c r="B346" s="66" t="str">
        <x:v>BR-017</x:v>
      </x:c>
      <x:c r="C346" s="66" t="str">
        <x:v>매출</x:v>
      </x:c>
      <x:c r="D346" s="97" t="n">
        <x:v>16500000</x:v>
      </x:c>
      <x:c r="E346" s="71" t="str"/>
    </x:row>
    <x:row r="347">
      <x:c r="A347" s="91" t="n">
        <x:v>46240</x:v>
      </x:c>
      <x:c r="B347" s="66" t="str">
        <x:v>BR-018</x:v>
      </x:c>
      <x:c r="C347" s="66" t="str">
        <x:v>매출</x:v>
      </x:c>
      <x:c r="D347" s="97" t="n">
        <x:v>13400000</x:v>
      </x:c>
      <x:c r="E347" s="71" t="str"/>
    </x:row>
    <x:row r="348">
      <x:c r="A348" s="91" t="n">
        <x:v>46241</x:v>
      </x:c>
      <x:c r="B348" s="66" t="str">
        <x:v>BR-019</x:v>
      </x:c>
      <x:c r="C348" s="66" t="str">
        <x:v>비용</x:v>
      </x:c>
      <x:c r="D348" s="97" t="n">
        <x:v>13600000</x:v>
      </x:c>
      <x:c r="E348" s="71" t="str"/>
    </x:row>
    <x:row r="349">
      <x:c r="A349" s="91" t="n">
        <x:v>46242</x:v>
      </x:c>
      <x:c r="B349" s="66" t="str">
        <x:v>BR-020</x:v>
      </x:c>
      <x:c r="C349" s="66" t="str">
        <x:v>매출</x:v>
      </x:c>
      <x:c r="D349" s="97" t="n">
        <x:v>15800000</x:v>
      </x:c>
      <x:c r="E349" s="71" t="str"/>
    </x:row>
    <x:row r="350">
      <x:c r="A350" s="91" t="n">
        <x:v>46243</x:v>
      </x:c>
      <x:c r="B350" s="66" t="str">
        <x:v>BR-021</x:v>
      </x:c>
      <x:c r="C350" s="66" t="str">
        <x:v>매출</x:v>
      </x:c>
      <x:c r="D350" s="97" t="n">
        <x:v>6600000</x:v>
      </x:c>
      <x:c r="E350" s="71" t="str"/>
    </x:row>
    <x:row r="351">
      <x:c r="A351" s="91" t="n">
        <x:v>46244</x:v>
      </x:c>
      <x:c r="B351" s="66" t="str">
        <x:v>BR-022</x:v>
      </x:c>
      <x:c r="C351" s="66" t="str">
        <x:v>비용</x:v>
      </x:c>
      <x:c r="D351" s="97" t="n">
        <x:v>4900000</x:v>
      </x:c>
      <x:c r="E351" s="71" t="str"/>
    </x:row>
    <x:row r="352">
      <x:c r="A352" s="91" t="n">
        <x:v>46245</x:v>
      </x:c>
      <x:c r="B352" s="66" t="str">
        <x:v>BR-023</x:v>
      </x:c>
      <x:c r="C352" s="66" t="str">
        <x:v>매출</x:v>
      </x:c>
      <x:c r="D352" s="97" t="n">
        <x:v>7100000</x:v>
      </x:c>
      <x:c r="E352" s="71" t="str"/>
    </x:row>
    <x:row r="353">
      <x:c r="A353" s="91" t="n">
        <x:v>46246</x:v>
      </x:c>
      <x:c r="B353" s="66" t="str">
        <x:v>BR-024</x:v>
      </x:c>
      <x:c r="C353" s="66" t="str">
        <x:v>매출</x:v>
      </x:c>
      <x:c r="D353" s="97" t="n">
        <x:v>11500000</x:v>
      </x:c>
      <x:c r="E353" s="71" t="str"/>
    </x:row>
    <x:row r="354">
      <x:c r="A354" s="91" t="n">
        <x:v>46247</x:v>
      </x:c>
      <x:c r="B354" s="66" t="str">
        <x:v>BR-025</x:v>
      </x:c>
      <x:c r="C354" s="66" t="str">
        <x:v>비용</x:v>
      </x:c>
      <x:c r="D354" s="97" t="n">
        <x:v>12200000</x:v>
      </x:c>
      <x:c r="E354" s="71" t="str"/>
    </x:row>
    <x:row r="355">
      <x:c r="A355" s="91" t="n">
        <x:v>46248</x:v>
      </x:c>
      <x:c r="B355" s="66" t="str">
        <x:v>BR-026</x:v>
      </x:c>
      <x:c r="C355" s="66" t="str">
        <x:v>매출</x:v>
      </x:c>
      <x:c r="D355" s="97" t="n">
        <x:v>16400000</x:v>
      </x:c>
      <x:c r="E355" s="71" t="str"/>
    </x:row>
    <x:row r="356">
      <x:c r="A356" s="91" t="n">
        <x:v>46249</x:v>
      </x:c>
      <x:c r="B356" s="66" t="str">
        <x:v>BR-027</x:v>
      </x:c>
      <x:c r="C356" s="66" t="str">
        <x:v>매출</x:v>
      </x:c>
      <x:c r="D356" s="97" t="n">
        <x:v>7800000</x:v>
      </x:c>
      <x:c r="E356" s="71" t="str"/>
    </x:row>
    <x:row r="357">
      <x:c r="A357" s="91" t="n">
        <x:v>46250</x:v>
      </x:c>
      <x:c r="B357" s="66" t="str">
        <x:v>BR-028</x:v>
      </x:c>
      <x:c r="C357" s="66" t="str">
        <x:v>비용</x:v>
      </x:c>
      <x:c r="D357" s="97" t="n">
        <x:v>16000000</x:v>
      </x:c>
      <x:c r="E357" s="71" t="str"/>
    </x:row>
    <x:row r="358">
      <x:c r="A358" s="91" t="n">
        <x:v>46251</x:v>
      </x:c>
      <x:c r="B358" s="66" t="str">
        <x:v>BR-029</x:v>
      </x:c>
      <x:c r="C358" s="66" t="str">
        <x:v>매출</x:v>
      </x:c>
      <x:c r="D358" s="97" t="n">
        <x:v>8900000</x:v>
      </x:c>
      <x:c r="E358" s="71" t="str"/>
    </x:row>
    <x:row r="359">
      <x:c r="A359" s="91" t="n">
        <x:v>46252</x:v>
      </x:c>
      <x:c r="B359" s="66" t="str">
        <x:v>BR-030</x:v>
      </x:c>
      <x:c r="C359" s="66" t="str">
        <x:v>매출</x:v>
      </x:c>
      <x:c r="D359" s="97" t="n">
        <x:v>9200000</x:v>
      </x:c>
      <x:c r="E359" s="71" t="str"/>
    </x:row>
    <x:row r="360">
      <x:c r="A360" s="91" t="n">
        <x:v>46253</x:v>
      </x:c>
      <x:c r="B360" s="66" t="str">
        <x:v>BR-031</x:v>
      </x:c>
      <x:c r="C360" s="66" t="str">
        <x:v>비용</x:v>
      </x:c>
      <x:c r="D360" s="97" t="n">
        <x:v>7300000</x:v>
      </x:c>
      <x:c r="E360" s="71" t="str"/>
    </x:row>
    <x:row r="361">
      <x:c r="A361" s="91" t="n">
        <x:v>46254</x:v>
      </x:c>
      <x:c r="B361" s="66" t="str">
        <x:v>BR-032</x:v>
      </x:c>
      <x:c r="C361" s="66" t="str">
        <x:v>매출</x:v>
      </x:c>
      <x:c r="D361" s="97" t="n">
        <x:v>12100000</x:v>
      </x:c>
      <x:c r="E361" s="71" t="str"/>
    </x:row>
    <x:row r="362">
      <x:c r="A362" s="91" t="n">
        <x:v>46255</x:v>
      </x:c>
      <x:c r="B362" s="66" t="str">
        <x:v>BR-033</x:v>
      </x:c>
      <x:c r="C362" s="66" t="str">
        <x:v>매출</x:v>
      </x:c>
      <x:c r="D362" s="97" t="n">
        <x:v>17000000</x:v>
      </x:c>
      <x:c r="E362" s="71" t="str"/>
    </x:row>
    <x:row r="363">
      <x:c r="A363" s="91" t="n">
        <x:v>46256</x:v>
      </x:c>
      <x:c r="B363" s="66" t="str">
        <x:v>BR-034</x:v>
      </x:c>
      <x:c r="C363" s="66" t="str">
        <x:v>비용</x:v>
      </x:c>
      <x:c r="D363" s="97" t="n">
        <x:v>13300000</x:v>
      </x:c>
      <x:c r="E363" s="71" t="str"/>
    </x:row>
    <x:row r="364">
      <x:c r="A364" s="91" t="n">
        <x:v>46257</x:v>
      </x:c>
      <x:c r="B364" s="66" t="str">
        <x:v>BR-035</x:v>
      </x:c>
      <x:c r="C364" s="66" t="str">
        <x:v>매출</x:v>
      </x:c>
      <x:c r="D364" s="97" t="n">
        <x:v>9000000</x:v>
      </x:c>
      <x:c r="E364" s="71" t="str"/>
    </x:row>
    <x:row r="365">
      <x:c r="A365" s="92" t="n">
        <x:v>46258</x:v>
      </x:c>
      <x:c r="B365" s="73" t="str">
        <x:v>BR-036</x:v>
      </x:c>
      <x:c r="C365" s="73" t="str">
        <x:v>매출</x:v>
      </x:c>
      <x:c r="D365" s="98" t="n">
        <x:v>13600000</x:v>
      </x:c>
      <x:c r="E365" s="74" t="str"/>
    </x:row>
  </x:sheetData>
  <x:mergeCells>
    <x:mergeCell ref="A1:E1"/>
    <x:mergeCell ref="A2:E2"/>
    <x:mergeCell ref="A3:E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1" hidden="0" customWidth="1"/>
    <x:col min="7" max="7" width="11" hidden="0" customWidth="1"/>
    <x:col min="8" max="8" width="12" hidden="0" customWidth="1"/>
    <x:col min="9" max="9" width="9" hidden="0" customWidth="1"/>
  </x:cols>
  <x:sheetData>
    <x:row r="1" ht="30" customHeight="1">
      <x:c r="A1" s="5" t="str">
        <x:v>지점별 실적 평가</x:v>
      </x:c>
      <x:c r="B1" s="5"/>
      <x:c r="C1" s="5"/>
      <x:c r="D1" s="5"/>
      <x:c r="E1" s="5"/>
      <x:c r="F1" s="5"/>
      <x:c r="G1" s="5"/>
      <x:c r="H1" s="5"/>
      <x:c r="I1" s="5"/>
    </x:row>
    <x:row r="2" ht="24" customHeight="1">
      <x:c r="A2" s="12" t="str">
        <x:v>목표·매출·비용을 기준으로 평가점수와 등급을 계산합니다.</x:v>
      </x:c>
      <x:c r="B2" s="12"/>
      <x:c r="C2" s="12"/>
      <x:c r="D2" s="12"/>
      <x:c r="E2" s="12"/>
      <x:c r="F2" s="12"/>
      <x:c r="G2" s="12"/>
      <x:c r="H2" s="12"/>
      <x:c r="I2" s="12"/>
    </x:row>
    <x:row r="3">
      <x:c r="A3" s="18" t="str">
        <x:v>M4-C 추가 교정용 합성 데이터입니다.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  <x:c r="I3" s="18"/>
    </x:row>
    <x:row r="5" ht="28" customHeight="1">
      <x:c r="A5" s="30" t="str">
        <x:v>지점코드</x:v>
      </x:c>
      <x:c r="B5" s="61" t="str">
        <x:v>목표</x:v>
      </x:c>
      <x:c r="C5" s="61" t="str">
        <x:v>매출</x:v>
      </x:c>
      <x:c r="D5" s="61" t="str">
        <x:v>비용</x:v>
      </x:c>
      <x:c r="E5" s="61" t="str">
        <x:v>이익</x:v>
      </x:c>
      <x:c r="F5" s="61" t="str">
        <x:v>달성률</x:v>
      </x:c>
      <x:c r="G5" s="61" t="str">
        <x:v>마진율</x:v>
      </x:c>
      <x:c r="H5" s="61" t="str">
        <x:v>평가점수</x:v>
      </x:c>
      <x:c r="I5" s="31" t="str">
        <x:v>등급</x:v>
      </x:c>
    </x:row>
    <x:row r="6">
      <x:c r="A6" s="67" t="str">
        <x:v>BR-001</x:v>
      </x:c>
      <x:c r="B6" s="84" t="n">
        <x:v>18350000</x:v>
      </x:c>
      <x:c r="C6" s="118" t="n">
        <x:f>SUMIFS('거래내역'!$D$6:$D$365,'거래내역'!$B$6:$B$365,A6,'거래내역'!$C$6:$C$365,"매출")</x:f>
        <x:v>0</x:v>
      </x:c>
      <x:c r="D6" s="119" t="n">
        <x:f>SUMIFS('거래내역'!$D$6:$D$365,'거래내역'!$B$6:$B$365,A6,'거래내역'!$C$6:$C$365,"비용")</x:f>
        <x:v>114300000</x:v>
      </x:c>
      <x:c r="E6" s="119" t="n">
        <x:f>C6-D6</x:f>
        <x:v>-114300000</x:v>
      </x:c>
      <x:c r="F6" s="132" t="n">
        <x:f>IFERROR(C6/B6,0)</x:f>
        <x:v>0</x:v>
      </x:c>
      <x:c r="G6" s="132" t="n">
        <x:f>IFERROR(E6/C6,0)</x:f>
        <x:v>0</x:v>
      </x:c>
      <x:c r="H6" s="138" t="n">
        <x:f>MIN(100,F6*70+G6*30)</x:f>
        <x:v>0</x:v>
      </x:c>
      <x:c r="I6" s="104" t="str">
        <x:f>IF(H6&gt;=90,"A",IF(H6&gt;=80,"B",IF(H6&gt;=70,"C","D")))</x:f>
        <x:v>D</x:v>
      </x:c>
    </x:row>
    <x:row r="7">
      <x:c r="A7" s="70" t="str">
        <x:v>BR-002</x:v>
      </x:c>
      <x:c r="B7" s="85" t="n">
        <x:v>18700000</x:v>
      </x:c>
      <x:c r="C7" s="120" t="n">
        <x:f>SUMIFS('거래내역'!$D$6:$D$365,'거래내역'!$B$6:$B$365,A7,'거래내역'!$C$6:$C$365,"매출")</x:f>
        <x:v>103600000</x:v>
      </x:c>
      <x:c r="D7" s="121" t="n">
        <x:f>SUMIFS('거래내역'!$D$6:$D$365,'거래내역'!$B$6:$B$365,A7,'거래내역'!$C$6:$C$365,"비용")</x:f>
        <x:v>0</x:v>
      </x:c>
      <x:c r="E7" s="121" t="n">
        <x:f>C7-D7</x:f>
        <x:v>103600000</x:v>
      </x:c>
      <x:c r="F7" s="133" t="n">
        <x:f>IFERROR(C7/B7,0)</x:f>
        <x:v>5.540106951871658</x:v>
      </x:c>
      <x:c r="G7" s="133" t="n">
        <x:f>IFERROR(E7/C7,0)</x:f>
        <x:v>1</x:v>
      </x:c>
      <x:c r="H7" s="139" t="n">
        <x:f>MIN(100,F7*70+G7*30)</x:f>
        <x:v>100</x:v>
      </x:c>
      <x:c r="I7" s="106" t="str">
        <x:f>IF(H7&gt;=90,"A",IF(H7&gt;=80,"B",IF(H7&gt;=70,"C","D")))</x:f>
        <x:v>A</x:v>
      </x:c>
    </x:row>
    <x:row r="8">
      <x:c r="A8" s="70" t="str">
        <x:v>BR-003</x:v>
      </x:c>
      <x:c r="B8" s="85" t="n">
        <x:v>19050000</x:v>
      </x:c>
      <x:c r="C8" s="120" t="n">
        <x:f>SUMIFS('거래내역'!$D$6:$D$365,'거래내역'!$B$6:$B$365,A8,'거래내역'!$C$6:$C$365,"매출")</x:f>
        <x:v>127200000</x:v>
      </x:c>
      <x:c r="D8" s="121" t="n">
        <x:f>SUMIFS('거래내역'!$D$6:$D$365,'거래내역'!$B$6:$B$365,A8,'거래내역'!$C$6:$C$365,"비용")</x:f>
        <x:v>0</x:v>
      </x:c>
      <x:c r="E8" s="121" t="n">
        <x:f>C8-D8</x:f>
        <x:v>127200000</x:v>
      </x:c>
      <x:c r="F8" s="133" t="n">
        <x:f>IFERROR(C8/B8,0)</x:f>
        <x:v>6.677165354330708</x:v>
      </x:c>
      <x:c r="G8" s="133" t="n">
        <x:f>IFERROR(E8/C8,0)</x:f>
        <x:v>1</x:v>
      </x:c>
      <x:c r="H8" s="139" t="n">
        <x:f>MIN(100,F8*70+G8*30)</x:f>
        <x:v>100</x:v>
      </x:c>
      <x:c r="I8" s="106" t="str">
        <x:f>IF(H8&gt;=90,"A",IF(H8&gt;=80,"B",IF(H8&gt;=70,"C","D")))</x:f>
        <x:v>A</x:v>
      </x:c>
    </x:row>
    <x:row r="9">
      <x:c r="A9" s="70" t="str">
        <x:v>BR-004</x:v>
      </x:c>
      <x:c r="B9" s="85" t="n">
        <x:v>19400000</x:v>
      </x:c>
      <x:c r="C9" s="120" t="n">
        <x:f>SUMIFS('거래내역'!$D$6:$D$365,'거래내역'!$B$6:$B$365,A9,'거래내역'!$C$6:$C$365,"매출")</x:f>
        <x:v>0</x:v>
      </x:c>
      <x:c r="D9" s="121" t="n">
        <x:f>SUMIFS('거래내역'!$D$6:$D$365,'거래내역'!$B$6:$B$365,A9,'거래내역'!$C$6:$C$365,"비용")</x:f>
        <x:v>90000000</x:v>
      </x:c>
      <x:c r="E9" s="121" t="n">
        <x:f>C9-D9</x:f>
        <x:v>-90000000</x:v>
      </x:c>
      <x:c r="F9" s="133" t="n">
        <x:f>IFERROR(C9/B9,0)</x:f>
        <x:v>0</x:v>
      </x:c>
      <x:c r="G9" s="133" t="n">
        <x:f>IFERROR(E9/C9,0)</x:f>
        <x:v>0</x:v>
      </x:c>
      <x:c r="H9" s="139" t="n">
        <x:f>MIN(100,F9*70+G9*30)</x:f>
        <x:v>0</x:v>
      </x:c>
      <x:c r="I9" s="106" t="str">
        <x:f>IF(H9&gt;=90,"A",IF(H9&gt;=80,"B",IF(H9&gt;=70,"C","D")))</x:f>
        <x:v>D</x:v>
      </x:c>
    </x:row>
    <x:row r="10">
      <x:c r="A10" s="70" t="str">
        <x:v>BR-005</x:v>
      </x:c>
      <x:c r="B10" s="85" t="n">
        <x:v>19750000</x:v>
      </x:c>
      <x:c r="C10" s="120" t="n">
        <x:f>SUMIFS('거래내역'!$D$6:$D$365,'거래내역'!$B$6:$B$365,A10,'거래내역'!$C$6:$C$365,"매출")</x:f>
        <x:v>99100000</x:v>
      </x:c>
      <x:c r="D10" s="121" t="n">
        <x:f>SUMIFS('거래내역'!$D$6:$D$365,'거래내역'!$B$6:$B$365,A10,'거래내역'!$C$6:$C$365,"비용")</x:f>
        <x:v>0</x:v>
      </x:c>
      <x:c r="E10" s="121" t="n">
        <x:f>C10-D10</x:f>
        <x:v>99100000</x:v>
      </x:c>
      <x:c r="F10" s="133" t="n">
        <x:f>IFERROR(C10/B10,0)</x:f>
        <x:v>5.017721518987342</x:v>
      </x:c>
      <x:c r="G10" s="133" t="n">
        <x:f>IFERROR(E10/C10,0)</x:f>
        <x:v>1</x:v>
      </x:c>
      <x:c r="H10" s="139" t="n">
        <x:f>MIN(100,F10*70+G10*30)</x:f>
        <x:v>100</x:v>
      </x:c>
      <x:c r="I10" s="106" t="str">
        <x:f>IF(H10&gt;=90,"A",IF(H10&gt;=80,"B",IF(H10&gt;=70,"C","D")))</x:f>
        <x:v>A</x:v>
      </x:c>
    </x:row>
    <x:row r="11">
      <x:c r="A11" s="70" t="str">
        <x:v>BR-006</x:v>
      </x:c>
      <x:c r="B11" s="85" t="n">
        <x:v>20100000</x:v>
      </x:c>
      <x:c r="C11" s="120" t="n">
        <x:f>SUMIFS('거래내역'!$D$6:$D$365,'거래내역'!$B$6:$B$365,A11,'거래내역'!$C$6:$C$365,"매출")</x:f>
        <x:v>116800000</x:v>
      </x:c>
      <x:c r="D11" s="121" t="n">
        <x:f>SUMIFS('거래내역'!$D$6:$D$365,'거래내역'!$B$6:$B$365,A11,'거래내역'!$C$6:$C$365,"비용")</x:f>
        <x:v>0</x:v>
      </x:c>
      <x:c r="E11" s="121" t="n">
        <x:f>C11-D11</x:f>
        <x:v>116800000</x:v>
      </x:c>
      <x:c r="F11" s="133" t="n">
        <x:f>IFERROR(C11/B11,0)</x:f>
        <x:v>5.810945273631841</x:v>
      </x:c>
      <x:c r="G11" s="133" t="n">
        <x:f>IFERROR(E11/C11,0)</x:f>
        <x:v>1</x:v>
      </x:c>
      <x:c r="H11" s="139" t="n">
        <x:f>MIN(100,F11*70+G11*30)</x:f>
        <x:v>100</x:v>
      </x:c>
      <x:c r="I11" s="106" t="str">
        <x:f>IF(H11&gt;=90,"A",IF(H11&gt;=80,"B",IF(H11&gt;=70,"C","D")))</x:f>
        <x:v>A</x:v>
      </x:c>
    </x:row>
    <x:row r="12">
      <x:c r="A12" s="70" t="str">
        <x:v>BR-007</x:v>
      </x:c>
      <x:c r="B12" s="85" t="n">
        <x:v>20450000</x:v>
      </x:c>
      <x:c r="C12" s="120" t="n">
        <x:f>SUMIFS('거래내역'!$D$6:$D$365,'거래내역'!$B$6:$B$365,A12,'거래내역'!$C$6:$C$365,"매출")</x:f>
        <x:v>0</x:v>
      </x:c>
      <x:c r="D12" s="121" t="n">
        <x:f>SUMIFS('거래내역'!$D$6:$D$365,'거래내역'!$B$6:$B$365,A12,'거래내역'!$C$6:$C$365,"비용")</x:f>
        <x:v>98500000</x:v>
      </x:c>
      <x:c r="E12" s="121" t="n">
        <x:f>C12-D12</x:f>
        <x:v>-98500000</x:v>
      </x:c>
      <x:c r="F12" s="133" t="n">
        <x:f>IFERROR(C12/B12,0)</x:f>
        <x:v>0</x:v>
      </x:c>
      <x:c r="G12" s="133" t="n">
        <x:f>IFERROR(E12/C12,0)</x:f>
        <x:v>0</x:v>
      </x:c>
      <x:c r="H12" s="139" t="n">
        <x:f>MIN(100,F12*70+G12*30)</x:f>
        <x:v>0</x:v>
      </x:c>
      <x:c r="I12" s="106" t="str">
        <x:f>IF(H12&gt;=90,"A",IF(H12&gt;=80,"B",IF(H12&gt;=70,"C","D")))</x:f>
        <x:v>D</x:v>
      </x:c>
    </x:row>
    <x:row r="13">
      <x:c r="A13" s="70" t="str">
        <x:v>BR-008</x:v>
      </x:c>
      <x:c r="B13" s="85" t="n">
        <x:v>20800000</x:v>
      </x:c>
      <x:c r="C13" s="120" t="n">
        <x:f>SUMIFS('거래내역'!$D$6:$D$365,'거래내역'!$B$6:$B$365,A13,'거래내역'!$C$6:$C$365,"매출")</x:f>
        <x:v>114400000</x:v>
      </x:c>
      <x:c r="D13" s="121" t="n">
        <x:f>SUMIFS('거래내역'!$D$6:$D$365,'거래내역'!$B$6:$B$365,A13,'거래내역'!$C$6:$C$365,"비용")</x:f>
        <x:v>0</x:v>
      </x:c>
      <x:c r="E13" s="121" t="n">
        <x:f>C13-D13</x:f>
        <x:v>114400000</x:v>
      </x:c>
      <x:c r="F13" s="133" t="n">
        <x:f>IFERROR(C13/B13,0)</x:f>
        <x:v>5.5</x:v>
      </x:c>
      <x:c r="G13" s="133" t="n">
        <x:f>IFERROR(E13/C13,0)</x:f>
        <x:v>1</x:v>
      </x:c>
      <x:c r="H13" s="139" t="n">
        <x:f>MIN(100,F13*70+G13*30)</x:f>
        <x:v>100</x:v>
      </x:c>
      <x:c r="I13" s="106" t="str">
        <x:f>IF(H13&gt;=90,"A",IF(H13&gt;=80,"B",IF(H13&gt;=70,"C","D")))</x:f>
        <x:v>A</x:v>
      </x:c>
    </x:row>
    <x:row r="14">
      <x:c r="A14" s="70" t="str">
        <x:v>BR-009</x:v>
      </x:c>
      <x:c r="B14" s="85" t="n">
        <x:v>21150000</x:v>
      </x:c>
      <x:c r="C14" s="120" t="n">
        <x:f>SUMIFS('거래내역'!$D$6:$D$365,'거래내역'!$B$6:$B$365,A13,'거래내역'!$C$6:$C$365,"매출")</x:f>
        <x:v>114400000</x:v>
      </x:c>
      <x:c r="D14" s="121" t="n">
        <x:f>SUMIFS('거래내역'!$D$6:$D$365,'거래내역'!$B$6:$B$365,A14,'거래내역'!$C$6:$C$365,"비용")</x:f>
        <x:v>0</x:v>
      </x:c>
      <x:c r="E14" s="121" t="n">
        <x:f>C14-D14</x:f>
        <x:v>114400000</x:v>
      </x:c>
      <x:c r="F14" s="133" t="n">
        <x:f>IFERROR(C14/B14,0)</x:f>
        <x:v>5.408983451536643</x:v>
      </x:c>
      <x:c r="G14" s="133" t="n">
        <x:f>IFERROR(E14/C14,0)</x:f>
        <x:v>1</x:v>
      </x:c>
      <x:c r="H14" s="139" t="n">
        <x:f>MIN(100,F14*70+G14*30)</x:f>
        <x:v>100</x:v>
      </x:c>
      <x:c r="I14" s="106" t="str">
        <x:f>IF(H14&gt;=90,"A",IF(H14&gt;=80,"B",IF(H14&gt;=70,"C","D")))</x:f>
        <x:v>A</x:v>
      </x:c>
    </x:row>
    <x:row r="15">
      <x:c r="A15" s="70" t="str">
        <x:v>BR-010</x:v>
      </x:c>
      <x:c r="B15" s="85" t="n">
        <x:v>21500000</x:v>
      </x:c>
      <x:c r="C15" s="120" t="n">
        <x:f>SUMIFS('거래내역'!$D$6:$D$365,'거래내역'!$B$6:$B$365,A15,'거래내역'!$C$6:$C$365,"매출")</x:f>
        <x:v>0</x:v>
      </x:c>
      <x:c r="D15" s="121" t="n">
        <x:f>SUMIFS('거래내역'!$D$6:$D$365,'거래내역'!$B$6:$B$365,A15,'거래내역'!$C$6:$C$365,"비용")</x:f>
        <x:v>86600000</x:v>
      </x:c>
      <x:c r="E15" s="121" t="n">
        <x:f>C15-D15</x:f>
        <x:v>-86600000</x:v>
      </x:c>
      <x:c r="F15" s="133" t="n">
        <x:f>IFERROR(C15/B15,0)</x:f>
        <x:v>0</x:v>
      </x:c>
      <x:c r="G15" s="133" t="n">
        <x:f>IFERROR(E15/C15,0)</x:f>
        <x:v>0</x:v>
      </x:c>
      <x:c r="H15" s="139" t="n">
        <x:f>MIN(100,F15*70+G15*30)</x:f>
        <x:v>0</x:v>
      </x:c>
      <x:c r="I15" s="106" t="str">
        <x:f>IF(H15&gt;=90,"A",IF(H15&gt;=80,"B",IF(H15&gt;=70,"C","D")))</x:f>
        <x:v>D</x:v>
      </x:c>
    </x:row>
    <x:row r="16">
      <x:c r="A16" s="70" t="str">
        <x:v>BR-011</x:v>
      </x:c>
      <x:c r="B16" s="85" t="n">
        <x:v>21850000</x:v>
      </x:c>
      <x:c r="C16" s="120" t="n">
        <x:f>SUMIFS('거래내역'!$D$6:$D$365,'거래내역'!$B$6:$B$365,A16,'거래내역'!$C$6:$C$365,"매출")</x:f>
        <x:v>98300000</x:v>
      </x:c>
      <x:c r="D16" s="121" t="n">
        <x:f>SUMIFS('거래내역'!$D$6:$D$365,'거래내역'!$B$6:$B$365,A16,'거래내역'!$C$6:$C$365,"비용")</x:f>
        <x:v>0</x:v>
      </x:c>
      <x:c r="E16" s="121" t="n">
        <x:f>C16-D16</x:f>
        <x:v>98300000</x:v>
      </x:c>
      <x:c r="F16" s="133" t="n">
        <x:f>IFERROR(C16/B16,0)</x:f>
        <x:v>4.498855835240275</x:v>
      </x:c>
      <x:c r="G16" s="133" t="n">
        <x:f>IFERROR(E16/C16,0)</x:f>
        <x:v>1</x:v>
      </x:c>
      <x:c r="H16" s="139" t="n">
        <x:f>MIN(100,F16*70+G16*30)</x:f>
        <x:v>100</x:v>
      </x:c>
      <x:c r="I16" s="106" t="str">
        <x:f>IF(H16&gt;=90,"A",IF(H16&gt;=80,"B",IF(H16&gt;=70,"C","D")))</x:f>
        <x:v>A</x:v>
      </x:c>
    </x:row>
    <x:row r="17">
      <x:c r="A17" s="70" t="str">
        <x:v>BR-012</x:v>
      </x:c>
      <x:c r="B17" s="85" t="n">
        <x:v>22200000</x:v>
      </x:c>
      <x:c r="C17" s="120" t="n">
        <x:f>SUMIFS('거래내역'!$D$6:$D$365,'거래내역'!$B$6:$B$365,A17,'거래내역'!$C$6:$C$365,"매출")</x:f>
        <x:v>120800000</x:v>
      </x:c>
      <x:c r="D17" s="121" t="n">
        <x:f>SUMIFS('거래내역'!$D$6:$D$365,'거래내역'!$B$6:$B$365,A17,'거래내역'!$C$6:$C$365,"비용")</x:f>
        <x:v>0</x:v>
      </x:c>
      <x:c r="E17" s="121" t="n">
        <x:f>C17-D17</x:f>
        <x:v>120800000</x:v>
      </x:c>
      <x:c r="F17" s="133" t="n">
        <x:f>IFERROR(C17/B17,0)</x:f>
        <x:v>5.441441441441442</x:v>
      </x:c>
      <x:c r="G17" s="133" t="n">
        <x:f>IFERROR(E17/C17,0)</x:f>
        <x:v>1</x:v>
      </x:c>
      <x:c r="H17" s="139" t="n">
        <x:f>MIN(100,F17*70+G17*30)</x:f>
        <x:v>100</x:v>
      </x:c>
      <x:c r="I17" s="106" t="str">
        <x:f>IF(H17&gt;=90,"A",IF(H17&gt;=80,"B",IF(H17&gt;=70,"C","D")))</x:f>
        <x:v>A</x:v>
      </x:c>
    </x:row>
    <x:row r="18">
      <x:c r="A18" s="70" t="str">
        <x:v>BR-013</x:v>
      </x:c>
      <x:c r="B18" s="85" t="n">
        <x:v>22550000</x:v>
      </x:c>
      <x:c r="C18" s="120" t="n">
        <x:f>SUMIFS('거래내역'!$D$6:$D$365,'거래내역'!$B$6:$B$365,A18,'거래내역'!$C$6:$C$365,"매출")</x:f>
        <x:v>0</x:v>
      </x:c>
      <x:c r="D18" s="121" t="n">
        <x:f>SUMIFS('거래내역'!$D$6:$D$365,'거래내역'!$B$6:$B$365,A18,'거래내역'!$C$6:$C$365,"비용")</x:f>
        <x:v>109800000</x:v>
      </x:c>
      <x:c r="E18" s="121" t="n">
        <x:f>C18-D18</x:f>
        <x:v>-109800000</x:v>
      </x:c>
      <x:c r="F18" s="133" t="n">
        <x:f>IFERROR(C18/B18,0)</x:f>
        <x:v>0</x:v>
      </x:c>
      <x:c r="G18" s="133" t="n">
        <x:f>IFERROR(E18/C18,0)</x:f>
        <x:v>0</x:v>
      </x:c>
      <x:c r="H18" s="139" t="n">
        <x:f>MIN(100,F18*70+G18*30)</x:f>
        <x:v>0</x:v>
      </x:c>
      <x:c r="I18" s="106" t="str">
        <x:f>IF(H18&gt;=90,"A",IF(H18&gt;=80,"B",IF(H18&gt;=70,"C","D")))</x:f>
        <x:v>D</x:v>
      </x:c>
    </x:row>
    <x:row r="19">
      <x:c r="A19" s="70" t="str">
        <x:v>BR-014</x:v>
      </x:c>
      <x:c r="B19" s="85" t="n">
        <x:v>22900000</x:v>
      </x:c>
      <x:c r="C19" s="120" t="n">
        <x:f>SUMIFS('거래내역'!$D$6:$D$365,'거래내역'!$B$6:$B$365,A19,'거래내역'!$C$6:$C$365,"매출")</x:f>
        <x:v>99800000</x:v>
      </x:c>
      <x:c r="D19" s="121" t="n">
        <x:f>SUMIFS('거래내역'!$D$6:$D$365,'거래내역'!$B$6:$B$365,A19,'거래내역'!$C$6:$C$365,"비용")</x:f>
        <x:v>0</x:v>
      </x:c>
      <x:c r="E19" s="121" t="n">
        <x:f>C19-D19</x:f>
        <x:v>99800000</x:v>
      </x:c>
      <x:c r="F19" s="133" t="n">
        <x:f>IFERROR(C19/B19,0)</x:f>
        <x:v>4.358078602620087</x:v>
      </x:c>
      <x:c r="G19" s="133" t="n">
        <x:f>IFERROR(E19/C19,0)</x:f>
        <x:v>1</x:v>
      </x:c>
      <x:c r="H19" s="139" t="n">
        <x:f>MIN(100,F19*70+G19*30)</x:f>
        <x:v>100</x:v>
      </x:c>
      <x:c r="I19" s="106" t="str">
        <x:f>IF(H19&gt;=90,"A",IF(H19&gt;=80,"B",IF(H19&gt;=70,"C","D")))</x:f>
        <x:v>A</x:v>
      </x:c>
    </x:row>
    <x:row r="20">
      <x:c r="A20" s="70" t="str">
        <x:v>BR-015</x:v>
      </x:c>
      <x:c r="B20" s="85" t="n">
        <x:v>23250000</x:v>
      </x:c>
      <x:c r="C20" s="120" t="n">
        <x:f>SUMIFS('거래내역'!$D$6:$D$365,'거래내역'!$B$6:$B$365,A20,'거래내역'!$C$6:$C$365,"매출")</x:f>
        <x:v>99900000</x:v>
      </x:c>
      <x:c r="D20" s="121" t="n">
        <x:f>SUMIFS('거래내역'!$D$6:$D$365,'거래내역'!$B$6:$B$365,A20,'거래내역'!$C$6:$C$365,"비용")</x:f>
        <x:v>0</x:v>
      </x:c>
      <x:c r="E20" s="121" t="n">
        <x:f>C20-D20</x:f>
        <x:v>99900000</x:v>
      </x:c>
      <x:c r="F20" s="133" t="n">
        <x:f>IFERROR(C20/B20,0)</x:f>
        <x:v>4.296774193548387</x:v>
      </x:c>
      <x:c r="G20" s="133" t="n">
        <x:f>IFERROR(E20/C20,0)</x:f>
        <x:v>1</x:v>
      </x:c>
      <x:c r="H20" s="139" t="n">
        <x:f>MIN(100,F20*70+G20*30)</x:f>
        <x:v>100</x:v>
      </x:c>
      <x:c r="I20" s="106" t="str">
        <x:f>IF(H20&gt;=90,"A",IF(H20&gt;=80,"B",IF(H20&gt;=70,"C","D")))</x:f>
        <x:v>A</x:v>
      </x:c>
    </x:row>
    <x:row r="21">
      <x:c r="A21" s="70" t="str">
        <x:v>BR-016</x:v>
      </x:c>
      <x:c r="B21" s="85" t="n">
        <x:v>23600000</x:v>
      </x:c>
      <x:c r="C21" s="120" t="n">
        <x:f>SUMIFS('거래내역'!$D$6:$D$365,'거래내역'!$B$6:$B$365,A21,'거래내역'!$C$6:$C$365,"매출")</x:f>
        <x:v>0</x:v>
      </x:c>
      <x:c r="D21" s="121" t="n">
        <x:f>SUMIFS('거래내역'!$D$6:$D$365,'거래내역'!$B$6:$B$365,A21,'거래내역'!$C$6:$C$365,"비용")</x:f>
        <x:v>87100000</x:v>
      </x:c>
      <x:c r="E21" s="121" t="n">
        <x:f>C21-D21</x:f>
        <x:v>-87100000</x:v>
      </x:c>
      <x:c r="F21" s="133" t="n">
        <x:f>IFERROR(C21/B21,0)</x:f>
        <x:v>0</x:v>
      </x:c>
      <x:c r="G21" s="133" t="n">
        <x:f>IFERROR(E21/C21,0)</x:f>
        <x:v>0</x:v>
      </x:c>
      <x:c r="H21" s="139" t="n">
        <x:f>MIN(100,F21*70+G21*30)</x:f>
        <x:v>0</x:v>
      </x:c>
      <x:c r="I21" s="106" t="str">
        <x:f>IF(H21&gt;=90,"A",IF(H21&gt;=80,"B",IF(H21&gt;=70,"C","D")))</x:f>
        <x:v>D</x:v>
      </x:c>
    </x:row>
    <x:row r="22">
      <x:c r="A22" s="70" t="str">
        <x:v>BR-017</x:v>
      </x:c>
      <x:c r="B22" s="85" t="n">
        <x:v>23950000</x:v>
      </x:c>
      <x:c r="C22" s="120" t="n">
        <x:f>SUMIFS('거래내역'!$D$6:$D$365,'거래내역'!$B$6:$B$365,A22,'거래내역'!$C$6:$C$365,"매출")</x:f>
        <x:v>123900000</x:v>
      </x:c>
      <x:c r="D22" s="121" t="n">
        <x:f>SUMIFS('거래내역'!$D$6:$D$365,'거래내역'!$B$6:$B$365,A22,'거래내역'!$C$6:$C$365,"비용")</x:f>
        <x:v>0</x:v>
      </x:c>
      <x:c r="E22" s="121" t="n">
        <x:f>C22-D22</x:f>
        <x:v>123900000</x:v>
      </x:c>
      <x:c r="F22" s="133" t="n">
        <x:f>IFERROR(C22/B22,0)</x:f>
        <x:v>5.1732776617954075</x:v>
      </x:c>
      <x:c r="G22" s="133" t="n">
        <x:f>IFERROR(E22/C22,0)</x:f>
        <x:v>1</x:v>
      </x:c>
      <x:c r="H22" s="139" t="n">
        <x:f>MIN(100,F22*70+G22*30)</x:f>
        <x:v>100</x:v>
      </x:c>
      <x:c r="I22" s="106" t="str">
        <x:f>IF(H22&gt;=90,"A",IF(H22&gt;=80,"B",IF(H22&gt;=70,"C","D")))</x:f>
        <x:v>A</x:v>
      </x:c>
    </x:row>
    <x:row r="23">
      <x:c r="A23" s="70" t="str">
        <x:v>BR-018</x:v>
      </x:c>
      <x:c r="B23" s="85" t="n">
        <x:v>24300000</x:v>
      </x:c>
      <x:c r="C23" s="120" t="n">
        <x:f>SUMIFS('거래내역'!$D$6:$D$365,'거래내역'!$B$6:$B$365,A23,'거래내역'!$C$6:$C$365,"매출")</x:f>
        <x:v>101100000</x:v>
      </x:c>
      <x:c r="D23" s="121" t="n">
        <x:f>SUMIFS('거래내역'!$D$6:$D$365,'거래내역'!$B$6:$B$365,A23,'거래내역'!$C$6:$C$365,"비용")</x:f>
        <x:v>0</x:v>
      </x:c>
      <x:c r="E23" s="121" t="n">
        <x:f>SUM(C23:D23)</x:f>
        <x:v>101100000</x:v>
      </x:c>
      <x:c r="F23" s="133" t="n">
        <x:f>IFERROR(C23/B23,0)</x:f>
        <x:v>4.160493827160494</x:v>
      </x:c>
      <x:c r="G23" s="133" t="n">
        <x:f>IFERROR(E23/C23,0)</x:f>
        <x:v>1</x:v>
      </x:c>
      <x:c r="H23" s="139" t="n">
        <x:f>MIN(100,F23*70+G23*30)</x:f>
        <x:v>100</x:v>
      </x:c>
      <x:c r="I23" s="106" t="str">
        <x:f>IF(H23&gt;=90,"A",IF(H23&gt;=80,"B",IF(H23&gt;=70,"C","D")))</x:f>
        <x:v>A</x:v>
      </x:c>
    </x:row>
    <x:row r="24">
      <x:c r="A24" s="70" t="str">
        <x:v>BR-019</x:v>
      </x:c>
      <x:c r="B24" s="85" t="n">
        <x:v>24650000</x:v>
      </x:c>
      <x:c r="C24" s="120" t="n">
        <x:f>SUMIFS('거래내역'!$D$6:$D$365,'거래내역'!$B$6:$B$365,A24,'거래내역'!$C$6:$C$365,"매출")</x:f>
        <x:v>0</x:v>
      </x:c>
      <x:c r="D24" s="121" t="n">
        <x:f>SUMIFS('거래내역'!$D$6:$D$365,'거래내역'!$B$6:$B$365,A24,'거래내역'!$C$6:$C$365,"비용")</x:f>
        <x:v>105300000</x:v>
      </x:c>
      <x:c r="E24" s="121" t="n">
        <x:f>C24-D24</x:f>
        <x:v>-105300000</x:v>
      </x:c>
      <x:c r="F24" s="133" t="n">
        <x:f>IFERROR(C24/B24,0)</x:f>
        <x:v>0</x:v>
      </x:c>
      <x:c r="G24" s="133" t="n">
        <x:f>IFERROR(E24/C24,0)</x:f>
        <x:v>0</x:v>
      </x:c>
      <x:c r="H24" s="139" t="n">
        <x:f>MIN(100,F24*70+G24*30)</x:f>
        <x:v>0</x:v>
      </x:c>
      <x:c r="I24" s="106" t="str">
        <x:f>IF(H24&gt;=90,"A",IF(H24&gt;=80,"B",IF(H24&gt;=70,"C","D")))</x:f>
        <x:v>D</x:v>
      </x:c>
    </x:row>
    <x:row r="25">
      <x:c r="A25" s="70" t="str">
        <x:v>BR-020</x:v>
      </x:c>
      <x:c r="B25" s="85" t="n">
        <x:v>25000000</x:v>
      </x:c>
      <x:c r="C25" s="120" t="n">
        <x:f>SUMIFS('거래내역'!$D$6:$D$365,'거래내역'!$B$6:$B$365,A25,'거래내역'!$C$6:$C$365,"매출")</x:f>
        <x:v>97500000</x:v>
      </x:c>
      <x:c r="D25" s="121" t="n">
        <x:f>SUMIFS('거래내역'!$D$6:$D$365,'거래내역'!$B$6:$B$365,A25,'거래내역'!$C$6:$C$365,"비용")</x:f>
        <x:v>0</x:v>
      </x:c>
      <x:c r="E25" s="121" t="n">
        <x:f>C25-D25</x:f>
        <x:v>97500000</x:v>
      </x:c>
      <x:c r="F25" s="133" t="n">
        <x:f>IFERROR(C25/B25,0)</x:f>
        <x:v>3.9</x:v>
      </x:c>
      <x:c r="G25" s="133" t="n">
        <x:f>IFERROR(E25/C25,0)</x:f>
        <x:v>1</x:v>
      </x:c>
      <x:c r="H25" s="139" t="n">
        <x:f>MIN(100,F25*70+G25*30)</x:f>
        <x:v>100</x:v>
      </x:c>
      <x:c r="I25" s="106" t="str">
        <x:f>IF(H25&gt;=90,"A",IF(H25&gt;=80,"B",IF(H25&gt;=70,"C","D")))</x:f>
        <x:v>A</x:v>
      </x:c>
    </x:row>
    <x:row r="26">
      <x:c r="A26" s="70" t="str">
        <x:v>BR-021</x:v>
      </x:c>
      <x:c r="B26" s="85" t="n">
        <x:v>25350000</x:v>
      </x:c>
      <x:c r="C26" s="120" t="n">
        <x:f>SUMIFS('거래내역'!$D$6:$D$365,'거래내역'!$B$6:$B$365,A26,'거래내역'!$C$6:$C$365,"매출")</x:f>
        <x:v>101100000</x:v>
      </x:c>
      <x:c r="D26" s="121" t="n">
        <x:f>SUMIFS('거래내역'!$D$6:$D$365,'거래내역'!$B$6:$B$365,A26,'거래내역'!$C$6:$C$365,"비용")</x:f>
        <x:v>0</x:v>
      </x:c>
      <x:c r="E26" s="121" t="n">
        <x:f>C26-D26</x:f>
        <x:v>101100000</x:v>
      </x:c>
      <x:c r="F26" s="133" t="n">
        <x:f>IFERROR(C26/B26,0)</x:f>
        <x:v>3.9881656804733727</x:v>
      </x:c>
      <x:c r="G26" s="133" t="n">
        <x:f>IFERROR(E26/C26,0)</x:f>
        <x:v>1</x:v>
      </x:c>
      <x:c r="H26" s="139" t="n">
        <x:f>MIN(100,F26*70+G26*30)</x:f>
        <x:v>100</x:v>
      </x:c>
      <x:c r="I26" s="106" t="str">
        <x:f>IF(H26&gt;=90,"A",IF(H26&gt;=80,"B",IF(H26&gt;=70,"C","D")))</x:f>
        <x:v>A</x:v>
      </x:c>
    </x:row>
    <x:row r="27">
      <x:c r="A27" s="70" t="str">
        <x:v>BR-022</x:v>
      </x:c>
      <x:c r="B27" s="85" t="n">
        <x:v>25700000</x:v>
      </x:c>
      <x:c r="C27" s="120" t="n">
        <x:f>SUMIFS('거래내역'!$D$6:$D$365,'거래내역'!$B$6:$B$365,A27,'거래내역'!$C$6:$C$365,"매출")</x:f>
        <x:v>0</x:v>
      </x:c>
      <x:c r="D27" s="121" t="n">
        <x:f>SUMIFS('거래내역'!$D$6:$D$365,'거래내역'!$B$6:$B$365,A27,'거래내역'!$C$6:$C$365,"비용")</x:f>
        <x:v>79100000</x:v>
      </x:c>
      <x:c r="E27" s="121" t="n">
        <x:f>C27-D27</x:f>
        <x:v>-79100000</x:v>
      </x:c>
      <x:c r="F27" s="133" t="n">
        <x:f>IFERROR(C27/B27,0)</x:f>
        <x:v>0</x:v>
      </x:c>
      <x:c r="G27" s="133" t="n">
        <x:f>IFERROR(E27/C27,0)</x:f>
        <x:v>0</x:v>
      </x:c>
      <x:c r="H27" s="139" t="n">
        <x:f>MIN(100,F27*70+G27*30)</x:f>
        <x:v>0</x:v>
      </x:c>
      <x:c r="I27" s="106" t="str">
        <x:f>IF(H27&gt;=90,"A",IF(H27&gt;=80,"B",IF(H27&gt;=70,"C","D")))</x:f>
        <x:v>D</x:v>
      </x:c>
    </x:row>
    <x:row r="28">
      <x:c r="A28" s="70" t="str">
        <x:v>BR-023</x:v>
      </x:c>
      <x:c r="B28" s="85" t="n">
        <x:v>26050000</x:v>
      </x:c>
      <x:c r="C28" s="120" t="n">
        <x:f>SUMIFS('거래내역'!$D$6:$D$365,'거래내역'!$B$6:$B$365,A28,'거래내역'!$C$6:$C$365,"매출")</x:f>
        <x:v>100200000</x:v>
      </x:c>
      <x:c r="D28" s="121" t="n">
        <x:f>SUMIFS('거래내역'!$D$6:$D$365,'거래내역'!$B$6:$B$365,A28,'거래내역'!$C$6:$C$365,"비용")</x:f>
        <x:v>0</x:v>
      </x:c>
      <x:c r="E28" s="121" t="n">
        <x:f>C28-D28</x:f>
        <x:v>100200000</x:v>
      </x:c>
      <x:c r="F28" s="133" t="n">
        <x:f>IFERROR(C28/B28,0)</x:f>
        <x:v>3.8464491362763917</x:v>
      </x:c>
      <x:c r="G28" s="133" t="n">
        <x:f>IFERROR(E28/C28,0)</x:f>
        <x:v>1</x:v>
      </x:c>
      <x:c r="H28" s="139" t="n">
        <x:f>MIN(100,F28*70+G28*30)</x:f>
        <x:v>100</x:v>
      </x:c>
      <x:c r="I28" s="106" t="str">
        <x:f>IF(H28&gt;=90,"A",IF(H28&gt;=80,"B",IF(H28&gt;=70,"C","D")))</x:f>
        <x:v>A</x:v>
      </x:c>
    </x:row>
    <x:row r="29">
      <x:c r="A29" s="70" t="str">
        <x:v>BR-024</x:v>
      </x:c>
      <x:c r="B29" s="85" t="n">
        <x:v>26400000</x:v>
      </x:c>
      <x:c r="C29" s="120" t="n">
        <x:f>SUMIFS('거래내역'!$D$6:$D$365,'거래내역'!$B$6:$B$365,A29,'거래내역'!$C$6:$C$365,"매출")</x:f>
        <x:v>96400000</x:v>
      </x:c>
      <x:c r="D29" s="121" t="n">
        <x:f>SUMIFS('거래내역'!$D$6:$D$365,'거래내역'!$B$6:$B$365,A29,'거래내역'!$C$6:$C$365,"비용")</x:f>
        <x:v>0</x:v>
      </x:c>
      <x:c r="E29" s="121" t="n">
        <x:f>C29-D29</x:f>
        <x:v>96400000</x:v>
      </x:c>
      <x:c r="F29" s="133" t="n">
        <x:f>IFERROR(C29/B29,0)</x:f>
        <x:v>3.6515151515151514</x:v>
      </x:c>
      <x:c r="G29" s="133" t="n">
        <x:f>IFERROR(E29/C29,0)</x:f>
        <x:v>1</x:v>
      </x:c>
      <x:c r="H29" s="139" t="n">
        <x:f>MIN(100,F29*70+G29*30)</x:f>
        <x:v>100</x:v>
      </x:c>
      <x:c r="I29" s="106" t="str">
        <x:f>IF(H29&gt;=90,"A",IF(H29&gt;=80,"B",IF(H29&gt;=70,"C","D")))</x:f>
        <x:v>A</x:v>
      </x:c>
    </x:row>
    <x:row r="30">
      <x:c r="A30" s="70" t="str">
        <x:v>BR-025</x:v>
      </x:c>
      <x:c r="B30" s="85" t="n">
        <x:v>26750000</x:v>
      </x:c>
      <x:c r="C30" s="120" t="n">
        <x:f>SUMIFS('거래내역'!$D$6:$D$365,'거래내역'!$B$6:$B$365,A30,'거래내역'!$C$6:$C$365,"매출")</x:f>
        <x:v>0</x:v>
      </x:c>
      <x:c r="D30" s="121" t="n">
        <x:f>SUMIFS('거래내역'!$D$6:$D$365,'거래내역'!$B$6:$B$365,A30,'거래내역'!$C$6:$C$365,"비용")</x:f>
        <x:v>114700000</x:v>
      </x:c>
      <x:c r="E30" s="121" t="n">
        <x:f>C30-D30</x:f>
        <x:v>-114700000</x:v>
      </x:c>
      <x:c r="F30" s="133" t="n">
        <x:f>IFERROR(C30/B30,0)</x:f>
        <x:v>0</x:v>
      </x:c>
      <x:c r="G30" s="133" t="n">
        <x:f>IFERROR(E30/C30,0)</x:f>
        <x:v>0</x:v>
      </x:c>
      <x:c r="H30" s="139" t="n">
        <x:f>MIN(100,F30*70+G30*30)</x:f>
        <x:v>0</x:v>
      </x:c>
      <x:c r="I30" s="106" t="str">
        <x:f>IF(H30&gt;=90,"A",IF(H30&gt;=80,"B",IF(H30&gt;=70,"C","D")))</x:f>
        <x:v>D</x:v>
      </x:c>
    </x:row>
    <x:row r="31">
      <x:c r="A31" s="70" t="str">
        <x:v>BR-026</x:v>
      </x:c>
      <x:c r="B31" s="85" t="n">
        <x:v>27100000</x:v>
      </x:c>
      <x:c r="C31" s="120" t="n">
        <x:f>SUMIFS('거래내역'!$D$6:$D$365,'거래내역'!$B$6:$B$365,A31,'거래내역'!$C$6:$C$365,"매출")</x:f>
        <x:v>116100000</x:v>
      </x:c>
      <x:c r="D31" s="121" t="n">
        <x:f>SUMIFS('거래내역'!$D$6:$D$365,'거래내역'!$B$6:$B$365,A31,'거래내역'!$C$6:$C$365,"비용")</x:f>
        <x:v>0</x:v>
      </x:c>
      <x:c r="E31" s="121" t="n">
        <x:f>C31-D31</x:f>
        <x:v>116100000</x:v>
      </x:c>
      <x:c r="F31" s="133" t="n">
        <x:f>IFERROR(C31/B31,0)</x:f>
        <x:v>4.284132841328414</x:v>
      </x:c>
      <x:c r="G31" s="133" t="n">
        <x:f>IFERROR(E31/C31,0)</x:f>
        <x:v>1</x:v>
      </x:c>
      <x:c r="H31" s="139" t="n">
        <x:v>88.5</x:v>
      </x:c>
      <x:c r="I31" s="106" t="str">
        <x:f>IF(H31&gt;=90,"A",IF(H31&gt;=80,"B",IF(H31&gt;=70,"C","D")))</x:f>
        <x:v>B</x:v>
      </x:c>
    </x:row>
    <x:row r="32">
      <x:c r="A32" s="70" t="str">
        <x:v>BR-027</x:v>
      </x:c>
      <x:c r="B32" s="85" t="n">
        <x:v>27450000</x:v>
      </x:c>
      <x:c r="C32" s="120" t="n">
        <x:f>SUMIFS('거래내역'!$D$6:$D$365,'거래내역'!$B$6:$B$365,A32,'거래내역'!$C$6:$C$365,"매출")</x:f>
        <x:v>121800000</x:v>
      </x:c>
      <x:c r="D32" s="121" t="n">
        <x:f>SUMIFS('거래내역'!$D$6:$D$365,'거래내역'!$B$6:$B$365,A32,'거래내역'!$C$6:$C$365,"비용")</x:f>
        <x:v>0</x:v>
      </x:c>
      <x:c r="E32" s="121" t="n">
        <x:f>C32-D32</x:f>
        <x:v>121800000</x:v>
      </x:c>
      <x:c r="F32" s="133" t="n">
        <x:f>IFERROR(C32/B32,0)</x:f>
        <x:v>4.437158469945355</x:v>
      </x:c>
      <x:c r="G32" s="133" t="n">
        <x:f>IFERROR(E32/C32,0)</x:f>
        <x:v>1</x:v>
      </x:c>
      <x:c r="H32" s="139" t="n">
        <x:f>MIN(100,F32*70+G32*30)</x:f>
        <x:v>100</x:v>
      </x:c>
      <x:c r="I32" s="106" t="str">
        <x:f>IF(H32&gt;=90,"A",IF(H32&gt;=80,"B",IF(H32&gt;=70,"C","D")))</x:f>
        <x:v>A</x:v>
      </x:c>
    </x:row>
    <x:row r="33">
      <x:c r="A33" s="70" t="str">
        <x:v>BR-028</x:v>
      </x:c>
      <x:c r="B33" s="85" t="n">
        <x:v>27800000</x:v>
      </x:c>
      <x:c r="C33" s="120" t="n">
        <x:f>SUMIFS('거래내역'!$D$6:$D$365,'거래내역'!$B$6:$B$365,A33,'거래내역'!$C$6:$C$365,"매출")</x:f>
        <x:v>0</x:v>
      </x:c>
      <x:c r="D33" s="121" t="n">
        <x:f>SUMIFS('거래내역'!$D$6:$D$365,'거래내역'!$B$6:$B$365,A33,'거래내역'!$C$6:$C$365,"비용")</x:f>
        <x:v>100600000</x:v>
      </x:c>
      <x:c r="E33" s="121" t="n">
        <x:f>C33-D33</x:f>
        <x:v>-100600000</x:v>
      </x:c>
      <x:c r="F33" s="133" t="n">
        <x:f>IFERROR(C33/B33,0)</x:f>
        <x:v>0</x:v>
      </x:c>
      <x:c r="G33" s="133" t="n">
        <x:f>IFERROR(E33/C33,0)</x:f>
        <x:v>0</x:v>
      </x:c>
      <x:c r="H33" s="139" t="n">
        <x:f>MIN(100,F33*70+G33*30)</x:f>
        <x:v>0</x:v>
      </x:c>
      <x:c r="I33" s="106" t="str">
        <x:f>IF(H33&gt;=90,"A",IF(H33&gt;=80,"B",IF(H33&gt;=70,"C","D")))</x:f>
        <x:v>D</x:v>
      </x:c>
    </x:row>
    <x:row r="34">
      <x:c r="A34" s="70" t="str">
        <x:v>BR-029</x:v>
      </x:c>
      <x:c r="B34" s="85" t="n">
        <x:v>28150000</x:v>
      </x:c>
      <x:c r="C34" s="120" t="n">
        <x:f>SUMIFS('거래내역'!$D$6:$D$365,'거래내역'!$B$6:$B$365,A34,'거래내역'!$C$6:$C$365,"매출")</x:f>
        <x:v>110600000</x:v>
      </x:c>
      <x:c r="D34" s="121" t="n">
        <x:f>SUMIFS('거래내역'!$D$6:$D$365,'거래내역'!$B$6:$B$365,A34,'거래내역'!$C$6:$C$365,"비용")</x:f>
        <x:v>0</x:v>
      </x:c>
      <x:c r="E34" s="121" t="n">
        <x:f>C34-D34</x:f>
        <x:v>110600000</x:v>
      </x:c>
      <x:c r="F34" s="133" t="n">
        <x:f>IFERROR(C34/B34,0)</x:f>
        <x:v>3.9289520426287745</x:v>
      </x:c>
      <x:c r="G34" s="133" t="n">
        <x:f>IFERROR(E34/C34,0)</x:f>
        <x:v>1</x:v>
      </x:c>
      <x:c r="H34" s="139" t="n">
        <x:f>MIN(100,F34*70+G34*30)</x:f>
        <x:v>100</x:v>
      </x:c>
      <x:c r="I34" s="106" t="str">
        <x:f>IF(H34&gt;=90,"A",IF(H34&gt;=80,"B",IF(H34&gt;=70,"C","D")))</x:f>
        <x:v>A</x:v>
      </x:c>
    </x:row>
    <x:row r="35">
      <x:c r="A35" s="70" t="str">
        <x:v>BR-030</x:v>
      </x:c>
      <x:c r="B35" s="85" t="n">
        <x:v>28500000</x:v>
      </x:c>
      <x:c r="C35" s="120" t="n">
        <x:f>SUMIFS('거래내역'!$D$6:$D$365,'거래내역'!$B$6:$B$365,A35,'거래내역'!$C$6:$C$365,"매출")</x:f>
        <x:v>112700000</x:v>
      </x:c>
      <x:c r="D35" s="121" t="n">
        <x:f>SUMIFS('거래내역'!$D$6:$D$365,'거래내역'!$B$6:$B$365,A35,'거래내역'!$C$6:$C$365,"비용")</x:f>
        <x:v>0</x:v>
      </x:c>
      <x:c r="E35" s="121" t="n">
        <x:f>C35-D35</x:f>
        <x:v>112700000</x:v>
      </x:c>
      <x:c r="F35" s="133" t="n">
        <x:f>IFERROR(C35/B35,0)</x:f>
        <x:v>3.9543859649122806</x:v>
      </x:c>
      <x:c r="G35" s="133" t="n">
        <x:f>IFERROR(E35/C35,0)</x:f>
        <x:v>1</x:v>
      </x:c>
      <x:c r="H35" s="139" t="n">
        <x:f>MIN(100,F35*70+G35*30)</x:f>
        <x:v>100</x:v>
      </x:c>
      <x:c r="I35" s="106" t="str">
        <x:f>IF(H35&gt;=90,"A",IF(H35&gt;=80,"B",IF(H35&gt;=70,"C","D")))</x:f>
        <x:v>A</x:v>
      </x:c>
    </x:row>
    <x:row r="36">
      <x:c r="A36" s="70" t="str">
        <x:v>BR-031</x:v>
      </x:c>
      <x:c r="B36" s="85" t="n">
        <x:v>28850000</x:v>
      </x:c>
      <x:c r="C36" s="120" t="n">
        <x:f>SUMIFS('거래내역'!$D$6:$D$365,'거래내역'!$B$6:$B$365,A36,'거래내역'!$C$6:$C$365,"매출")</x:f>
        <x:v>0</x:v>
      </x:c>
      <x:c r="D36" s="121" t="n">
        <x:f>SUMIFS('거래내역'!$D$6:$D$365,'거래내역'!$B$6:$B$365,A36,'거래내역'!$C$6:$C$365,"비용")</x:f>
        <x:v>91900000</x:v>
      </x:c>
      <x:c r="E36" s="121" t="n">
        <x:f>C36-D36</x:f>
        <x:v>-91900000</x:v>
      </x:c>
      <x:c r="F36" s="133" t="n">
        <x:f>IFERROR(C36/B36,0)</x:f>
        <x:v>0</x:v>
      </x:c>
      <x:c r="G36" s="133" t="n">
        <x:f>IFERROR(E36/C36,0)</x:f>
        <x:v>0</x:v>
      </x:c>
      <x:c r="H36" s="139" t="n">
        <x:f>MIN(100,F36*70+G36*30)</x:f>
        <x:v>0</x:v>
      </x:c>
      <x:c r="I36" s="106" t="str">
        <x:f>IF(H36&gt;=90,"A",IF(H36&gt;=80,"B",IF(H36&gt;=70,"C","D")))</x:f>
        <x:v>D</x:v>
      </x:c>
    </x:row>
    <x:row r="37">
      <x:c r="A37" s="70" t="str">
        <x:v>BR-032</x:v>
      </x:c>
      <x:c r="B37" s="85" t="n">
        <x:v>29200000</x:v>
      </x:c>
      <x:c r="C37" s="120" t="n">
        <x:f>SUMIFS('거래내역'!$D$6:$D$365,'거래내역'!$B$6:$B$365,A37,'거래내역'!$C$6:$C$365,"매출")</x:f>
        <x:v>113900000</x:v>
      </x:c>
      <x:c r="D37" s="121" t="n">
        <x:f>SUMIFS('거래내역'!$D$6:$D$365,'거래내역'!$B$6:$B$365,A37,'거래내역'!$C$6:$C$365,"비용")</x:f>
        <x:v>0</x:v>
      </x:c>
      <x:c r="E37" s="121" t="n">
        <x:f>C37-D37</x:f>
        <x:v>113900000</x:v>
      </x:c>
      <x:c r="F37" s="133" t="n">
        <x:f>IFERROR(C37/B37,0)</x:f>
        <x:v>3.9006849315068495</x:v>
      </x:c>
      <x:c r="G37" s="133" t="n">
        <x:f>IFERROR(E37/C37,0)</x:f>
        <x:v>1</x:v>
      </x:c>
      <x:c r="H37" s="139" t="n">
        <x:f>MIN(100,F37*70+G37*30)</x:f>
        <x:v>100</x:v>
      </x:c>
      <x:c r="I37" s="106" t="str">
        <x:f>IF(H37&gt;=90,"A",IF(H37&gt;=80,"B",IF(H37&gt;=70,"C","D")))</x:f>
        <x:v>A</x:v>
      </x:c>
    </x:row>
    <x:row r="38">
      <x:c r="A38" s="70" t="str">
        <x:v>BR-033</x:v>
      </x:c>
      <x:c r="B38" s="85" t="n">
        <x:v>29550000</x:v>
      </x:c>
      <x:c r="C38" s="120" t="n">
        <x:f>SUMIFS('거래내역'!$D$6:$D$365,'거래내역'!$B$6:$B$365,A38,'거래내역'!$C$6:$C$365,"매출")</x:f>
        <x:v>120700000</x:v>
      </x:c>
      <x:c r="D38" s="121" t="n">
        <x:f>SUMIFS('거래내역'!$D$6:$D$365,'거래내역'!$B$6:$B$365,A38,'거래내역'!$C$6:$C$365,"비용")</x:f>
        <x:v>0</x:v>
      </x:c>
      <x:c r="E38" s="121" t="n">
        <x:f>C38-D38</x:f>
        <x:v>120700000</x:v>
      </x:c>
      <x:c r="F38" s="133" t="n">
        <x:f>IFERROR(C38/B38,0)</x:f>
        <x:v>4.084602368866328</x:v>
      </x:c>
      <x:c r="G38" s="133" t="n">
        <x:f>IFERROR(E38/C38,0)</x:f>
        <x:v>1</x:v>
      </x:c>
      <x:c r="H38" s="139" t="n">
        <x:f>MIN(100,F38*70+G38*30)</x:f>
        <x:v>100</x:v>
      </x:c>
      <x:c r="I38" s="106"/>
    </x:row>
    <x:row r="39">
      <x:c r="A39" s="70" t="str">
        <x:v>BR-034</x:v>
      </x:c>
      <x:c r="B39" s="85" t="n">
        <x:v>29900000</x:v>
      </x:c>
      <x:c r="C39" s="120" t="n">
        <x:f>SUMIFS('거래내역'!$D$6:$D$365,'거래내역'!$B$6:$B$365,A39,'거래내역'!$C$6:$C$365,"매출")</x:f>
        <x:v>0</x:v>
      </x:c>
      <x:c r="D39" s="121" t="n">
        <x:f>SUMIFS('거래내역'!$D$6:$D$365,'거래내역'!$B$6:$B$365,A39,'거래내역'!$C$6:$C$365,"비용")</x:f>
        <x:v>111100000</x:v>
      </x:c>
      <x:c r="E39" s="121" t="n">
        <x:f>C39-D39</x:f>
        <x:v>-111100000</x:v>
      </x:c>
      <x:c r="F39" s="133" t="n">
        <x:f>IFERROR(C39/B39,0)</x:f>
        <x:v>0</x:v>
      </x:c>
      <x:c r="G39" s="133" t="n">
        <x:f>IFERROR(E39/C39,0)</x:f>
        <x:v>0</x:v>
      </x:c>
      <x:c r="H39" s="139" t="n">
        <x:f>MIN(100,F39*70+G39*30)</x:f>
        <x:v>0</x:v>
      </x:c>
      <x:c r="I39" s="106" t="str">
        <x:f>IF(H39&gt;=90,"A",IF(H39&gt;=80,"B",IF(H39&gt;=70,"C","D")))</x:f>
        <x:v>D</x:v>
      </x:c>
    </x:row>
    <x:row r="40">
      <x:c r="A40" s="70" t="str">
        <x:v>BR-035</x:v>
      </x:c>
      <x:c r="B40" s="85" t="n">
        <x:v>30250000</x:v>
      </x:c>
      <x:c r="C40" s="120" t="n">
        <x:f>SUMIFS('거래내역'!$D$6:$D$365,'거래내역'!$B$6:$B$365,A40,'거래내역'!$C$6:$C$365,"매출")</x:f>
        <x:v>107300000</x:v>
      </x:c>
      <x:c r="D40" s="121" t="n">
        <x:f>SUMIFS('거래내역'!$D$6:$D$365,'거래내역'!$B$6:$B$365,A40,'거래내역'!$C$6:$C$365,"비용")</x:f>
        <x:v>0</x:v>
      </x:c>
      <x:c r="E40" s="121" t="n">
        <x:f>C40-D40</x:f>
        <x:v>107300000</x:v>
      </x:c>
      <x:c r="F40" s="133" t="n">
        <x:f>IFERROR(C40/B40,0)</x:f>
        <x:v>3.547107438016529</x:v>
      </x:c>
      <x:c r="G40" s="133" t="n">
        <x:f>IFERROR(E40/C40,0)</x:f>
        <x:v>1</x:v>
      </x:c>
      <x:c r="H40" s="139" t="n">
        <x:f>MIN(100,F40*70+G40*30)</x:f>
        <x:v>100</x:v>
      </x:c>
      <x:c r="I40" s="106" t="str">
        <x:f>IF(H40&gt;=90,"A",IF(H40&gt;=80,"B",IF(H40&gt;=70,"C","D")))</x:f>
        <x:v>A</x:v>
      </x:c>
    </x:row>
    <x:row r="41">
      <x:c r="A41" s="72" t="str">
        <x:v>BR-036</x:v>
      </x:c>
      <x:c r="B41" s="86" t="n">
        <x:v>30600000</x:v>
      </x:c>
      <x:c r="C41" s="122" t="n">
        <x:f>SUMIFS('거래내역'!$D$6:$D$365,'거래내역'!$B$6:$B$365,A41,'거래내역'!$C$6:$C$365,"매출")</x:f>
        <x:v>123000000</x:v>
      </x:c>
      <x:c r="D41" s="123" t="n">
        <x:f>SUMIFS('거래내역'!$D$6:$D$365,'거래내역'!$B$6:$B$365,A41,'거래내역'!$C$6:$C$365,"비용")</x:f>
        <x:v>0</x:v>
      </x:c>
      <x:c r="E41" s="123" t="n">
        <x:f>C41-D41</x:f>
        <x:v>123000000</x:v>
      </x:c>
      <x:c r="F41" s="134" t="n">
        <x:f>IFERROR(C41/B41,0)</x:f>
        <x:v>4.019607843137255</x:v>
      </x:c>
      <x:c r="G41" s="134" t="n">
        <x:f>IFERROR(E41/C41,0)</x:f>
        <x:v>1</x:v>
      </x:c>
      <x:c r="H41" s="140" t="n">
        <x:f>MIN(100,F41*70+G41*30)</x:f>
        <x:v>100</x:v>
      </x:c>
      <x:c r="I41" s="109" t="str">
        <x:f>IF(H41&gt;=90,"A",IF(H41&gt;=80,"B",IF(H41&gt;=70,"C","D")))</x:f>
        <x:v>A</x:v>
      </x:c>
    </x:row>
    <x:row r="42">
      <x:c r="A42" s="148" t="str">
        <x:v>소계</x:v>
      </x:c>
      <x:c r="B42" s="149" t="n">
        <x:f>SUM(B6:B41)</x:f>
        <x:v>881100000</x:v>
      </x:c>
      <x:c r="C42" s="149" t="n">
        <x:f>SUM(C6:C41)</x:f>
        <x:v>2640600000</x:v>
      </x:c>
      <x:c r="D42" s="149" t="n">
        <x:f>SUM(D6:D41)</x:f>
        <x:v>1189000000</x:v>
      </x:c>
      <x:c r="E42" s="149" t="n">
        <x:f>SUM(E6:E41)</x:f>
        <x:v>1451600000</x:v>
      </x:c>
      <x:c r="F42" s="150" t="str"/>
      <x:c r="G42" s="150" t="str"/>
      <x:c r="H42" s="150" t="str"/>
      <x:c r="I42" s="151" t="str"/>
    </x:row>
    <x:row r="43">
      <x:c r="A43" s="164" t="str">
        <x:v>본부조정</x:v>
      </x:c>
      <x:c r="B43" s="165" t="n">
        <x:v>0</x:v>
      </x:c>
      <x:c r="C43" s="165" t="n">
        <x:v>0</x:v>
      </x:c>
      <x:c r="D43" s="165" t="n">
        <x:v>0</x:v>
      </x:c>
      <x:c r="E43" s="165" t="n">
        <x:v>-2500000</x:v>
      </x:c>
      <x:c r="F43" s="166" t="n">
        <x:v>0</x:v>
      </x:c>
      <x:c r="G43" s="166" t="n">
        <x:v>0</x:v>
      </x:c>
      <x:c r="H43" s="166" t="n">
        <x:v>0</x:v>
      </x:c>
      <x:c r="I43" s="167" t="str"/>
    </x:row>
    <x:row r="44">
      <x:c r="A44" s="148" t="str">
        <x:v>합계</x:v>
      </x:c>
      <x:c r="B44" s="149" t="n">
        <x:f>B42+B43</x:f>
        <x:v>881100000</x:v>
      </x:c>
      <x:c r="C44" s="149" t="n">
        <x:f>C42+C43</x:f>
        <x:v>2640600000</x:v>
      </x:c>
      <x:c r="D44" s="149" t="n">
        <x:f>D42+D43</x:f>
        <x:v>1189000000</x:v>
      </x:c>
      <x:c r="E44" s="149" t="n">
        <x:f>E42+E43</x:f>
        <x:v>1449100000</x:v>
      </x:c>
      <x:c r="F44" s="150" t="str"/>
      <x:c r="G44" s="150" t="str"/>
      <x:c r="H44" s="150" t="str"/>
      <x:c r="I44" s="151" t="str"/>
    </x:row>
  </x:sheetData>
  <x:mergeCells>
    <x:mergeCell ref="A1:I1"/>
    <x:mergeCell ref="A2:I2"/>
    <x:mergeCell ref="A3:I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5" t="str">
        <x:v>지점 KPI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2" t="str">
        <x:v>매출·이익·평균달성률·A등급 수</x:v>
      </x:c>
      <x:c r="B2" s="12"/>
      <x:c r="C2" s="12"/>
      <x:c r="D2" s="12"/>
      <x:c r="E2" s="12"/>
      <x:c r="F2" s="12"/>
      <x:c r="G2" s="12"/>
      <x:c r="H2" s="12"/>
    </x:row>
    <x:row r="3">
      <x:c r="A3" s="18" t="str">
        <x:v>M4-C 추가 교정용 합성 데이터입니다.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</x:row>
    <x:row r="5">
      <x:c r="A5" s="177" t="str">
        <x:v>총매출</x:v>
      </x:c>
      <x:c r="B5" s="177"/>
      <x:c r="C5" s="177" t="str">
        <x:v>총이익</x:v>
      </x:c>
      <x:c r="D5" s="177"/>
      <x:c r="E5" s="177" t="str">
        <x:v>평균달성률</x:v>
      </x:c>
      <x:c r="F5" s="177"/>
      <x:c r="G5" s="177" t="str">
        <x:v>A등급 지점</x:v>
      </x:c>
      <x:c r="H5" s="177"/>
    </x:row>
    <x:row r="6">
      <x:c r="A6" s="182" t="n">
        <x:f>'지점평가'!C44</x:f>
        <x:v>2640600000</x:v>
      </x:c>
      <x:c r="B6" s="182"/>
      <x:c r="C6" s="182" t="n">
        <x:f>'지점평가'!E44</x:f>
        <x:v>1449100000</x:v>
      </x:c>
      <x:c r="D6" s="182"/>
      <x:c r="E6" s="182" t="n">
        <x:f>AVERAGE('지점평가'!F6:F41)</x:f>
        <x:v>3.0396279439103053</x:v>
      </x:c>
      <x:c r="F6" s="182"/>
      <x:c r="G6" s="182" t="n">
        <x:f>COUNTIF('지점평가'!I6:I41,"A")</x:f>
        <x:v>22</x:v>
      </x:c>
      <x:c r="H6" s="182"/>
    </x:row>
    <x:row r="7">
      <x:c r="A7" s="182"/>
      <x:c r="B7" s="182"/>
      <x:c r="C7" s="182"/>
      <x:c r="D7" s="182"/>
      <x:c r="E7" s="182"/>
      <x:c r="F7" s="182"/>
      <x:c r="G7" s="182"/>
      <x:c r="H7" s="182"/>
    </x:row>
  </x:sheetData>
  <x:mergeCells>
    <x:mergeCell ref="A1:H1"/>
    <x:mergeCell ref="A2:H2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</x:mergeCells>
  <x:pageMargins left="0.7" right="0.7" top="0.75" bottom="0.75" header="0.3" footer="0.3"/>
</x:worksheet>
</file>