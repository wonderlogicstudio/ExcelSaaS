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c7717fbe3b49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20b0f2bd7bf443bf"/>
    <x:sheet xmlns:r="http://schemas.openxmlformats.org/officeDocument/2006/relationships" name="품목마스터" sheetId="2" r:id="Recba9ece05e14735"/>
    <x:sheet xmlns:r="http://schemas.openxmlformats.org/officeDocument/2006/relationships" name="발주내역" sheetId="3" r:id="Rccc24e096f9c4d9d"/>
    <x:sheet xmlns:r="http://schemas.openxmlformats.org/officeDocument/2006/relationships" name="공급처요약" sheetId="4" r:id="R2fc7af7699ca4352"/>
    <x:sheet xmlns:r="http://schemas.openxmlformats.org/officeDocument/2006/relationships" name="요약" sheetId="5" r:id="R0f03597d61fc46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95959"/>
      <x:name val="Carlito"/>
    </x:font>
    <x:font>
      <x:sz val="9"/>
      <x:color rgb="FF666666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color rgb="FF9C0006"/>
      <x:name val="Carlito"/>
    </x:font>
    <x:font>
      <x:b/>
      <x:sz val="11"/>
      <x:color rgb="FF595959"/>
      <x:name val="Carlito"/>
    </x:font>
    <x:font>
      <x:b/>
      <x:sz val="15"/>
      <x:color rgb="FF17365D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2F75B5"/>
      </x:patternFill>
    </x:fill>
    <x:fill>
      <x:patternFill patternType="solid">
        <x:fgColor rgb="FFE7E6E6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0F6B78"/>
      </x:patternFill>
    </x:fill>
    <x:fill>
      <x:patternFill patternType="solid">
        <x:fgColor rgb="FFFCE4D6"/>
      </x:patternFill>
    </x:fill>
  </x:fills>
  <x:borders count="42">
    <x:border/>
    <x:border/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left style="hair">
        <x:color rgb="FFD9D9D9"/>
      </x:left>
      <x:top style="hair">
        <x:color rgb="FFD9D9D9"/>
      </x:top>
    </x:border>
    <x:border>
      <x:top style="hair">
        <x:color rgb="FFD9D9D9"/>
      </x:top>
    </x:border>
    <x:border>
      <x:right style="hair">
        <x:color rgb="FFD9D9D9"/>
      </x:right>
      <x:top style="hair">
        <x:color rgb="FFD9D9D9"/>
      </x:top>
    </x:border>
    <x:border>
      <x:left style="hair">
        <x:color rgb="FFD9D9D9"/>
      </x:left>
    </x:border>
    <x:border>
      <x:right style="hair">
        <x:color rgb="FFD9D9D9"/>
      </x:right>
    </x:border>
    <x:border>
      <x:left style="hair">
        <x:color rgb="FFD9D9D9"/>
      </x:left>
      <x:bottom style="hair">
        <x:color rgb="FFD9D9D9"/>
      </x:bottom>
    </x:border>
    <x:border>
      <x:bottom style="hair">
        <x:color rgb="FFD9D9D9"/>
      </x:bottom>
    </x:border>
    <x:border>
      <x:right style="hair">
        <x:color rgb="FFD9D9D9"/>
      </x:right>
      <x:bottom style="hair">
        <x:color rgb="FFD9D9D9"/>
      </x:bottom>
    </x:border>
    <x:border>
      <x:left style="hair">
        <x:color rgb="FFD9D9D9"/>
      </x:left>
      <x:top style="hair">
        <x:color rgb="FFD9D9D9"/>
      </x:top>
    </x:border>
    <x:border>
      <x:top style="hair">
        <x:color rgb="FFD9D9D9"/>
      </x:top>
    </x:border>
    <x:border>
      <x:right style="hair">
        <x:color rgb="FFD9D9D9"/>
      </x:right>
      <x:top style="hair">
        <x:color rgb="FFD9D9D9"/>
      </x:top>
    </x:border>
    <x:border>
      <x:left style="hair">
        <x:color rgb="FFD9D9D9"/>
      </x:left>
    </x:border>
    <x:border>
      <x:right style="hair">
        <x:color rgb="FFD9D9D9"/>
      </x:right>
    </x:border>
    <x:border>
      <x:left style="hair">
        <x:color rgb="FFD9D9D9"/>
      </x:left>
      <x:bottom style="hair">
        <x:color rgb="FFD9D9D9"/>
      </x:bottom>
    </x:border>
    <x:border>
      <x:bottom style="hair">
        <x:color rgb="FFD9D9D9"/>
      </x:bottom>
    </x:border>
    <x:border>
      <x:right style="hair">
        <x:color rgb="FFD9D9D9"/>
      </x:right>
      <x:bottom style="hair">
        <x:color rgb="FFD9D9D9"/>
      </x:bottom>
    </x:border>
    <x:border>
      <x:left style="hair">
        <x:color rgb="FFD9D9D9"/>
      </x:left>
      <x:right style="hair">
        <x:color rgb="FFD9D9D9"/>
      </x:right>
      <x:top style="hair">
        <x:color rgb="FFD9D9D9"/>
      </x:top>
    </x:border>
    <x:border>
      <x:left style="hair">
        <x:color rgb="FFD9D9D9"/>
      </x:left>
      <x:right style="hair">
        <x:color rgb="FFD9D9D9"/>
      </x:right>
    </x:border>
    <x:border>
      <x:left style="hair">
        <x:color rgb="FFD9D9D9"/>
      </x:left>
      <x:right style="hair">
        <x:color rgb="FFD9D9D9"/>
      </x:right>
      <x:bottom style="hair">
        <x:color rgb="FFD9D9D9"/>
      </x:bottom>
    </x:border>
    <x:border>
      <x:left style="hair">
        <x:color rgb="FFD9D9D9"/>
      </x:left>
      <x:right style="hair">
        <x:color rgb="FFD9D9D9"/>
      </x:right>
      <x:top style="hair">
        <x:color rgb="FFD9D9D9"/>
      </x:top>
    </x:border>
    <x:border>
      <x:left style="hair">
        <x:color rgb="FFD9D9D9"/>
      </x:left>
      <x:right style="hair">
        <x:color rgb="FFD9D9D9"/>
      </x:right>
    </x:border>
    <x:border>
      <x:left style="hair">
        <x:color rgb="FFD9D9D9"/>
      </x:left>
      <x:right style="hair">
        <x:color rgb="FFD9D9D9"/>
      </x:right>
      <x:bottom style="hair">
        <x:color rgb="FFD9D9D9"/>
      </x:bottom>
    </x:border>
    <x:border>
      <x:left style="thin">
        <x:color rgb="FF0F6B78"/>
      </x:left>
      <x:top style="thin">
        <x:color rgb="FF0F6B78"/>
      </x:top>
      <x:bottom style="thin">
        <x:color rgb="FF0F6B78"/>
      </x:bottom>
    </x:border>
    <x:border>
      <x:top style="thin">
        <x:color rgb="FF0F6B78"/>
      </x:top>
      <x:bottom style="thin">
        <x:color rgb="FF0F6B78"/>
      </x:bottom>
    </x:border>
    <x:border>
      <x:right style="thin">
        <x:color rgb="FF0F6B78"/>
      </x:right>
      <x:top style="thin">
        <x:color rgb="FF0F6B78"/>
      </x:top>
      <x:bottom style="thin">
        <x:color rgb="FF0F6B78"/>
      </x:bottom>
    </x:border>
    <x:border>
      <x:left style="thin">
        <x:color rgb="FF0F6B78"/>
      </x:left>
      <x:top style="thin">
        <x:color rgb="FF0F6B78"/>
      </x:top>
      <x:bottom style="thin">
        <x:color rgb="FF0F6B78"/>
      </x:bottom>
    </x:border>
    <x:border>
      <x:top style="thin">
        <x:color rgb="FF0F6B78"/>
      </x:top>
      <x:bottom style="thin">
        <x:color rgb="FF0F6B78"/>
      </x:bottom>
    </x:border>
    <x:border>
      <x:right style="thin">
        <x:color rgb="FF0F6B78"/>
      </x:right>
      <x:top style="thin">
        <x:color rgb="FF0F6B78"/>
      </x:top>
      <x:bottom style="thin">
        <x:color rgb="FF0F6B78"/>
      </x:bottom>
    </x:border>
    <x:border>
      <x:left style="thin">
        <x:color rgb="FFF4B084"/>
      </x:left>
      <x:top style="thin">
        <x:color rgb="FFF4B084"/>
      </x:top>
      <x:bottom style="thin">
        <x:color rgb="FFF4B084"/>
      </x:bottom>
    </x:border>
    <x:border>
      <x:top style="thin">
        <x:color rgb="FFF4B084"/>
      </x:top>
      <x:bottom style="thin">
        <x:color rgb="FFF4B084"/>
      </x:bottom>
    </x:border>
    <x:border>
      <x:right style="thin">
        <x:color rgb="FFF4B084"/>
      </x:right>
      <x:top style="thin">
        <x:color rgb="FFF4B084"/>
      </x:top>
      <x:bottom style="thin">
        <x:color rgb="FFF4B084"/>
      </x:bottom>
    </x:border>
    <x:border>
      <x:left style="thin">
        <x:color rgb="FFF4B084"/>
      </x:left>
      <x:top style="thin">
        <x:color rgb="FFF4B084"/>
      </x:top>
      <x:bottom style="thin">
        <x:color rgb="FFF4B084"/>
      </x:bottom>
    </x:border>
    <x:border>
      <x:top style="thin">
        <x:color rgb="FFF4B084"/>
      </x:top>
      <x:bottom style="thin">
        <x:color rgb="FFF4B084"/>
      </x:bottom>
    </x:border>
    <x:border>
      <x:right style="thin">
        <x:color rgb="FFF4B084"/>
      </x:right>
      <x:top style="thin">
        <x:color rgb="FFF4B084"/>
      </x:top>
      <x:bottom style="thin">
        <x:color rgb="FFF4B084"/>
      </x:bottom>
    </x:border>
  </x:borders>
  <x:cellStyleXfs count="1">
    <x:xf numFmtId="0" fontId="0" fillId="0" borderId="0"/>
  </x:cellStyleXfs>
  <x:cellXfs count="20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3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horizontal="center" wrapText="1"/>
    </x:xf>
    <x:xf numFmtId="0" fontId="4" fillId="5" borderId="5" xfId="0" applyNumberFormat="1" applyFont="1" applyFill="1" applyBorder="1" applyAlignment="1">
      <x:alignment horizont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4" fillId="5" borderId="6" xfId="0" applyNumberFormat="1" applyFont="1" applyFill="1" applyBorder="1"/>
    <x:xf numFmtId="0" fontId="4" fillId="5" borderId="6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horizontal="center" wrapText="1"/>
    </x:xf>
    <x:xf numFmtId="0" fontId="4" fillId="5" borderId="6" xfId="0" applyNumberFormat="1" applyFont="1" applyFill="1" applyBorder="1" applyAlignment="1">
      <x:alignment horizontal="center" vertical="center" wrapText="1"/>
    </x:xf>
    <x:xf numFmtId="0" fontId="4" fillId="5" borderId="7" xfId="0" applyNumberFormat="1" applyFont="1" applyFill="1" applyBorder="1"/>
    <x:xf numFmtId="0" fontId="4" fillId="5" borderId="7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horizontal="center" wrapText="1"/>
    </x:xf>
    <x:xf numFmtId="0" fontId="4" fillId="5" borderId="7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0" fillId="8" borderId="8" xfId="0" applyNumberFormat="1" applyFont="1" applyFill="1" applyBorder="1"/>
    <x:xf numFmtId="0" fontId="0" fillId="8" borderId="9" xfId="0" applyNumberFormat="1" applyFont="1" applyFill="1" applyBorder="1"/>
    <x:xf numFmtId="0" fontId="0" fillId="8" borderId="10" xfId="0" applyNumberFormat="1" applyFont="1" applyFill="1" applyBorder="1"/>
    <x:xf numFmtId="0" fontId="0" fillId="8" borderId="11" xfId="0" applyNumberFormat="1" applyFont="1" applyFill="1" applyBorder="1"/>
    <x:xf numFmtId="0" fontId="0" fillId="8" borderId="12" xfId="0" applyNumberFormat="1" applyFont="1" applyFill="1" applyBorder="1"/>
    <x:xf numFmtId="0" fontId="0" fillId="8" borderId="13" xfId="0" applyNumberFormat="1" applyFont="1" applyFill="1" applyBorder="1"/>
    <x:xf numFmtId="0" fontId="0" fillId="8" borderId="14" xfId="0" applyNumberFormat="1" applyFont="1" applyFill="1" applyBorder="1"/>
    <x:xf numFmtId="0" fontId="0" fillId="8" borderId="15" xfId="0" applyNumberFormat="1" applyFont="1" applyFill="1" applyBorder="1"/>
    <x:xf numFmtId="0" fontId="0" fillId="8" borderId="1" xfId="0" applyNumberFormat="1" applyFont="1" applyFill="1" applyBorder="1"/>
    <x:xf numFmtId="0" fontId="0" fillId="8" borderId="16" xfId="0" applyNumberFormat="1" applyFont="1" applyFill="1" applyBorder="1"/>
    <x:xf numFmtId="0" fontId="0" fillId="8" borderId="17" xfId="0" applyNumberFormat="1" applyFont="1" applyFill="1" applyBorder="1"/>
    <x:xf numFmtId="0" fontId="0" fillId="8" borderId="18" xfId="0" applyNumberFormat="1" applyFont="1" applyFill="1" applyBorder="1"/>
    <x:xf numFmtId="0" fontId="0" fillId="8" borderId="19" xfId="0" applyNumberFormat="1" applyFont="1" applyFill="1" applyBorder="1"/>
    <x:xf numFmtId="0" fontId="0" fillId="8" borderId="20" xfId="0" applyNumberFormat="1" applyFont="1" applyFill="1" applyBorder="1"/>
    <x:xf numFmtId="0" fontId="0" fillId="8" borderId="21" xfId="0" applyNumberFormat="1" applyFont="1" applyFill="1" applyBorder="1"/>
    <x:xf numFmtId="0" fontId="0" fillId="8" borderId="22" xfId="0" applyNumberFormat="1" applyFont="1" applyFill="1" applyBorder="1"/>
    <x:xf numFmtId="0" fontId="0" fillId="8" borderId="23" xfId="0" applyNumberFormat="1" applyFont="1" applyFill="1" applyBorder="1"/>
    <x:xf numFmtId="200" fontId="0" fillId="8" borderId="9" xfId="0" applyNumberFormat="1" applyFont="1" applyFill="1" applyBorder="1"/>
    <x:xf numFmtId="200" fontId="0" fillId="8" borderId="0" xfId="0" applyNumberFormat="1" applyFont="1" applyFill="1" applyBorder="1"/>
    <x:xf numFmtId="200" fontId="0" fillId="8" borderId="14" xfId="0" applyNumberFormat="1" applyFont="1" applyFill="1" applyBorder="1"/>
    <x:xf numFmtId="200" fontId="0" fillId="8" borderId="17" xfId="0" applyNumberFormat="1" applyFont="1" applyFill="1" applyBorder="1"/>
    <x:xf numFmtId="200" fontId="0" fillId="8" borderId="1" xfId="0" applyNumberFormat="1" applyFont="1" applyFill="1" applyBorder="1"/>
    <x:xf numFmtId="200" fontId="0" fillId="8" borderId="22" xfId="0" applyNumberFormat="1" applyFont="1" applyFill="1" applyBorder="1"/>
    <x:xf numFmtId="0" fontId="0" fillId="8" borderId="24" xfId="0" applyNumberFormat="1" applyFont="1" applyFill="1" applyBorder="1"/>
    <x:xf numFmtId="0" fontId="0" fillId="8" borderId="25" xfId="0" applyNumberFormat="1" applyFont="1" applyFill="1" applyBorder="1"/>
    <x:xf numFmtId="0" fontId="0" fillId="8" borderId="26" xfId="0" applyNumberFormat="1" applyFont="1" applyFill="1" applyBorder="1"/>
    <x:xf numFmtId="0" fontId="0" fillId="8" borderId="27" xfId="0" applyNumberFormat="1" applyFont="1" applyFill="1" applyBorder="1"/>
    <x:xf numFmtId="0" fontId="0" fillId="8" borderId="28" xfId="0" applyNumberFormat="1" applyFont="1" applyFill="1" applyBorder="1"/>
    <x:xf numFmtId="0" fontId="0" fillId="8" borderId="29" xfId="0" applyNumberFormat="1" applyFont="1" applyFill="1" applyBorder="1"/>
    <x:xf numFmtId="0" fontId="0" fillId="7" borderId="24" xfId="0" applyNumberFormat="1" applyFont="1" applyFill="1" applyBorder="1"/>
    <x:xf numFmtId="0" fontId="0" fillId="7" borderId="25" xfId="0" applyNumberFormat="1" applyFont="1" applyFill="1" applyBorder="1"/>
    <x:xf numFmtId="0" fontId="0" fillId="7" borderId="26" xfId="0" applyNumberFormat="1" applyFont="1" applyFill="1" applyBorder="1"/>
    <x:xf numFmtId="0" fontId="0" fillId="7" borderId="8" xfId="0" applyNumberFormat="1" applyFont="1" applyFill="1" applyBorder="1"/>
    <x:xf numFmtId="0" fontId="0" fillId="7" borderId="9" xfId="0" applyNumberFormat="1" applyFont="1" applyFill="1" applyBorder="1"/>
    <x:xf numFmtId="0" fontId="0" fillId="7" borderId="10" xfId="0" applyNumberFormat="1" applyFont="1" applyFill="1" applyBorder="1"/>
    <x:xf numFmtId="0" fontId="0" fillId="7" borderId="11" xfId="0" applyNumberFormat="1" applyFont="1" applyFill="1" applyBorder="1"/>
    <x:xf numFmtId="0" fontId="0" fillId="7" borderId="12" xfId="0" applyNumberFormat="1" applyFont="1" applyFill="1" applyBorder="1"/>
    <x:xf numFmtId="0" fontId="0" fillId="7" borderId="13" xfId="0" applyNumberFormat="1" applyFont="1" applyFill="1" applyBorder="1"/>
    <x:xf numFmtId="0" fontId="0" fillId="7" borderId="14" xfId="0" applyNumberFormat="1" applyFont="1" applyFill="1" applyBorder="1"/>
    <x:xf numFmtId="0" fontId="0" fillId="7" borderId="15" xfId="0" applyNumberFormat="1" applyFont="1" applyFill="1" applyBorder="1"/>
    <x:xf numFmtId="0" fontId="0" fillId="7" borderId="27" xfId="0" applyNumberFormat="1" applyFont="1" applyFill="1" applyBorder="1"/>
    <x:xf numFmtId="0" fontId="0" fillId="7" borderId="28" xfId="0" applyNumberFormat="1" applyFont="1" applyFill="1" applyBorder="1"/>
    <x:xf numFmtId="0" fontId="0" fillId="7" borderId="29" xfId="0" applyNumberFormat="1" applyFont="1" applyFill="1" applyBorder="1"/>
    <x:xf numFmtId="0" fontId="0" fillId="7" borderId="16" xfId="0" applyNumberFormat="1" applyFont="1" applyFill="1" applyBorder="1"/>
    <x:xf numFmtId="0" fontId="0" fillId="7" borderId="17" xfId="0" applyNumberFormat="1" applyFont="1" applyFill="1" applyBorder="1"/>
    <x:xf numFmtId="0" fontId="0" fillId="7" borderId="18" xfId="0" applyNumberFormat="1" applyFont="1" applyFill="1" applyBorder="1"/>
    <x:xf numFmtId="0" fontId="0" fillId="7" borderId="19" xfId="0" applyNumberFormat="1" applyFont="1" applyFill="1" applyBorder="1"/>
    <x:xf numFmtId="0" fontId="0" fillId="7" borderId="20" xfId="0" applyNumberFormat="1" applyFont="1" applyFill="1" applyBorder="1"/>
    <x:xf numFmtId="0" fontId="0" fillId="7" borderId="21" xfId="0" applyNumberFormat="1" applyFont="1" applyFill="1" applyBorder="1"/>
    <x:xf numFmtId="0" fontId="0" fillId="7" borderId="22" xfId="0" applyNumberFormat="1" applyFont="1" applyFill="1" applyBorder="1"/>
    <x:xf numFmtId="0" fontId="0" fillId="7" borderId="23" xfId="0" applyNumberFormat="1" applyFont="1" applyFill="1" applyBorder="1"/>
    <x:xf numFmtId="201" fontId="0" fillId="8" borderId="8" xfId="0" applyNumberFormat="1" applyFont="1" applyFill="1" applyBorder="1"/>
    <x:xf numFmtId="201" fontId="0" fillId="8" borderId="11" xfId="0" applyNumberFormat="1" applyFont="1" applyFill="1" applyBorder="1"/>
    <x:xf numFmtId="201" fontId="0" fillId="8" borderId="13" xfId="0" applyNumberFormat="1" applyFont="1" applyFill="1" applyBorder="1"/>
    <x:xf numFmtId="201" fontId="0" fillId="8" borderId="16" xfId="0" applyNumberFormat="1" applyFont="1" applyFill="1" applyBorder="1"/>
    <x:xf numFmtId="201" fontId="0" fillId="8" borderId="19" xfId="0" applyNumberFormat="1" applyFont="1" applyFill="1" applyBorder="1"/>
    <x:xf numFmtId="201" fontId="0" fillId="8" borderId="21" xfId="0" applyNumberFormat="1" applyFont="1" applyFill="1" applyBorder="1"/>
    <x:xf numFmtId="201" fontId="0" fillId="8" borderId="24" xfId="0" applyNumberFormat="1" applyFont="1" applyFill="1" applyBorder="1"/>
    <x:xf numFmtId="201" fontId="0" fillId="8" borderId="25" xfId="0" applyNumberFormat="1" applyFont="1" applyFill="1" applyBorder="1"/>
    <x:xf numFmtId="201" fontId="0" fillId="8" borderId="26" xfId="0" applyNumberFormat="1" applyFont="1" applyFill="1" applyBorder="1"/>
    <x:xf numFmtId="201" fontId="0" fillId="8" borderId="27" xfId="0" applyNumberFormat="1" applyFont="1" applyFill="1" applyBorder="1"/>
    <x:xf numFmtId="201" fontId="0" fillId="8" borderId="28" xfId="0" applyNumberFormat="1" applyFont="1" applyFill="1" applyBorder="1"/>
    <x:xf numFmtId="201" fontId="0" fillId="8" borderId="29" xfId="0" applyNumberFormat="1" applyFont="1" applyFill="1" applyBorder="1"/>
    <x:xf numFmtId="200" fontId="0" fillId="8" borderId="10" xfId="0" applyNumberFormat="1" applyFont="1" applyFill="1" applyBorder="1"/>
    <x:xf numFmtId="200" fontId="0" fillId="7" borderId="8" xfId="0" applyNumberFormat="1" applyFont="1" applyFill="1" applyBorder="1"/>
    <x:xf numFmtId="200" fontId="0" fillId="7" borderId="24" xfId="0" applyNumberFormat="1" applyFont="1" applyFill="1" applyBorder="1"/>
    <x:xf numFmtId="200" fontId="0" fillId="7" borderId="9" xfId="0" applyNumberFormat="1" applyFont="1" applyFill="1" applyBorder="1"/>
    <x:xf numFmtId="200" fontId="0" fillId="8" borderId="12" xfId="0" applyNumberFormat="1" applyFont="1" applyFill="1" applyBorder="1"/>
    <x:xf numFmtId="200" fontId="0" fillId="7" borderId="11" xfId="0" applyNumberFormat="1" applyFont="1" applyFill="1" applyBorder="1"/>
    <x:xf numFmtId="200" fontId="0" fillId="7" borderId="25" xfId="0" applyNumberFormat="1" applyFont="1" applyFill="1" applyBorder="1"/>
    <x:xf numFmtId="200" fontId="0" fillId="7" borderId="0" xfId="0" applyNumberFormat="1" applyFont="1" applyFill="1" applyBorder="1"/>
    <x:xf numFmtId="200" fontId="0" fillId="8" borderId="15" xfId="0" applyNumberFormat="1" applyFont="1" applyFill="1" applyBorder="1"/>
    <x:xf numFmtId="200" fontId="0" fillId="7" borderId="13" xfId="0" applyNumberFormat="1" applyFont="1" applyFill="1" applyBorder="1"/>
    <x:xf numFmtId="200" fontId="0" fillId="7" borderId="26" xfId="0" applyNumberFormat="1" applyFont="1" applyFill="1" applyBorder="1"/>
    <x:xf numFmtId="200" fontId="0" fillId="7" borderId="14" xfId="0" applyNumberFormat="1" applyFont="1" applyFill="1" applyBorder="1"/>
    <x:xf numFmtId="200" fontId="0" fillId="0" borderId="0" xfId="0" applyNumberFormat="1" applyFont="1" applyFill="1" applyBorder="1"/>
    <x:xf numFmtId="200" fontId="0" fillId="8" borderId="18" xfId="0" applyNumberFormat="1" applyFont="1" applyFill="1" applyBorder="1"/>
    <x:xf numFmtId="200" fontId="0" fillId="7" borderId="16" xfId="0" applyNumberFormat="1" applyFont="1" applyFill="1" applyBorder="1"/>
    <x:xf numFmtId="200" fontId="0" fillId="7" borderId="27" xfId="0" applyNumberFormat="1" applyFont="1" applyFill="1" applyBorder="1"/>
    <x:xf numFmtId="200" fontId="0" fillId="7" borderId="17" xfId="0" applyNumberFormat="1" applyFont="1" applyFill="1" applyBorder="1"/>
    <x:xf numFmtId="200" fontId="0" fillId="8" borderId="20" xfId="0" applyNumberFormat="1" applyFont="1" applyFill="1" applyBorder="1"/>
    <x:xf numFmtId="200" fontId="0" fillId="7" borderId="19" xfId="0" applyNumberFormat="1" applyFont="1" applyFill="1" applyBorder="1"/>
    <x:xf numFmtId="200" fontId="0" fillId="7" borderId="28" xfId="0" applyNumberFormat="1" applyFont="1" applyFill="1" applyBorder="1"/>
    <x:xf numFmtId="200" fontId="0" fillId="7" borderId="1" xfId="0" applyNumberFormat="1" applyFont="1" applyFill="1" applyBorder="1"/>
    <x:xf numFmtId="200" fontId="0" fillId="8" borderId="23" xfId="0" applyNumberFormat="1" applyFont="1" applyFill="1" applyBorder="1"/>
    <x:xf numFmtId="200" fontId="0" fillId="7" borderId="21" xfId="0" applyNumberFormat="1" applyFont="1" applyFill="1" applyBorder="1"/>
    <x:xf numFmtId="200" fontId="0" fillId="7" borderId="29" xfId="0" applyNumberFormat="1" applyFont="1" applyFill="1" applyBorder="1"/>
    <x:xf numFmtId="200" fontId="0" fillId="7" borderId="22" xfId="0" applyNumberFormat="1" applyFont="1" applyFill="1" applyBorder="1"/>
    <x:xf numFmtId="200" fontId="0" fillId="0" borderId="1" xfId="0" applyNumberFormat="1" applyFont="1" applyFill="1" applyBorder="1"/>
    <x:xf numFmtId="0" fontId="0" fillId="9" borderId="0" xfId="0" applyNumberFormat="1" applyFont="1" applyFill="1" applyBorder="1"/>
    <x:xf numFmtId="200" fontId="0" fillId="9" borderId="0" xfId="0" applyNumberFormat="1" applyFont="1" applyFill="1" applyBorder="1"/>
    <x:xf numFmtId="0" fontId="4" fillId="9" borderId="0" xfId="0" applyNumberFormat="1" applyFont="1" applyFill="1" applyBorder="1"/>
    <x:xf numFmtId="200" fontId="4" fillId="9" borderId="0" xfId="0" applyNumberFormat="1" applyFont="1" applyFill="1" applyBorder="1"/>
    <x:xf numFmtId="0" fontId="4" fillId="9" borderId="30" xfId="0" applyNumberFormat="1" applyFont="1" applyFill="1" applyBorder="1"/>
    <x:xf numFmtId="0" fontId="4" fillId="9" borderId="31" xfId="0" applyNumberFormat="1" applyFont="1" applyFill="1" applyBorder="1"/>
    <x:xf numFmtId="200" fontId="4" fillId="9" borderId="31" xfId="0" applyNumberFormat="1" applyFont="1" applyFill="1" applyBorder="1"/>
    <x:xf numFmtId="0" fontId="4" fillId="9" borderId="32" xfId="0" applyNumberFormat="1" applyFont="1" applyFill="1" applyBorder="1"/>
    <x:xf numFmtId="0" fontId="0" fillId="9" borderId="1" xfId="0" applyNumberFormat="1" applyFont="1" applyFill="1" applyBorder="1"/>
    <x:xf numFmtId="200" fontId="0" fillId="9" borderId="1" xfId="0" applyNumberFormat="1" applyFont="1" applyFill="1" applyBorder="1"/>
    <x:xf numFmtId="0" fontId="4" fillId="9" borderId="1" xfId="0" applyNumberFormat="1" applyFont="1" applyFill="1" applyBorder="1"/>
    <x:xf numFmtId="200" fontId="4" fillId="9" borderId="1" xfId="0" applyNumberFormat="1" applyFont="1" applyFill="1" applyBorder="1"/>
    <x:xf numFmtId="0" fontId="4" fillId="9" borderId="33" xfId="0" applyNumberFormat="1" applyFont="1" applyFill="1" applyBorder="1"/>
    <x:xf numFmtId="0" fontId="4" fillId="9" borderId="34" xfId="0" applyNumberFormat="1" applyFont="1" applyFill="1" applyBorder="1"/>
    <x:xf numFmtId="200" fontId="4" fillId="9" borderId="34" xfId="0" applyNumberFormat="1" applyFont="1" applyFill="1" applyBorder="1"/>
    <x:xf numFmtId="0" fontId="4" fillId="9" borderId="35" xfId="0" applyNumberFormat="1" applyFont="1" applyFill="1" applyBorder="1"/>
    <x:xf numFmtId="0" fontId="0" fillId="10" borderId="0" xfId="0" applyNumberFormat="1" applyFont="1" applyFill="1" applyBorder="1"/>
    <x:xf numFmtId="200" fontId="0" fillId="10" borderId="0" xfId="0" applyNumberFormat="1" applyFont="1" applyFill="1" applyBorder="1"/>
    <x:xf numFmtId="0" fontId="6" fillId="10" borderId="0" xfId="0" applyNumberFormat="1" applyFont="1" applyFill="1" applyBorder="1"/>
    <x:xf numFmtId="200" fontId="6" fillId="10" borderId="0" xfId="0" applyNumberFormat="1" applyFont="1" applyFill="1" applyBorder="1"/>
    <x:xf numFmtId="0" fontId="6" fillId="10" borderId="36" xfId="0" applyNumberFormat="1" applyFont="1" applyFill="1" applyBorder="1"/>
    <x:xf numFmtId="0" fontId="6" fillId="10" borderId="37" xfId="0" applyNumberFormat="1" applyFont="1" applyFill="1" applyBorder="1"/>
    <x:xf numFmtId="200" fontId="6" fillId="10" borderId="37" xfId="0" applyNumberFormat="1" applyFont="1" applyFill="1" applyBorder="1"/>
    <x:xf numFmtId="0" fontId="6" fillId="10" borderId="38" xfId="0" applyNumberFormat="1" applyFont="1" applyFill="1" applyBorder="1"/>
    <x:xf numFmtId="0" fontId="0" fillId="10" borderId="1" xfId="0" applyNumberFormat="1" applyFont="1" applyFill="1" applyBorder="1"/>
    <x:xf numFmtId="200" fontId="0" fillId="10" borderId="1" xfId="0" applyNumberFormat="1" applyFont="1" applyFill="1" applyBorder="1"/>
    <x:xf numFmtId="0" fontId="6" fillId="10" borderId="1" xfId="0" applyNumberFormat="1" applyFont="1" applyFill="1" applyBorder="1"/>
    <x:xf numFmtId="200" fontId="6" fillId="10" borderId="1" xfId="0" applyNumberFormat="1" applyFont="1" applyFill="1" applyBorder="1"/>
    <x:xf numFmtId="0" fontId="6" fillId="10" borderId="39" xfId="0" applyNumberFormat="1" applyFont="1" applyFill="1" applyBorder="1"/>
    <x:xf numFmtId="0" fontId="6" fillId="10" borderId="40" xfId="0" applyNumberFormat="1" applyFont="1" applyFill="1" applyBorder="1"/>
    <x:xf numFmtId="200" fontId="6" fillId="10" borderId="40" xfId="0" applyNumberFormat="1" applyFont="1" applyFill="1" applyBorder="1"/>
    <x:xf numFmtId="0" fontId="6" fillId="10" borderId="41" xfId="0" applyNumberFormat="1" applyFont="1" applyFill="1" applyBorder="1"/>
    <x:xf numFmtId="201" fontId="6" fillId="10" borderId="38" xfId="0" applyNumberFormat="1" applyFont="1" applyFill="1" applyBorder="1"/>
    <x:xf numFmtId="201" fontId="6" fillId="10" borderId="41" xfId="0" applyNumberFormat="1" applyFont="1" applyFill="1" applyBorder="1"/>
    <x:xf numFmtId="200" fontId="0" fillId="7" borderId="10" xfId="0" applyNumberFormat="1" applyFont="1" applyFill="1" applyBorder="1"/>
    <x:xf numFmtId="200" fontId="0" fillId="7" borderId="12" xfId="0" applyNumberFormat="1" applyFont="1" applyFill="1" applyBorder="1"/>
    <x:xf numFmtId="200" fontId="0" fillId="7" borderId="15" xfId="0" applyNumberFormat="1" applyFont="1" applyFill="1" applyBorder="1"/>
    <x:xf numFmtId="200" fontId="0" fillId="7" borderId="18" xfId="0" applyNumberFormat="1" applyFont="1" applyFill="1" applyBorder="1"/>
    <x:xf numFmtId="200" fontId="0" fillId="7" borderId="20" xfId="0" applyNumberFormat="1" applyFont="1" applyFill="1" applyBorder="1"/>
    <x:xf numFmtId="200" fontId="0" fillId="7" borderId="23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horizontal="center"/>
    </x:xf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horizontal="center"/>
    </x:xf>
    <x:xf numFmtId="0" fontId="8" fillId="7" borderId="0" xfId="0" applyNumberFormat="1" applyFont="1" applyFill="1" applyBorder="1" applyAlignment="1">
      <x:alignment horizontal="center" vertical="center"/>
    </x:xf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horizontal="center"/>
    </x:xf>
    <x:xf numFmtId="0" fontId="8" fillId="7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4adce7b7cd462e" /><Relationship Type="http://schemas.openxmlformats.org/officeDocument/2006/relationships/theme" Target="/xl/theme/theme1.xml" Id="R0c0dfe550325473c" /><Relationship Type="http://schemas.openxmlformats.org/officeDocument/2006/relationships/sharedStrings" Target="/xl/sharedStrings.xml" Id="R49ad0158d2154688" /><Relationship Type="http://schemas.openxmlformats.org/officeDocument/2006/relationships/worksheet" Target="/xl/worksheets/sheet1.xml" Id="R20b0f2bd7bf443bf" /><Relationship Type="http://schemas.openxmlformats.org/officeDocument/2006/relationships/worksheet" Target="/xl/worksheets/sheet2.xml" Id="Recba9ece05e14735" /><Relationship Type="http://schemas.openxmlformats.org/officeDocument/2006/relationships/worksheet" Target="/xl/worksheets/sheet3.xml" Id="Rccc24e096f9c4d9d" /><Relationship Type="http://schemas.openxmlformats.org/officeDocument/2006/relationships/worksheet" Target="/xl/worksheets/sheet4.xml" Id="R2fc7af7699ca4352" /><Relationship Type="http://schemas.openxmlformats.org/officeDocument/2006/relationships/worksheet" Target="/xl/worksheets/sheet5.xml" Id="R0f03597d61fc46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4" hidden="0" customWidth="1"/>
  </x:cols>
  <x:sheetData>
    <x:row r="1" ht="30" customHeight="1">
      <x:c r="A1" s="5" t="str">
        <x:v>구매·발주 및 미입고 관리</x:v>
      </x:c>
      <x:c r="B1" s="5"/>
      <x:c r="C1" s="5"/>
      <x:c r="D1" s="5"/>
      <x:c r="E1" s="5"/>
      <x:c r="F1" s="5"/>
      <x:c r="G1" s="5"/>
      <x:c r="H1" s="5"/>
    </x:row>
    <x:row r="2" ht="24" customHeight="1">
      <x:c r="A2" s="12" t="str">
        <x:v>발주수량·단가·입고수량을 기준으로 발주금액과 미입고수량, 납기상태를 계산하는 합성 실무 샘플</x:v>
      </x:c>
      <x:c r="B2" s="12"/>
      <x:c r="C2" s="12"/>
      <x:c r="D2" s="12"/>
      <x:c r="E2" s="12"/>
      <x:c r="F2" s="12"/>
      <x:c r="G2" s="12"/>
      <x:c r="H2" s="12"/>
    </x:row>
    <x:row r="3">
      <x:c r="A3" s="18" t="str">
        <x:v>M4-C 추가 교정용 합성 데이터입니다. 노란색은 입력, 파란색은 계산 영역입니다.</x:v>
      </x:c>
      <x:c r="B3" s="18"/>
      <x:c r="C3" s="18"/>
      <x:c r="D3" s="18"/>
      <x:c r="E3" s="18"/>
      <x:c r="F3" s="18"/>
      <x:c r="G3" s="18"/>
      <x:c r="H3" s="18"/>
    </x:row>
    <x:row r="5" ht="28" customHeight="1">
      <x:c r="A5" s="30" t="str">
        <x:v>구분</x:v>
      </x:c>
      <x:c r="B5" s="31" t="str">
        <x:v>내용</x:v>
      </x:c>
    </x:row>
    <x:row r="6">
      <x:c r="A6" s="45" t="str">
        <x:v>샘플 성격</x:v>
      </x:c>
      <x:c r="B6" s="51" t="str">
        <x:v>실제 회사·개인정보를 사용하지 않은 합성 업무 파일</x:v>
      </x:c>
    </x:row>
    <x:row r="7">
      <x:c r="A7" s="45" t="str">
        <x:v>검증 용도</x:v>
      </x:c>
      <x:c r="B7" s="51" t="str">
        <x:v>Calibration</x:v>
      </x:c>
    </x:row>
    <x:row r="8">
      <x:c r="A8" s="45" t="str">
        <x:v>핵심 검증</x:v>
      </x:c>
      <x:c r="B8" s="51" t="str">
        <x:v>연속 수식 영역의 함수 패턴 이탈, 행 참조 이탈, 상수 덮어쓰기, 빈 수식 셀</x:v>
      </x:c>
    </x:row>
    <x:row r="9">
      <x:c r="A9" s="45" t="str">
        <x:v>사용 방법</x:v>
      </x:c>
      <x:c r="B9" s="51" t="str">
        <x:v>기본 무료 진단 후 M4 수식 패턴 정밀검사를 선택 실행</x:v>
      </x:c>
    </x:row>
    <x:row r="10">
      <x:c r="A10" s="45" t="str">
        <x:v>주의</x:v>
      </x:c>
      <x:c r="B10" s="51" t="str">
        <x:v>Finding은 업무 오류 확정이 아니라 사람이 확인할 이상 후보입니다.</x:v>
      </x:c>
    </x:row>
    <x:row r="12" ht="28" customHeight="1">
      <x:c r="A12" s="30" t="str">
        <x:v>시트</x:v>
      </x:c>
      <x:c r="B12" s="31" t="str">
        <x:v>업무 역할</x:v>
      </x:c>
    </x:row>
    <x:row r="13">
      <x:c r="A13" s="55" t="str">
        <x:v>품목마스터</x:v>
      </x:c>
      <x:c r="B13" s="50" t="str">
        <x:v>품목·공급처·표준단가</x:v>
      </x:c>
    </x:row>
    <x:row r="14">
      <x:c r="A14" s="55" t="str">
        <x:v>발주내역</x:v>
      </x:c>
      <x:c r="B14" s="50" t="str">
        <x:v>발주·입고·미입고 계산</x:v>
      </x:c>
    </x:row>
    <x:row r="15">
      <x:c r="A15" s="55" t="str">
        <x:v>공급처요약</x:v>
      </x:c>
      <x:c r="B15" s="50" t="str">
        <x:v>공급처별 발주·미입고 집계</x:v>
      </x:c>
    </x:row>
    <x:row r="16">
      <x:c r="A16" s="55" t="str">
        <x:v>요약</x:v>
      </x:c>
      <x:c r="B16" s="50" t="str">
        <x:v>구매 KPI</x:v>
      </x:c>
    </x:row>
  </x:sheetData>
  <x:mergeCells>
    <x:mergeCell ref="A1:H1"/>
    <x:mergeCell ref="A2:H2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0" hidden="0" customWidth="1"/>
    <x:col min="3" max="3" width="16" hidden="0" customWidth="1"/>
    <x:col min="4" max="4" width="14" hidden="0" customWidth="1"/>
    <x:col min="5" max="5" width="14" hidden="0" customWidth="1"/>
    <x:col min="6" max="6" width="10" hidden="0" customWidth="1"/>
  </x:cols>
  <x:sheetData>
    <x:row r="1" ht="30" customHeight="1">
      <x:c r="A1" s="5" t="str">
        <x:v>품목 마스터</x:v>
      </x:c>
      <x:c r="B1" s="5"/>
      <x:c r="C1" s="5"/>
      <x:c r="D1" s="5"/>
      <x:c r="E1" s="5"/>
      <x:c r="F1" s="5"/>
    </x:row>
    <x:row r="2" ht="24" customHeight="1">
      <x:c r="A2" s="12" t="str">
        <x:v>합성 품목·공급처 정보</x:v>
      </x:c>
      <x:c r="B2" s="12"/>
      <x:c r="C2" s="12"/>
      <x:c r="D2" s="12"/>
      <x:c r="E2" s="12"/>
      <x:c r="F2" s="12"/>
    </x:row>
    <x:row r="3">
      <x:c r="A3" s="18" t="str">
        <x:v>M4-C 추가 교정용 합성 데이터입니다. 노란색은 입력, 파란색은 계산 영역입니다.</x:v>
      </x:c>
      <x:c r="B3" s="18"/>
      <x:c r="C3" s="18"/>
      <x:c r="D3" s="18"/>
      <x:c r="E3" s="18"/>
      <x:c r="F3" s="18"/>
    </x:row>
    <x:row r="5" ht="28" customHeight="1">
      <x:c r="A5" s="30" t="str">
        <x:v>품목코드</x:v>
      </x:c>
      <x:c r="B5" s="61" t="str">
        <x:v>품목명</x:v>
      </x:c>
      <x:c r="C5" s="61" t="str">
        <x:v>공급처</x:v>
      </x:c>
      <x:c r="D5" s="61" t="str">
        <x:v>표준단가</x:v>
      </x:c>
      <x:c r="E5" s="61" t="str">
        <x:v>리드타임(일)</x:v>
      </x:c>
      <x:c r="F5" s="31" t="str">
        <x:v>사용여부</x:v>
      </x:c>
    </x:row>
    <x:row r="6">
      <x:c r="A6" s="67" t="str">
        <x:v>ITM-001</x:v>
      </x:c>
      <x:c r="B6" s="68" t="str">
        <x:v>구매품목01</x:v>
      </x:c>
      <x:c r="C6" s="68" t="str">
        <x:v>공급처02</x:v>
      </x:c>
      <x:c r="D6" s="84" t="n">
        <x:v>1480</x:v>
      </x:c>
      <x:c r="E6" s="84" t="n">
        <x:v>8</x:v>
      </x:c>
      <x:c r="F6" s="69" t="str">
        <x:v>Y</x:v>
      </x:c>
    </x:row>
    <x:row r="7">
      <x:c r="A7" s="70" t="str">
        <x:v>ITM-002</x:v>
      </x:c>
      <x:c r="B7" s="66" t="str">
        <x:v>구매품목02</x:v>
      </x:c>
      <x:c r="C7" s="66" t="str">
        <x:v>공급처03</x:v>
      </x:c>
      <x:c r="D7" s="85" t="n">
        <x:v>1760</x:v>
      </x:c>
      <x:c r="E7" s="85" t="n">
        <x:v>11</x:v>
      </x:c>
      <x:c r="F7" s="71" t="str">
        <x:v>Y</x:v>
      </x:c>
    </x:row>
    <x:row r="8">
      <x:c r="A8" s="70" t="str">
        <x:v>ITM-003</x:v>
      </x:c>
      <x:c r="B8" s="66" t="str">
        <x:v>구매품목03</x:v>
      </x:c>
      <x:c r="C8" s="66" t="str">
        <x:v>공급처04</x:v>
      </x:c>
      <x:c r="D8" s="85" t="n">
        <x:v>2040</x:v>
      </x:c>
      <x:c r="E8" s="85" t="n">
        <x:v>14</x:v>
      </x:c>
      <x:c r="F8" s="71" t="str">
        <x:v>Y</x:v>
      </x:c>
    </x:row>
    <x:row r="9">
      <x:c r="A9" s="70" t="str">
        <x:v>ITM-004</x:v>
      </x:c>
      <x:c r="B9" s="66" t="str">
        <x:v>구매품목04</x:v>
      </x:c>
      <x:c r="C9" s="66" t="str">
        <x:v>공급처05</x:v>
      </x:c>
      <x:c r="D9" s="85" t="n">
        <x:v>2320</x:v>
      </x:c>
      <x:c r="E9" s="85" t="n">
        <x:v>17</x:v>
      </x:c>
      <x:c r="F9" s="71" t="str">
        <x:v>Y</x:v>
      </x:c>
    </x:row>
    <x:row r="10">
      <x:c r="A10" s="70" t="str">
        <x:v>ITM-005</x:v>
      </x:c>
      <x:c r="B10" s="66" t="str">
        <x:v>구매품목05</x:v>
      </x:c>
      <x:c r="C10" s="66" t="str">
        <x:v>공급처06</x:v>
      </x:c>
      <x:c r="D10" s="85" t="n">
        <x:v>2600</x:v>
      </x:c>
      <x:c r="E10" s="85" t="n">
        <x:v>5</x:v>
      </x:c>
      <x:c r="F10" s="71" t="str">
        <x:v>Y</x:v>
      </x:c>
    </x:row>
    <x:row r="11">
      <x:c r="A11" s="70" t="str">
        <x:v>ITM-006</x:v>
      </x:c>
      <x:c r="B11" s="66" t="str">
        <x:v>구매품목06</x:v>
      </x:c>
      <x:c r="C11" s="66" t="str">
        <x:v>공급처01</x:v>
      </x:c>
      <x:c r="D11" s="85" t="n">
        <x:v>2880</x:v>
      </x:c>
      <x:c r="E11" s="85" t="n">
        <x:v>8</x:v>
      </x:c>
      <x:c r="F11" s="71" t="str">
        <x:v>Y</x:v>
      </x:c>
    </x:row>
    <x:row r="12">
      <x:c r="A12" s="70" t="str">
        <x:v>ITM-007</x:v>
      </x:c>
      <x:c r="B12" s="66" t="str">
        <x:v>구매품목07</x:v>
      </x:c>
      <x:c r="C12" s="66" t="str">
        <x:v>공급처02</x:v>
      </x:c>
      <x:c r="D12" s="85" t="n">
        <x:v>3160</x:v>
      </x:c>
      <x:c r="E12" s="85" t="n">
        <x:v>11</x:v>
      </x:c>
      <x:c r="F12" s="71" t="str">
        <x:v>Y</x:v>
      </x:c>
    </x:row>
    <x:row r="13">
      <x:c r="A13" s="70" t="str">
        <x:v>ITM-008</x:v>
      </x:c>
      <x:c r="B13" s="66" t="str">
        <x:v>구매품목08</x:v>
      </x:c>
      <x:c r="C13" s="66" t="str">
        <x:v>공급처03</x:v>
      </x:c>
      <x:c r="D13" s="85" t="n">
        <x:v>3440</x:v>
      </x:c>
      <x:c r="E13" s="85" t="n">
        <x:v>14</x:v>
      </x:c>
      <x:c r="F13" s="71" t="str">
        <x:v>Y</x:v>
      </x:c>
    </x:row>
    <x:row r="14">
      <x:c r="A14" s="70" t="str">
        <x:v>ITM-009</x:v>
      </x:c>
      <x:c r="B14" s="66" t="str">
        <x:v>구매품목09</x:v>
      </x:c>
      <x:c r="C14" s="66" t="str">
        <x:v>공급처04</x:v>
      </x:c>
      <x:c r="D14" s="85" t="n">
        <x:v>3720</x:v>
      </x:c>
      <x:c r="E14" s="85" t="n">
        <x:v>17</x:v>
      </x:c>
      <x:c r="F14" s="71" t="str">
        <x:v>Y</x:v>
      </x:c>
    </x:row>
    <x:row r="15">
      <x:c r="A15" s="70" t="str">
        <x:v>ITM-010</x:v>
      </x:c>
      <x:c r="B15" s="66" t="str">
        <x:v>구매품목10</x:v>
      </x:c>
      <x:c r="C15" s="66" t="str">
        <x:v>공급처05</x:v>
      </x:c>
      <x:c r="D15" s="85" t="n">
        <x:v>4000</x:v>
      </x:c>
      <x:c r="E15" s="85" t="n">
        <x:v>5</x:v>
      </x:c>
      <x:c r="F15" s="71" t="str">
        <x:v>Y</x:v>
      </x:c>
    </x:row>
    <x:row r="16">
      <x:c r="A16" s="70" t="str">
        <x:v>ITM-011</x:v>
      </x:c>
      <x:c r="B16" s="66" t="str">
        <x:v>구매품목11</x:v>
      </x:c>
      <x:c r="C16" s="66" t="str">
        <x:v>공급처06</x:v>
      </x:c>
      <x:c r="D16" s="85" t="n">
        <x:v>4280</x:v>
      </x:c>
      <x:c r="E16" s="85" t="n">
        <x:v>8</x:v>
      </x:c>
      <x:c r="F16" s="71" t="str">
        <x:v>Y</x:v>
      </x:c>
    </x:row>
    <x:row r="17">
      <x:c r="A17" s="70" t="str">
        <x:v>ITM-012</x:v>
      </x:c>
      <x:c r="B17" s="66" t="str">
        <x:v>구매품목12</x:v>
      </x:c>
      <x:c r="C17" s="66" t="str">
        <x:v>공급처01</x:v>
      </x:c>
      <x:c r="D17" s="85" t="n">
        <x:v>4560</x:v>
      </x:c>
      <x:c r="E17" s="85" t="n">
        <x:v>11</x:v>
      </x:c>
      <x:c r="F17" s="71" t="str">
        <x:v>Y</x:v>
      </x:c>
    </x:row>
    <x:row r="18">
      <x:c r="A18" s="70" t="str">
        <x:v>ITM-013</x:v>
      </x:c>
      <x:c r="B18" s="66" t="str">
        <x:v>구매품목13</x:v>
      </x:c>
      <x:c r="C18" s="66" t="str">
        <x:v>공급처02</x:v>
      </x:c>
      <x:c r="D18" s="85" t="n">
        <x:v>4840</x:v>
      </x:c>
      <x:c r="E18" s="85" t="n">
        <x:v>14</x:v>
      </x:c>
      <x:c r="F18" s="71" t="str">
        <x:v>Y</x:v>
      </x:c>
    </x:row>
    <x:row r="19">
      <x:c r="A19" s="70" t="str">
        <x:v>ITM-014</x:v>
      </x:c>
      <x:c r="B19" s="66" t="str">
        <x:v>구매품목14</x:v>
      </x:c>
      <x:c r="C19" s="66" t="str">
        <x:v>공급처03</x:v>
      </x:c>
      <x:c r="D19" s="85" t="n">
        <x:v>5120</x:v>
      </x:c>
      <x:c r="E19" s="85" t="n">
        <x:v>17</x:v>
      </x:c>
      <x:c r="F19" s="71" t="str">
        <x:v>Y</x:v>
      </x:c>
    </x:row>
    <x:row r="20">
      <x:c r="A20" s="70" t="str">
        <x:v>ITM-015</x:v>
      </x:c>
      <x:c r="B20" s="66" t="str">
        <x:v>구매품목15</x:v>
      </x:c>
      <x:c r="C20" s="66" t="str">
        <x:v>공급처04</x:v>
      </x:c>
      <x:c r="D20" s="85" t="n">
        <x:v>5400</x:v>
      </x:c>
      <x:c r="E20" s="85" t="n">
        <x:v>5</x:v>
      </x:c>
      <x:c r="F20" s="71" t="str">
        <x:v>Y</x:v>
      </x:c>
    </x:row>
    <x:row r="21">
      <x:c r="A21" s="70" t="str">
        <x:v>ITM-016</x:v>
      </x:c>
      <x:c r="B21" s="66" t="str">
        <x:v>구매품목16</x:v>
      </x:c>
      <x:c r="C21" s="66" t="str">
        <x:v>공급처05</x:v>
      </x:c>
      <x:c r="D21" s="85" t="n">
        <x:v>5680</x:v>
      </x:c>
      <x:c r="E21" s="85" t="n">
        <x:v>8</x:v>
      </x:c>
      <x:c r="F21" s="71" t="str">
        <x:v>Y</x:v>
      </x:c>
    </x:row>
    <x:row r="22">
      <x:c r="A22" s="70" t="str">
        <x:v>ITM-017</x:v>
      </x:c>
      <x:c r="B22" s="66" t="str">
        <x:v>구매품목17</x:v>
      </x:c>
      <x:c r="C22" s="66" t="str">
        <x:v>공급처06</x:v>
      </x:c>
      <x:c r="D22" s="85" t="n">
        <x:v>5960</x:v>
      </x:c>
      <x:c r="E22" s="85" t="n">
        <x:v>11</x:v>
      </x:c>
      <x:c r="F22" s="71" t="str">
        <x:v>Y</x:v>
      </x:c>
    </x:row>
    <x:row r="23">
      <x:c r="A23" s="70" t="str">
        <x:v>ITM-018</x:v>
      </x:c>
      <x:c r="B23" s="66" t="str">
        <x:v>구매품목18</x:v>
      </x:c>
      <x:c r="C23" s="66" t="str">
        <x:v>공급처01</x:v>
      </x:c>
      <x:c r="D23" s="85" t="n">
        <x:v>6240</x:v>
      </x:c>
      <x:c r="E23" s="85" t="n">
        <x:v>14</x:v>
      </x:c>
      <x:c r="F23" s="71" t="str">
        <x:v>Y</x:v>
      </x:c>
    </x:row>
    <x:row r="24">
      <x:c r="A24" s="70" t="str">
        <x:v>ITM-019</x:v>
      </x:c>
      <x:c r="B24" s="66" t="str">
        <x:v>구매품목19</x:v>
      </x:c>
      <x:c r="C24" s="66" t="str">
        <x:v>공급처02</x:v>
      </x:c>
      <x:c r="D24" s="85" t="n">
        <x:v>6520</x:v>
      </x:c>
      <x:c r="E24" s="85" t="n">
        <x:v>17</x:v>
      </x:c>
      <x:c r="F24" s="71" t="str">
        <x:v>Y</x:v>
      </x:c>
    </x:row>
    <x:row r="25">
      <x:c r="A25" s="72" t="str">
        <x:v>ITM-020</x:v>
      </x:c>
      <x:c r="B25" s="73" t="str">
        <x:v>구매품목20</x:v>
      </x:c>
      <x:c r="C25" s="73" t="str">
        <x:v>공급처03</x:v>
      </x:c>
      <x:c r="D25" s="86" t="n">
        <x:v>6800</x:v>
      </x:c>
      <x:c r="E25" s="86" t="n">
        <x:v>5</x:v>
      </x:c>
      <x:c r="F25" s="74" t="str">
        <x:v>Y</x:v>
      </x:c>
    </x:row>
  </x:sheetData>
  <x:mergeCells>
    <x:mergeCell ref="A1:F1"/>
    <x:mergeCell ref="A2:F2"/>
    <x:mergeCell ref="A3:F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16" hidden="0" customWidth="1"/>
    <x:col min="4" max="4" width="15" hidden="0" customWidth="1"/>
    <x:col min="5" max="5" width="11" hidden="0" customWidth="1"/>
    <x:col min="6" max="6" width="12" hidden="0" customWidth="1"/>
    <x:col min="7" max="7" width="15" hidden="0" customWidth="1"/>
    <x:col min="8" max="8" width="11" hidden="0" customWidth="1"/>
    <x:col min="9" max="9" width="12" hidden="0" customWidth="1"/>
    <x:col min="10" max="10" width="10" hidden="0" customWidth="1"/>
    <x:col min="11" max="11" width="13" hidden="0" customWidth="1"/>
  </x:cols>
  <x:sheetData>
    <x:row r="1" ht="30" customHeight="1">
      <x:c r="A1" s="5" t="str">
        <x:v>발주 내역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24" customHeight="1">
      <x:c r="A2" s="12" t="str">
        <x:v>발주수량·입고수량에 따라 미입고수량과 납기상태를 계산합니다.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3">
      <x:c r="A3" s="18" t="str">
        <x:v>M4-C 추가 교정용 합성 데이터입니다. 노란색은 입력, 파란색은 계산 영역입니다.</x:v>
      </x:c>
      <x:c r="B3" s="18"/>
      <x:c r="C3" s="18"/>
      <x:c r="D3" s="18"/>
      <x:c r="E3" s="18"/>
      <x:c r="F3" s="18"/>
      <x:c r="G3" s="18"/>
      <x:c r="H3" s="18"/>
      <x:c r="I3" s="18"/>
      <x:c r="J3" s="18"/>
      <x:c r="K3" s="18"/>
    </x:row>
    <x:row r="5" ht="28" customHeight="1">
      <x:c r="A5" s="30" t="str">
        <x:v>발주일</x:v>
      </x:c>
      <x:c r="B5" s="61" t="str">
        <x:v>발주번호</x:v>
      </x:c>
      <x:c r="C5" s="61" t="str">
        <x:v>공급처</x:v>
      </x:c>
      <x:c r="D5" s="61" t="str">
        <x:v>품목코드</x:v>
      </x:c>
      <x:c r="E5" s="61" t="str">
        <x:v>발주수량</x:v>
      </x:c>
      <x:c r="F5" s="61" t="str">
        <x:v>단가</x:v>
      </x:c>
      <x:c r="G5" s="61" t="str">
        <x:v>발주금액</x:v>
      </x:c>
      <x:c r="H5" s="61" t="str">
        <x:v>입고수량</x:v>
      </x:c>
      <x:c r="I5" s="61" t="str">
        <x:v>미입고수량</x:v>
      </x:c>
      <x:c r="J5" s="61" t="str">
        <x:v>상태</x:v>
      </x:c>
      <x:c r="K5" s="31" t="str">
        <x:v>납기일</x:v>
      </x:c>
    </x:row>
    <x:row r="6">
      <x:c r="A6" s="118" t="n">
        <x:v>46024</x:v>
      </x:c>
      <x:c r="B6" s="68" t="str">
        <x:v>PO-2026-0001</x:v>
      </x:c>
      <x:c r="C6" s="68" t="str">
        <x:v>공급처02</x:v>
      </x:c>
      <x:c r="D6" s="68" t="str">
        <x:v>ITM-001</x:v>
      </x:c>
      <x:c r="E6" s="84" t="n">
        <x:v>47</x:v>
      </x:c>
      <x:c r="F6" s="130" t="n">
        <x:v>1480</x:v>
      </x:c>
      <x:c r="G6" s="131" t="n">
        <x:f>E6*F6</x:f>
        <x:v>69560</x:v>
      </x:c>
      <x:c r="H6" s="132" t="n">
        <x:v>35</x:v>
      </x:c>
      <x:c r="I6" s="133" t="n">
        <x:f>MAX(0,E6-H6)</x:f>
        <x:v>12</x:v>
      </x:c>
      <x:c r="J6" s="101" t="str">
        <x:f>IF(I6=0,"완료",IF(TODAY()&gt;K6,"지연","진행"))</x:f>
        <x:v>지연</x:v>
      </x:c>
      <x:c r="K6" s="124" t="n">
        <x:v>46032</x:v>
      </x:c>
    </x:row>
    <x:row r="7">
      <x:c r="A7" s="119" t="n">
        <x:v>46027</x:v>
      </x:c>
      <x:c r="B7" s="66" t="str">
        <x:v>PO-2026-0002</x:v>
      </x:c>
      <x:c r="C7" s="66" t="str">
        <x:v>공급처03</x:v>
      </x:c>
      <x:c r="D7" s="66" t="str">
        <x:v>ITM-002</x:v>
      </x:c>
      <x:c r="E7" s="85" t="n">
        <x:v>64</x:v>
      </x:c>
      <x:c r="F7" s="134" t="n">
        <x:v>1760</x:v>
      </x:c>
      <x:c r="G7" s="135" t="n">
        <x:f>E7*F7</x:f>
        <x:v>112640</x:v>
      </x:c>
      <x:c r="H7" s="136" t="n">
        <x:v>55</x:v>
      </x:c>
      <x:c r="I7" s="137" t="n">
        <x:f>MAX(0,E7-H7)</x:f>
        <x:v>9</x:v>
      </x:c>
      <x:c r="J7" s="103" t="str">
        <x:f>IF(I7=0,"완료",IF(TODAY()&gt;K7,"지연","진행"))</x:f>
        <x:v>지연</x:v>
      </x:c>
      <x:c r="K7" s="125" t="n">
        <x:v>46038</x:v>
      </x:c>
    </x:row>
    <x:row r="8">
      <x:c r="A8" s="119" t="n">
        <x:v>46030</x:v>
      </x:c>
      <x:c r="B8" s="66" t="str">
        <x:v>PO-2026-0003</x:v>
      </x:c>
      <x:c r="C8" s="66" t="str">
        <x:v>공급처04</x:v>
      </x:c>
      <x:c r="D8" s="66" t="str">
        <x:v>ITM-003</x:v>
      </x:c>
      <x:c r="E8" s="85" t="n">
        <x:v>66</x:v>
      </x:c>
      <x:c r="F8" s="134" t="n">
        <x:v>2040</x:v>
      </x:c>
      <x:c r="G8" s="135" t="n">
        <x:f>E8*F8</x:f>
        <x:v>134640</x:v>
      </x:c>
      <x:c r="H8" s="136" t="n">
        <x:v>38</x:v>
      </x:c>
      <x:c r="I8" s="137" t="n">
        <x:f>MAX(0,E8-H8)</x:f>
        <x:v>28</x:v>
      </x:c>
      <x:c r="J8" s="103" t="str">
        <x:f>IF(I8=0,"완료",IF(TODAY()&gt;K8,"지연","진행"))</x:f>
        <x:v>지연</x:v>
      </x:c>
      <x:c r="K8" s="125" t="n">
        <x:v>46044</x:v>
      </x:c>
    </x:row>
    <x:row r="9">
      <x:c r="A9" s="119" t="n">
        <x:v>46033</x:v>
      </x:c>
      <x:c r="B9" s="66" t="str">
        <x:v>PO-2026-0004</x:v>
      </x:c>
      <x:c r="C9" s="66" t="str">
        <x:v>공급처05</x:v>
      </x:c>
      <x:c r="D9" s="66" t="str">
        <x:v>ITM-004</x:v>
      </x:c>
      <x:c r="E9" s="85" t="n">
        <x:v>30</x:v>
      </x:c>
      <x:c r="F9" s="134" t="n">
        <x:v>2320</x:v>
      </x:c>
      <x:c r="G9" s="135" t="n">
        <x:f>E9*F9</x:f>
        <x:v>69600</x:v>
      </x:c>
      <x:c r="H9" s="136" t="n">
        <x:v>0</x:v>
      </x:c>
      <x:c r="I9" s="137" t="n">
        <x:f>MAX(0,E9-H9)</x:f>
        <x:v>30</x:v>
      </x:c>
      <x:c r="J9" s="103" t="str">
        <x:f>IF(I9=0,"완료",IF(TODAY()&gt;K9,"지연","진행"))</x:f>
        <x:v>지연</x:v>
      </x:c>
      <x:c r="K9" s="125" t="n">
        <x:v>46050</x:v>
      </x:c>
    </x:row>
    <x:row r="10">
      <x:c r="A10" s="119" t="n">
        <x:v>46036</x:v>
      </x:c>
      <x:c r="B10" s="66" t="str">
        <x:v>PO-2026-0005</x:v>
      </x:c>
      <x:c r="C10" s="66" t="str">
        <x:v>공급처06</x:v>
      </x:c>
      <x:c r="D10" s="66" t="str">
        <x:v>ITM-005</x:v>
      </x:c>
      <x:c r="E10" s="85" t="n">
        <x:v>43</x:v>
      </x:c>
      <x:c r="F10" s="134" t="n">
        <x:v>2600</x:v>
      </x:c>
      <x:c r="G10" s="135" t="n">
        <x:f>E10*F10</x:f>
        <x:v>111800</x:v>
      </x:c>
      <x:c r="H10" s="136" t="n">
        <x:v>38</x:v>
      </x:c>
      <x:c r="I10" s="137" t="n">
        <x:f>MAX(0,E10-H10)</x:f>
        <x:v>5</x:v>
      </x:c>
      <x:c r="J10" s="103" t="str">
        <x:f>IF(I10=0,"완료",IF(TODAY()&gt;K10,"지연","진행"))</x:f>
        <x:v>지연</x:v>
      </x:c>
      <x:c r="K10" s="125" t="n">
        <x:v>46041</x:v>
      </x:c>
    </x:row>
    <x:row r="11">
      <x:c r="A11" s="119" t="n">
        <x:v>46039</x:v>
      </x:c>
      <x:c r="B11" s="66" t="str">
        <x:v>PO-2026-0006</x:v>
      </x:c>
      <x:c r="C11" s="66" t="str">
        <x:v>공급처01</x:v>
      </x:c>
      <x:c r="D11" s="66" t="str">
        <x:v>ITM-006</x:v>
      </x:c>
      <x:c r="E11" s="85" t="n">
        <x:v>96</x:v>
      </x:c>
      <x:c r="F11" s="134" t="n">
        <x:v>2880</x:v>
      </x:c>
      <x:c r="G11" s="135" t="n">
        <x:f>E11*F11</x:f>
        <x:v>276480</x:v>
      </x:c>
      <x:c r="H11" s="136" t="n">
        <x:v>75</x:v>
      </x:c>
      <x:c r="I11" s="137" t="n">
        <x:f>MAX(0,E11-H11)</x:f>
        <x:v>21</x:v>
      </x:c>
      <x:c r="J11" s="103" t="str">
        <x:f>IF(I11=0,"완료",IF(TODAY()&gt;K11,"지연","진행"))</x:f>
        <x:v>지연</x:v>
      </x:c>
      <x:c r="K11" s="125" t="n">
        <x:v>46047</x:v>
      </x:c>
    </x:row>
    <x:row r="12">
      <x:c r="A12" s="119" t="n">
        <x:v>46042</x:v>
      </x:c>
      <x:c r="B12" s="66" t="str">
        <x:v>PO-2026-0007</x:v>
      </x:c>
      <x:c r="C12" s="66" t="str">
        <x:v>공급처02</x:v>
      </x:c>
      <x:c r="D12" s="66" t="str">
        <x:v>ITM-007</x:v>
      </x:c>
      <x:c r="E12" s="85" t="n">
        <x:v>104</x:v>
      </x:c>
      <x:c r="F12" s="134" t="n">
        <x:v>3160</x:v>
      </x:c>
      <x:c r="G12" s="135" t="n">
        <x:f>E12*F12</x:f>
        <x:v>328640</x:v>
      </x:c>
      <x:c r="H12" s="136" t="n">
        <x:v>98</x:v>
      </x:c>
      <x:c r="I12" s="137" t="n">
        <x:f>MAX(0,E12-H12)</x:f>
        <x:v>6</x:v>
      </x:c>
      <x:c r="J12" s="103" t="str">
        <x:f>IF(I12=0,"완료",IF(TODAY()&gt;K12,"지연","진행"))</x:f>
        <x:v>지연</x:v>
      </x:c>
      <x:c r="K12" s="125" t="n">
        <x:v>46053</x:v>
      </x:c>
    </x:row>
    <x:row r="13">
      <x:c r="A13" s="119" t="n">
        <x:v>46045</x:v>
      </x:c>
      <x:c r="B13" s="66" t="str">
        <x:v>PO-2026-0008</x:v>
      </x:c>
      <x:c r="C13" s="66" t="str">
        <x:v>공급처03</x:v>
      </x:c>
      <x:c r="D13" s="66" t="str">
        <x:v>ITM-008</x:v>
      </x:c>
      <x:c r="E13" s="85" t="n">
        <x:v>76</x:v>
      </x:c>
      <x:c r="F13" s="134" t="n">
        <x:v>3440</x:v>
      </x:c>
      <x:c r="G13" s="135" t="n">
        <x:f>E13*F13</x:f>
        <x:v>261440</x:v>
      </x:c>
      <x:c r="H13" s="136" t="n">
        <x:v>67</x:v>
      </x:c>
      <x:c r="I13" s="137" t="n">
        <x:f>MAX(0,E13-H13)</x:f>
        <x:v>9</x:v>
      </x:c>
      <x:c r="J13" s="103" t="str">
        <x:f>IF(I13=0,"완료",IF(TODAY()&gt;K13,"지연","진행"))</x:f>
        <x:v>지연</x:v>
      </x:c>
      <x:c r="K13" s="125" t="n">
        <x:v>46059</x:v>
      </x:c>
    </x:row>
    <x:row r="14">
      <x:c r="A14" s="119" t="n">
        <x:v>46048</x:v>
      </x:c>
      <x:c r="B14" s="66" t="str">
        <x:v>PO-2026-0009</x:v>
      </x:c>
      <x:c r="C14" s="66" t="str">
        <x:v>공급처04</x:v>
      </x:c>
      <x:c r="D14" s="66" t="str">
        <x:v>ITM-009</x:v>
      </x:c>
      <x:c r="E14" s="85" t="n">
        <x:v>100</x:v>
      </x:c>
      <x:c r="F14" s="134" t="n">
        <x:v>3720</x:v>
      </x:c>
      <x:c r="G14" s="135" t="n">
        <x:f>E14*F14</x:f>
        <x:v>372000</x:v>
      </x:c>
      <x:c r="H14" s="136" t="n">
        <x:v>89</x:v>
      </x:c>
      <x:c r="I14" s="137" t="n">
        <x:f>MAX(0,E14-H14)</x:f>
        <x:v>11</x:v>
      </x:c>
      <x:c r="J14" s="103" t="str">
        <x:f>IF(I14=0,"완료",IF(TODAY()&gt;K14,"지연","진행"))</x:f>
        <x:v>지연</x:v>
      </x:c>
      <x:c r="K14" s="125" t="n">
        <x:v>46065</x:v>
      </x:c>
    </x:row>
    <x:row r="15">
      <x:c r="A15" s="119" t="n">
        <x:v>46051</x:v>
      </x:c>
      <x:c r="B15" s="66" t="str">
        <x:v>PO-2026-0010</x:v>
      </x:c>
      <x:c r="C15" s="66" t="str">
        <x:v>공급처05</x:v>
      </x:c>
      <x:c r="D15" s="66" t="str">
        <x:v>ITM-010</x:v>
      </x:c>
      <x:c r="E15" s="85" t="n">
        <x:v>54</x:v>
      </x:c>
      <x:c r="F15" s="134" t="n">
        <x:v>4000</x:v>
      </x:c>
      <x:c r="G15" s="135" t="n">
        <x:f>E15*F15</x:f>
        <x:v>216000</x:v>
      </x:c>
      <x:c r="H15" s="136" t="n">
        <x:v>52</x:v>
      </x:c>
      <x:c r="I15" s="137" t="n">
        <x:f>MAX(0,E15-H15)</x:f>
        <x:v>2</x:v>
      </x:c>
      <x:c r="J15" s="103" t="str">
        <x:f>IF(I15=0,"완료",IF(TODAY()&gt;K15,"지연","진행"))</x:f>
        <x:v>지연</x:v>
      </x:c>
      <x:c r="K15" s="125" t="n">
        <x:v>46056</x:v>
      </x:c>
    </x:row>
    <x:row r="16">
      <x:c r="A16" s="119" t="n">
        <x:v>46054</x:v>
      </x:c>
      <x:c r="B16" s="66" t="str">
        <x:v>PO-2026-0011</x:v>
      </x:c>
      <x:c r="C16" s="66" t="str">
        <x:v>공급처06</x:v>
      </x:c>
      <x:c r="D16" s="66" t="str">
        <x:v>ITM-011</x:v>
      </x:c>
      <x:c r="E16" s="85" t="n">
        <x:v>67</x:v>
      </x:c>
      <x:c r="F16" s="134" t="n">
        <x:v>4280</x:v>
      </x:c>
      <x:c r="G16" s="135" t="n">
        <x:f>E16*F16</x:f>
        <x:v>286760</x:v>
      </x:c>
      <x:c r="H16" s="136" t="n">
        <x:v>37</x:v>
      </x:c>
      <x:c r="I16" s="137" t="n">
        <x:f>MAX(0,E16-H16)</x:f>
        <x:v>30</x:v>
      </x:c>
      <x:c r="J16" s="103" t="str">
        <x:f>IF(I16=0,"완료",IF(TODAY()&gt;K16,"지연","진행"))</x:f>
        <x:v>지연</x:v>
      </x:c>
      <x:c r="K16" s="125" t="n">
        <x:v>46062</x:v>
      </x:c>
    </x:row>
    <x:row r="17">
      <x:c r="A17" s="119" t="n">
        <x:v>46057</x:v>
      </x:c>
      <x:c r="B17" s="66" t="str">
        <x:v>PO-2026-0012</x:v>
      </x:c>
      <x:c r="C17" s="66" t="str">
        <x:v>공급처01</x:v>
      </x:c>
      <x:c r="D17" s="66" t="str">
        <x:v>ITM-012</x:v>
      </x:c>
      <x:c r="E17" s="85" t="n">
        <x:v>56</x:v>
      </x:c>
      <x:c r="F17" s="134" t="n">
        <x:v>4560</x:v>
      </x:c>
      <x:c r="G17" s="135" t="n">
        <x:f>E17*F17</x:f>
        <x:v>255360</x:v>
      </x:c>
      <x:c r="H17" s="136" t="n">
        <x:v>34</x:v>
      </x:c>
      <x:c r="I17" s="137" t="n">
        <x:f>MAX(0,E17-H17)</x:f>
        <x:v>22</x:v>
      </x:c>
      <x:c r="J17" s="103" t="str">
        <x:f>IF(I17=0,"완료",IF(TODAY()&gt;K17,"지연","진행"))</x:f>
        <x:v>지연</x:v>
      </x:c>
      <x:c r="K17" s="125" t="n">
        <x:v>46068</x:v>
      </x:c>
    </x:row>
    <x:row r="18">
      <x:c r="A18" s="119" t="n">
        <x:v>46060</x:v>
      </x:c>
      <x:c r="B18" s="66" t="str">
        <x:v>PO-2026-0013</x:v>
      </x:c>
      <x:c r="C18" s="66" t="str">
        <x:v>공급처02</x:v>
      </x:c>
      <x:c r="D18" s="66" t="str">
        <x:v>ITM-013</x:v>
      </x:c>
      <x:c r="E18" s="85" t="n">
        <x:v>59</x:v>
      </x:c>
      <x:c r="F18" s="134" t="n">
        <x:v>4840</x:v>
      </x:c>
      <x:c r="G18" s="135" t="n">
        <x:f>E18*F18</x:f>
        <x:v>285560</x:v>
      </x:c>
      <x:c r="H18" s="136" t="n">
        <x:v>46</x:v>
      </x:c>
      <x:c r="I18" s="137" t="n">
        <x:f>MAX(0,E18-H18)</x:f>
        <x:v>13</x:v>
      </x:c>
      <x:c r="J18" s="103" t="str">
        <x:f>IF(I18=0,"완료",IF(TODAY()&gt;K18,"지연","진행"))</x:f>
        <x:v>지연</x:v>
      </x:c>
      <x:c r="K18" s="125" t="n">
        <x:v>46074</x:v>
      </x:c>
    </x:row>
    <x:row r="19">
      <x:c r="A19" s="119" t="n">
        <x:v>46063</x:v>
      </x:c>
      <x:c r="B19" s="66" t="str">
        <x:v>PO-2026-0014</x:v>
      </x:c>
      <x:c r="C19" s="66" t="str">
        <x:v>공급처03</x:v>
      </x:c>
      <x:c r="D19" s="66" t="str">
        <x:v>ITM-014</x:v>
      </x:c>
      <x:c r="E19" s="85" t="n">
        <x:v>36</x:v>
      </x:c>
      <x:c r="F19" s="134" t="n">
        <x:v>5120</x:v>
      </x:c>
      <x:c r="G19" s="135" t="n">
        <x:f>SUM(E19:F19)</x:f>
        <x:v>5156</x:v>
      </x:c>
      <x:c r="H19" s="136" t="n">
        <x:v>3</x:v>
      </x:c>
      <x:c r="I19" s="137" t="n">
        <x:f>MAX(0,E19-H19)</x:f>
        <x:v>33</x:v>
      </x:c>
      <x:c r="J19" s="103" t="str">
        <x:f>IF(I19=0,"완료",IF(TODAY()&gt;K19,"지연","진행"))</x:f>
        <x:v>지연</x:v>
      </x:c>
      <x:c r="K19" s="125" t="n">
        <x:v>46080</x:v>
      </x:c>
    </x:row>
    <x:row r="20">
      <x:c r="A20" s="119" t="n">
        <x:v>46066</x:v>
      </x:c>
      <x:c r="B20" s="66" t="str">
        <x:v>PO-2026-0015</x:v>
      </x:c>
      <x:c r="C20" s="66" t="str">
        <x:v>공급처04</x:v>
      </x:c>
      <x:c r="D20" s="66" t="str">
        <x:v>ITM-015</x:v>
      </x:c>
      <x:c r="E20" s="85" t="n">
        <x:v>94</x:v>
      </x:c>
      <x:c r="F20" s="134" t="n">
        <x:v>5400</x:v>
      </x:c>
      <x:c r="G20" s="135" t="n">
        <x:f>E20*F20</x:f>
        <x:v>507600</x:v>
      </x:c>
      <x:c r="H20" s="136" t="n">
        <x:v>65</x:v>
      </x:c>
      <x:c r="I20" s="137" t="n">
        <x:f>MAX(0,E20-H20)</x:f>
        <x:v>29</x:v>
      </x:c>
      <x:c r="J20" s="103" t="str">
        <x:f>IF(I20=0,"완료",IF(TODAY()&gt;K20,"지연","진행"))</x:f>
        <x:v>지연</x:v>
      </x:c>
      <x:c r="K20" s="125" t="n">
        <x:v>46071</x:v>
      </x:c>
    </x:row>
    <x:row r="21">
      <x:c r="A21" s="119" t="n">
        <x:v>46069</x:v>
      </x:c>
      <x:c r="B21" s="66" t="str">
        <x:v>PO-2026-0016</x:v>
      </x:c>
      <x:c r="C21" s="66" t="str">
        <x:v>공급처05</x:v>
      </x:c>
      <x:c r="D21" s="66" t="str">
        <x:v>ITM-016</x:v>
      </x:c>
      <x:c r="E21" s="85" t="n">
        <x:v>65</x:v>
      </x:c>
      <x:c r="F21" s="134" t="n">
        <x:v>5680</x:v>
      </x:c>
      <x:c r="G21" s="135" t="n">
        <x:f>E21*F21</x:f>
        <x:v>369200</x:v>
      </x:c>
      <x:c r="H21" s="136" t="n">
        <x:v>38</x:v>
      </x:c>
      <x:c r="I21" s="137" t="n">
        <x:f>MAX(0,E21-H21)</x:f>
        <x:v>27</x:v>
      </x:c>
      <x:c r="J21" s="103" t="str">
        <x:f>IF(I21=0,"완료",IF(TODAY()&gt;K21,"지연","진행"))</x:f>
        <x:v>지연</x:v>
      </x:c>
      <x:c r="K21" s="125" t="n">
        <x:v>46077</x:v>
      </x:c>
    </x:row>
    <x:row r="22">
      <x:c r="A22" s="119" t="n">
        <x:v>46072</x:v>
      </x:c>
      <x:c r="B22" s="66" t="str">
        <x:v>PO-2026-0017</x:v>
      </x:c>
      <x:c r="C22" s="66" t="str">
        <x:v>공급처06</x:v>
      </x:c>
      <x:c r="D22" s="66" t="str">
        <x:v>ITM-017</x:v>
      </x:c>
      <x:c r="E22" s="85" t="n">
        <x:v>35</x:v>
      </x:c>
      <x:c r="F22" s="134" t="n">
        <x:v>5960</x:v>
      </x:c>
      <x:c r="G22" s="135" t="n">
        <x:f>E22*F22</x:f>
        <x:v>208600</x:v>
      </x:c>
      <x:c r="H22" s="136" t="n">
        <x:v>5</x:v>
      </x:c>
      <x:c r="I22" s="137" t="n">
        <x:f>MAX(0,E22-H22)</x:f>
        <x:v>30</x:v>
      </x:c>
      <x:c r="J22" s="103" t="str">
        <x:f>IF(I22=0,"완료",IF(TODAY()&gt;K22,"지연","진행"))</x:f>
        <x:v>지연</x:v>
      </x:c>
      <x:c r="K22" s="125" t="n">
        <x:v>46083</x:v>
      </x:c>
    </x:row>
    <x:row r="23">
      <x:c r="A23" s="119" t="n">
        <x:v>46075</x:v>
      </x:c>
      <x:c r="B23" s="66" t="str">
        <x:v>PO-2026-0018</x:v>
      </x:c>
      <x:c r="C23" s="66" t="str">
        <x:v>공급처01</x:v>
      </x:c>
      <x:c r="D23" s="66" t="str">
        <x:v>ITM-018</x:v>
      </x:c>
      <x:c r="E23" s="85" t="n">
        <x:v>96</x:v>
      </x:c>
      <x:c r="F23" s="134" t="n">
        <x:v>6240</x:v>
      </x:c>
      <x:c r="G23" s="135" t="n">
        <x:f>E23*F23</x:f>
        <x:v>599040</x:v>
      </x:c>
      <x:c r="H23" s="136" t="n">
        <x:v>88</x:v>
      </x:c>
      <x:c r="I23" s="137" t="n">
        <x:f>MAX(0,E23-H23)</x:f>
        <x:v>8</x:v>
      </x:c>
      <x:c r="J23" s="103" t="str">
        <x:f>IF(I23=0,"완료",IF(TODAY()&gt;K23,"지연","진행"))</x:f>
        <x:v>지연</x:v>
      </x:c>
      <x:c r="K23" s="125" t="n">
        <x:v>46089</x:v>
      </x:c>
    </x:row>
    <x:row r="24">
      <x:c r="A24" s="119" t="n">
        <x:v>46078</x:v>
      </x:c>
      <x:c r="B24" s="66" t="str">
        <x:v>PO-2026-0019</x:v>
      </x:c>
      <x:c r="C24" s="66" t="str">
        <x:v>공급처02</x:v>
      </x:c>
      <x:c r="D24" s="66" t="str">
        <x:v>ITM-019</x:v>
      </x:c>
      <x:c r="E24" s="85" t="n">
        <x:v>21</x:v>
      </x:c>
      <x:c r="F24" s="134" t="n">
        <x:v>6520</x:v>
      </x:c>
      <x:c r="G24" s="135" t="n">
        <x:f>E24*F24</x:f>
        <x:v>136920</x:v>
      </x:c>
      <x:c r="H24" s="136" t="n">
        <x:v>0</x:v>
      </x:c>
      <x:c r="I24" s="137" t="n">
        <x:f>MAX(0,E24-H24)</x:f>
        <x:v>21</x:v>
      </x:c>
      <x:c r="J24" s="103" t="str">
        <x:f>IF(I24=0,"완료",IF(TODAY()&gt;K24,"지연","진행"))</x:f>
        <x:v>지연</x:v>
      </x:c>
      <x:c r="K24" s="125" t="n">
        <x:v>46095</x:v>
      </x:c>
    </x:row>
    <x:row r="25">
      <x:c r="A25" s="119" t="n">
        <x:v>46081</x:v>
      </x:c>
      <x:c r="B25" s="66" t="str">
        <x:v>PO-2026-0020</x:v>
      </x:c>
      <x:c r="C25" s="66" t="str">
        <x:v>공급처03</x:v>
      </x:c>
      <x:c r="D25" s="66" t="str">
        <x:v>ITM-020</x:v>
      </x:c>
      <x:c r="E25" s="85" t="n">
        <x:v>57</x:v>
      </x:c>
      <x:c r="F25" s="134" t="n">
        <x:v>6800</x:v>
      </x:c>
      <x:c r="G25" s="135" t="n">
        <x:f>E25*F25</x:f>
        <x:v>387600</x:v>
      </x:c>
      <x:c r="H25" s="136" t="n">
        <x:v>43</x:v>
      </x:c>
      <x:c r="I25" s="137" t="n">
        <x:f>MAX(0,E25-H25)</x:f>
        <x:v>14</x:v>
      </x:c>
      <x:c r="J25" s="103" t="str">
        <x:f>IF(I25=0,"완료",IF(TODAY()&gt;K25,"지연","진행"))</x:f>
        <x:v>지연</x:v>
      </x:c>
      <x:c r="K25" s="125" t="n">
        <x:v>46086</x:v>
      </x:c>
    </x:row>
    <x:row r="26">
      <x:c r="A26" s="119" t="n">
        <x:v>46084</x:v>
      </x:c>
      <x:c r="B26" s="66" t="str">
        <x:v>PO-2026-0021</x:v>
      </x:c>
      <x:c r="C26" s="66" t="str">
        <x:v>공급처02</x:v>
      </x:c>
      <x:c r="D26" s="66" t="str">
        <x:v>ITM-001</x:v>
      </x:c>
      <x:c r="E26" s="85" t="n">
        <x:v>120</x:v>
      </x:c>
      <x:c r="F26" s="134" t="n">
        <x:v>1480</x:v>
      </x:c>
      <x:c r="G26" s="135" t="n">
        <x:f>E26*F26</x:f>
        <x:v>177600</x:v>
      </x:c>
      <x:c r="H26" s="136" t="n">
        <x:v>112</x:v>
      </x:c>
      <x:c r="I26" s="137" t="n">
        <x:f>MAX(0,E26-H26)</x:f>
        <x:v>8</x:v>
      </x:c>
      <x:c r="J26" s="103" t="str">
        <x:f>IF(I26=0,"완료",IF(TODAY()&gt;K26,"지연","진행"))</x:f>
        <x:v>지연</x:v>
      </x:c>
      <x:c r="K26" s="125" t="n">
        <x:v>46092</x:v>
      </x:c>
    </x:row>
    <x:row r="27">
      <x:c r="A27" s="119" t="n">
        <x:v>46087</x:v>
      </x:c>
      <x:c r="B27" s="66" t="str">
        <x:v>PO-2026-0022</x:v>
      </x:c>
      <x:c r="C27" s="66" t="str">
        <x:v>공급처03</x:v>
      </x:c>
      <x:c r="D27" s="66" t="str">
        <x:v>ITM-002</x:v>
      </x:c>
      <x:c r="E27" s="85" t="n">
        <x:v>77</x:v>
      </x:c>
      <x:c r="F27" s="134" t="n">
        <x:v>1760</x:v>
      </x:c>
      <x:c r="G27" s="135" t="n">
        <x:f>E27*F27</x:f>
        <x:v>135520</x:v>
      </x:c>
      <x:c r="H27" s="136" t="n">
        <x:v>62</x:v>
      </x:c>
      <x:c r="I27" s="137" t="n">
        <x:f>MAX(0,E27-H27)</x:f>
        <x:v>15</x:v>
      </x:c>
      <x:c r="J27" s="103" t="str">
        <x:f>IF(I27=0,"완료",IF(TODAY()&gt;K27,"지연","진행"))</x:f>
        <x:v>지연</x:v>
      </x:c>
      <x:c r="K27" s="125" t="n">
        <x:v>46098</x:v>
      </x:c>
    </x:row>
    <x:row r="28">
      <x:c r="A28" s="119" t="n">
        <x:v>46090</x:v>
      </x:c>
      <x:c r="B28" s="66" t="str">
        <x:v>PO-2026-0023</x:v>
      </x:c>
      <x:c r="C28" s="66" t="str">
        <x:v>공급처04</x:v>
      </x:c>
      <x:c r="D28" s="66" t="str">
        <x:v>ITM-003</x:v>
      </x:c>
      <x:c r="E28" s="85" t="n">
        <x:v>87</x:v>
      </x:c>
      <x:c r="F28" s="134" t="n">
        <x:v>2040</x:v>
      </x:c>
      <x:c r="G28" s="135" t="n">
        <x:f>E28*F28</x:f>
        <x:v>177480</x:v>
      </x:c>
      <x:c r="H28" s="136" t="n">
        <x:v>85</x:v>
      </x:c>
      <x:c r="I28" s="137" t="n">
        <x:f>MAX(0,E28-H28)</x:f>
        <x:v>2</x:v>
      </x:c>
      <x:c r="J28" s="103" t="str">
        <x:f>IF(I28=0,"완료",IF(TODAY()&gt;K28,"지연","진행"))</x:f>
        <x:v>지연</x:v>
      </x:c>
      <x:c r="K28" s="125" t="n">
        <x:v>46104</x:v>
      </x:c>
    </x:row>
    <x:row r="29">
      <x:c r="A29" s="119" t="n">
        <x:v>46093</x:v>
      </x:c>
      <x:c r="B29" s="66" t="str">
        <x:v>PO-2026-0024</x:v>
      </x:c>
      <x:c r="C29" s="66" t="str">
        <x:v>공급처05</x:v>
      </x:c>
      <x:c r="D29" s="66" t="str">
        <x:v>ITM-004</x:v>
      </x:c>
      <x:c r="E29" s="85" t="n">
        <x:v>106</x:v>
      </x:c>
      <x:c r="F29" s="134" t="n">
        <x:v>2320</x:v>
      </x:c>
      <x:c r="G29" s="135" t="n">
        <x:f>E29*F29</x:f>
        <x:v>245920</x:v>
      </x:c>
      <x:c r="H29" s="136" t="n">
        <x:v>105</x:v>
      </x:c>
      <x:c r="I29" s="137" t="n">
        <x:f>MAX(0,E29-H29)</x:f>
        <x:v>1</x:v>
      </x:c>
      <x:c r="J29" s="103" t="str">
        <x:f>IF(I29=0,"완료",IF(TODAY()&gt;K29,"지연","진행"))</x:f>
        <x:v>지연</x:v>
      </x:c>
      <x:c r="K29" s="125" t="n">
        <x:v>46110</x:v>
      </x:c>
    </x:row>
    <x:row r="30">
      <x:c r="A30" s="119" t="n">
        <x:v>46096</x:v>
      </x:c>
      <x:c r="B30" s="66" t="str">
        <x:v>PO-2026-0025</x:v>
      </x:c>
      <x:c r="C30" s="66" t="str">
        <x:v>공급처06</x:v>
      </x:c>
      <x:c r="D30" s="66" t="str">
        <x:v>ITM-005</x:v>
      </x:c>
      <x:c r="E30" s="85" t="n">
        <x:v>41</x:v>
      </x:c>
      <x:c r="F30" s="134" t="n">
        <x:v>2600</x:v>
      </x:c>
      <x:c r="G30" s="135" t="n">
        <x:f>E30*F30</x:f>
        <x:v>106600</x:v>
      </x:c>
      <x:c r="H30" s="136" t="n">
        <x:v>29</x:v>
      </x:c>
      <x:c r="I30" s="137" t="n">
        <x:f>MAX(0,E30-H30)</x:f>
        <x:v>12</x:v>
      </x:c>
      <x:c r="J30" s="103" t="str">
        <x:f>IF(I30=0,"완료",IF(TODAY()&gt;K30,"지연","진행"))</x:f>
        <x:v>지연</x:v>
      </x:c>
      <x:c r="K30" s="125" t="n">
        <x:v>46101</x:v>
      </x:c>
    </x:row>
    <x:row r="31">
      <x:c r="A31" s="119" t="n">
        <x:v>46099</x:v>
      </x:c>
      <x:c r="B31" s="66" t="str">
        <x:v>PO-2026-0026</x:v>
      </x:c>
      <x:c r="C31" s="66" t="str">
        <x:v>공급처01</x:v>
      </x:c>
      <x:c r="D31" s="66" t="str">
        <x:v>ITM-006</x:v>
      </x:c>
      <x:c r="E31" s="85" t="n">
        <x:v>69</x:v>
      </x:c>
      <x:c r="F31" s="134" t="n">
        <x:v>2880</x:v>
      </x:c>
      <x:c r="G31" s="135" t="n">
        <x:f>E31*F31</x:f>
        <x:v>198720</x:v>
      </x:c>
      <x:c r="H31" s="136" t="n">
        <x:v>48</x:v>
      </x:c>
      <x:c r="I31" s="137" t="n">
        <x:f>MAX(0,E30-H31)</x:f>
        <x:v>0</x:v>
      </x:c>
      <x:c r="J31" s="103" t="str">
        <x:f>IF(I31=0,"완료",IF(TODAY()&gt;K31,"지연","진행"))</x:f>
        <x:v>완료</x:v>
      </x:c>
      <x:c r="K31" s="125" t="n">
        <x:v>46107</x:v>
      </x:c>
    </x:row>
    <x:row r="32">
      <x:c r="A32" s="119" t="n">
        <x:v>46102</x:v>
      </x:c>
      <x:c r="B32" s="66" t="str">
        <x:v>PO-2026-0027</x:v>
      </x:c>
      <x:c r="C32" s="66" t="str">
        <x:v>공급처02</x:v>
      </x:c>
      <x:c r="D32" s="66" t="str">
        <x:v>ITM-007</x:v>
      </x:c>
      <x:c r="E32" s="85" t="n">
        <x:v>40</x:v>
      </x:c>
      <x:c r="F32" s="134" t="n">
        <x:v>3160</x:v>
      </x:c>
      <x:c r="G32" s="135" t="n">
        <x:f>E32*F32</x:f>
        <x:v>126400</x:v>
      </x:c>
      <x:c r="H32" s="136" t="n">
        <x:v>17</x:v>
      </x:c>
      <x:c r="I32" s="137" t="n">
        <x:f>MAX(0,E32-H32)</x:f>
        <x:v>23</x:v>
      </x:c>
      <x:c r="J32" s="103" t="str">
        <x:f>IF(I32=0,"완료",IF(TODAY()&gt;K32,"지연","진행"))</x:f>
        <x:v>지연</x:v>
      </x:c>
      <x:c r="K32" s="125" t="n">
        <x:v>46113</x:v>
      </x:c>
    </x:row>
    <x:row r="33">
      <x:c r="A33" s="119" t="n">
        <x:v>46105</x:v>
      </x:c>
      <x:c r="B33" s="66" t="str">
        <x:v>PO-2026-0028</x:v>
      </x:c>
      <x:c r="C33" s="66" t="str">
        <x:v>공급처03</x:v>
      </x:c>
      <x:c r="D33" s="66" t="str">
        <x:v>ITM-008</x:v>
      </x:c>
      <x:c r="E33" s="85" t="n">
        <x:v>99</x:v>
      </x:c>
      <x:c r="F33" s="134" t="n">
        <x:v>3440</x:v>
      </x:c>
      <x:c r="G33" s="135" t="n">
        <x:f>E33*F33</x:f>
        <x:v>340560</x:v>
      </x:c>
      <x:c r="H33" s="136" t="n">
        <x:v>67</x:v>
      </x:c>
      <x:c r="I33" s="137" t="n">
        <x:f>MAX(0,E33-H33)</x:f>
        <x:v>32</x:v>
      </x:c>
      <x:c r="J33" s="103" t="str">
        <x:f>IF(I33=0,"완료",IF(TODAY()&gt;K33,"지연","진행"))</x:f>
        <x:v>지연</x:v>
      </x:c>
      <x:c r="K33" s="125" t="n">
        <x:v>46119</x:v>
      </x:c>
    </x:row>
    <x:row r="34">
      <x:c r="A34" s="119" t="n">
        <x:v>46108</x:v>
      </x:c>
      <x:c r="B34" s="66" t="str">
        <x:v>PO-2026-0029</x:v>
      </x:c>
      <x:c r="C34" s="66" t="str">
        <x:v>공급처04</x:v>
      </x:c>
      <x:c r="D34" s="66" t="str">
        <x:v>ITM-009</x:v>
      </x:c>
      <x:c r="E34" s="85" t="n">
        <x:v>91</x:v>
      </x:c>
      <x:c r="F34" s="134" t="n">
        <x:v>3720</x:v>
      </x:c>
      <x:c r="G34" s="135" t="n">
        <x:f>E34*F34</x:f>
        <x:v>338520</x:v>
      </x:c>
      <x:c r="H34" s="136" t="n">
        <x:v>77</x:v>
      </x:c>
      <x:c r="I34" s="137" t="n">
        <x:f>MAX(0,E34-H34)</x:f>
        <x:v>14</x:v>
      </x:c>
      <x:c r="J34" s="103" t="str">
        <x:f>IF(I34=0,"완료",IF(TODAY()&gt;K34,"지연","진행"))</x:f>
        <x:v>지연</x:v>
      </x:c>
      <x:c r="K34" s="125" t="n">
        <x:v>46125</x:v>
      </x:c>
    </x:row>
    <x:row r="35">
      <x:c r="A35" s="119" t="n">
        <x:v>46111</x:v>
      </x:c>
      <x:c r="B35" s="66" t="str">
        <x:v>PO-2026-0030</x:v>
      </x:c>
      <x:c r="C35" s="66" t="str">
        <x:v>공급처05</x:v>
      </x:c>
      <x:c r="D35" s="66" t="str">
        <x:v>ITM-010</x:v>
      </x:c>
      <x:c r="E35" s="85" t="n">
        <x:v>102</x:v>
      </x:c>
      <x:c r="F35" s="134" t="n">
        <x:v>4000</x:v>
      </x:c>
      <x:c r="G35" s="135" t="n">
        <x:f>E35*F35</x:f>
        <x:v>408000</x:v>
      </x:c>
      <x:c r="H35" s="136" t="n">
        <x:v>91</x:v>
      </x:c>
      <x:c r="I35" s="137" t="n">
        <x:f>MAX(0,E35-H35)</x:f>
        <x:v>11</x:v>
      </x:c>
      <x:c r="J35" s="103" t="str">
        <x:f>IF(I35=0,"완료",IF(TODAY()&gt;K35,"지연","진행"))</x:f>
        <x:v>지연</x:v>
      </x:c>
      <x:c r="K35" s="125" t="n">
        <x:v>46116</x:v>
      </x:c>
    </x:row>
    <x:row r="36">
      <x:c r="A36" s="119" t="n">
        <x:v>46114</x:v>
      </x:c>
      <x:c r="B36" s="66" t="str">
        <x:v>PO-2026-0031</x:v>
      </x:c>
      <x:c r="C36" s="66" t="str">
        <x:v>공급처06</x:v>
      </x:c>
      <x:c r="D36" s="66" t="str">
        <x:v>ITM-011</x:v>
      </x:c>
      <x:c r="E36" s="85" t="n">
        <x:v>102</x:v>
      </x:c>
      <x:c r="F36" s="134" t="n">
        <x:v>4280</x:v>
      </x:c>
      <x:c r="G36" s="135" t="n">
        <x:f>E36*F36</x:f>
        <x:v>436560</x:v>
      </x:c>
      <x:c r="H36" s="136" t="n">
        <x:v>83</x:v>
      </x:c>
      <x:c r="I36" s="137" t="n">
        <x:f>MAX(0,E36-H36)</x:f>
        <x:v>19</x:v>
      </x:c>
      <x:c r="J36" s="103" t="str">
        <x:f>IF(I36=0,"완료",IF(TODAY()&gt;K36,"지연","진행"))</x:f>
        <x:v>지연</x:v>
      </x:c>
      <x:c r="K36" s="125" t="n">
        <x:v>46122</x:v>
      </x:c>
    </x:row>
    <x:row r="37">
      <x:c r="A37" s="119" t="n">
        <x:v>46117</x:v>
      </x:c>
      <x:c r="B37" s="66" t="str">
        <x:v>PO-2026-0032</x:v>
      </x:c>
      <x:c r="C37" s="66" t="str">
        <x:v>공급처01</x:v>
      </x:c>
      <x:c r="D37" s="66" t="str">
        <x:v>ITM-012</x:v>
      </x:c>
      <x:c r="E37" s="85" t="n">
        <x:v>39</x:v>
      </x:c>
      <x:c r="F37" s="134" t="n">
        <x:v>4560</x:v>
      </x:c>
      <x:c r="G37" s="135" t="n">
        <x:f>E37*F37</x:f>
        <x:v>177840</x:v>
      </x:c>
      <x:c r="H37" s="136" t="n">
        <x:v>8</x:v>
      </x:c>
      <x:c r="I37" s="137" t="n">
        <x:f>MAX(0,E37-H37)</x:f>
        <x:v>31</x:v>
      </x:c>
      <x:c r="J37" s="103" t="str">
        <x:f>IF(I37=0,"완료",IF(TODAY()&gt;K37,"지연","진행"))</x:f>
        <x:v>지연</x:v>
      </x:c>
      <x:c r="K37" s="125" t="n">
        <x:v>46128</x:v>
      </x:c>
    </x:row>
    <x:row r="38">
      <x:c r="A38" s="119" t="n">
        <x:v>46120</x:v>
      </x:c>
      <x:c r="B38" s="66" t="str">
        <x:v>PO-2026-0033</x:v>
      </x:c>
      <x:c r="C38" s="66" t="str">
        <x:v>공급처02</x:v>
      </x:c>
      <x:c r="D38" s="66" t="str">
        <x:v>ITM-013</x:v>
      </x:c>
      <x:c r="E38" s="85" t="n">
        <x:v>79</x:v>
      </x:c>
      <x:c r="F38" s="134" t="n">
        <x:v>4840</x:v>
      </x:c>
      <x:c r="G38" s="135" t="n">
        <x:f>E38*F38</x:f>
        <x:v>382360</x:v>
      </x:c>
      <x:c r="H38" s="136" t="n">
        <x:v>50</x:v>
      </x:c>
      <x:c r="I38" s="137" t="n">
        <x:f>MAX(0,E38-H38)</x:f>
        <x:v>29</x:v>
      </x:c>
      <x:c r="J38" s="103" t="str">
        <x:f>IF(I38=0,"완료",IF(TODAY()&gt;K38,"지연","진행"))</x:f>
        <x:v>지연</x:v>
      </x:c>
      <x:c r="K38" s="125" t="n">
        <x:v>46134</x:v>
      </x:c>
    </x:row>
    <x:row r="39">
      <x:c r="A39" s="119" t="n">
        <x:v>46123</x:v>
      </x:c>
      <x:c r="B39" s="66" t="str">
        <x:v>PO-2026-0034</x:v>
      </x:c>
      <x:c r="C39" s="66" t="str">
        <x:v>공급처03</x:v>
      </x:c>
      <x:c r="D39" s="66" t="str">
        <x:v>ITM-014</x:v>
      </x:c>
      <x:c r="E39" s="85" t="n">
        <x:v>120</x:v>
      </x:c>
      <x:c r="F39" s="134" t="n">
        <x:v>5120</x:v>
      </x:c>
      <x:c r="G39" s="135" t="n">
        <x:f>E39*F39</x:f>
        <x:v>614400</x:v>
      </x:c>
      <x:c r="H39" s="136" t="n">
        <x:v>94</x:v>
      </x:c>
      <x:c r="I39" s="137" t="n">
        <x:f>MAX(0,E39-H39)</x:f>
        <x:v>26</x:v>
      </x:c>
      <x:c r="J39" s="103" t="str">
        <x:f>IF(I39=0,"완료",IF(TODAY()&gt;K39,"지연","진행"))</x:f>
        <x:v>지연</x:v>
      </x:c>
      <x:c r="K39" s="125" t="n">
        <x:v>46140</x:v>
      </x:c>
    </x:row>
    <x:row r="40">
      <x:c r="A40" s="119" t="n">
        <x:v>46126</x:v>
      </x:c>
      <x:c r="B40" s="66" t="str">
        <x:v>PO-2026-0035</x:v>
      </x:c>
      <x:c r="C40" s="66" t="str">
        <x:v>공급처04</x:v>
      </x:c>
      <x:c r="D40" s="66" t="str">
        <x:v>ITM-015</x:v>
      </x:c>
      <x:c r="E40" s="85" t="n">
        <x:v>96</x:v>
      </x:c>
      <x:c r="F40" s="134" t="n">
        <x:v>5400</x:v>
      </x:c>
      <x:c r="G40" s="135" t="n">
        <x:f>E40*F40</x:f>
        <x:v>518400</x:v>
      </x:c>
      <x:c r="H40" s="136" t="n">
        <x:v>67</x:v>
      </x:c>
      <x:c r="I40" s="137" t="n">
        <x:f>MAX(0,E40-H40)</x:f>
        <x:v>29</x:v>
      </x:c>
      <x:c r="J40" s="103" t="str">
        <x:f>IF(I40=0,"완료",IF(TODAY()&gt;K40,"지연","진행"))</x:f>
        <x:v>지연</x:v>
      </x:c>
      <x:c r="K40" s="125" t="n">
        <x:v>46131</x:v>
      </x:c>
    </x:row>
    <x:row r="41">
      <x:c r="A41" s="119" t="n">
        <x:v>46129</x:v>
      </x:c>
      <x:c r="B41" s="66" t="str">
        <x:v>PO-2026-0036</x:v>
      </x:c>
      <x:c r="C41" s="66" t="str">
        <x:v>공급처05</x:v>
      </x:c>
      <x:c r="D41" s="66" t="str">
        <x:v>ITM-016</x:v>
      </x:c>
      <x:c r="E41" s="85" t="n">
        <x:v>51</x:v>
      </x:c>
      <x:c r="F41" s="134" t="n">
        <x:v>5680</x:v>
      </x:c>
      <x:c r="G41" s="135" t="n">
        <x:f>E41*F41</x:f>
        <x:v>289680</x:v>
      </x:c>
      <x:c r="H41" s="136" t="n">
        <x:v>34</x:v>
      </x:c>
      <x:c r="I41" s="137" t="n">
        <x:f>MAX(0,E41-H41)</x:f>
        <x:v>17</x:v>
      </x:c>
      <x:c r="J41" s="103" t="str">
        <x:f>IF(I41=0,"완료",IF(TODAY()&gt;K41,"지연","진행"))</x:f>
        <x:v>지연</x:v>
      </x:c>
      <x:c r="K41" s="125" t="n">
        <x:v>46137</x:v>
      </x:c>
    </x:row>
    <x:row r="42">
      <x:c r="A42" s="119" t="n">
        <x:v>46132</x:v>
      </x:c>
      <x:c r="B42" s="66" t="str">
        <x:v>PO-2026-0037</x:v>
      </x:c>
      <x:c r="C42" s="66" t="str">
        <x:v>공급처06</x:v>
      </x:c>
      <x:c r="D42" s="66" t="str">
        <x:v>ITM-017</x:v>
      </x:c>
      <x:c r="E42" s="85" t="n">
        <x:v>34</x:v>
      </x:c>
      <x:c r="F42" s="134" t="n">
        <x:v>5960</x:v>
      </x:c>
      <x:c r="G42" s="135" t="n">
        <x:f>E42*F42</x:f>
        <x:v>202640</x:v>
      </x:c>
      <x:c r="H42" s="136" t="n">
        <x:v>10</x:v>
      </x:c>
      <x:c r="I42" s="137" t="n">
        <x:f>MAX(0,E42-H42)</x:f>
        <x:v>24</x:v>
      </x:c>
      <x:c r="J42" s="103" t="str">
        <x:f>IF(I42=0,"완료",IF(TODAY()&gt;K42,"지연","진행"))</x:f>
        <x:v>지연</x:v>
      </x:c>
      <x:c r="K42" s="125" t="n">
        <x:v>46143</x:v>
      </x:c>
    </x:row>
    <x:row r="43">
      <x:c r="A43" s="119" t="n">
        <x:v>46135</x:v>
      </x:c>
      <x:c r="B43" s="66" t="str">
        <x:v>PO-2026-0038</x:v>
      </x:c>
      <x:c r="C43" s="66" t="str">
        <x:v>공급처01</x:v>
      </x:c>
      <x:c r="D43" s="66" t="str">
        <x:v>ITM-018</x:v>
      </x:c>
      <x:c r="E43" s="85" t="n">
        <x:v>109</x:v>
      </x:c>
      <x:c r="F43" s="134" t="n">
        <x:v>6240</x:v>
      </x:c>
      <x:c r="G43" s="135" t="n">
        <x:f>E43*F43</x:f>
        <x:v>680160</x:v>
      </x:c>
      <x:c r="H43" s="136" t="n">
        <x:v>94</x:v>
      </x:c>
      <x:c r="I43" s="137" t="n">
        <x:f>MAX(0,E43-H43)</x:f>
        <x:v>15</x:v>
      </x:c>
      <x:c r="J43" s="103" t="str">
        <x:v>완료</x:v>
      </x:c>
      <x:c r="K43" s="125" t="n">
        <x:v>46149</x:v>
      </x:c>
    </x:row>
    <x:row r="44">
      <x:c r="A44" s="119" t="n">
        <x:v>46138</x:v>
      </x:c>
      <x:c r="B44" s="66" t="str">
        <x:v>PO-2026-0039</x:v>
      </x:c>
      <x:c r="C44" s="66" t="str">
        <x:v>공급처02</x:v>
      </x:c>
      <x:c r="D44" s="66" t="str">
        <x:v>ITM-019</x:v>
      </x:c>
      <x:c r="E44" s="85" t="n">
        <x:v>36</x:v>
      </x:c>
      <x:c r="F44" s="134" t="n">
        <x:v>6520</x:v>
      </x:c>
      <x:c r="G44" s="135" t="n">
        <x:f>E44*F44</x:f>
        <x:v>234720</x:v>
      </x:c>
      <x:c r="H44" s="136" t="n">
        <x:v>21</x:v>
      </x:c>
      <x:c r="I44" s="137" t="n">
        <x:f>MAX(0,E44-H44)</x:f>
        <x:v>15</x:v>
      </x:c>
      <x:c r="J44" s="103" t="str">
        <x:f>IF(I44=0,"완료",IF(TODAY()&gt;K44,"지연","진행"))</x:f>
        <x:v>지연</x:v>
      </x:c>
      <x:c r="K44" s="125" t="n">
        <x:v>46155</x:v>
      </x:c>
    </x:row>
    <x:row r="45">
      <x:c r="A45" s="119" t="n">
        <x:v>46141</x:v>
      </x:c>
      <x:c r="B45" s="66" t="str">
        <x:v>PO-2026-0040</x:v>
      </x:c>
      <x:c r="C45" s="66" t="str">
        <x:v>공급처03</x:v>
      </x:c>
      <x:c r="D45" s="66" t="str">
        <x:v>ITM-020</x:v>
      </x:c>
      <x:c r="E45" s="85" t="n">
        <x:v>97</x:v>
      </x:c>
      <x:c r="F45" s="134" t="n">
        <x:v>6800</x:v>
      </x:c>
      <x:c r="G45" s="135" t="n">
        <x:f>E45*F45</x:f>
        <x:v>659600</x:v>
      </x:c>
      <x:c r="H45" s="136" t="n">
        <x:v>73</x:v>
      </x:c>
      <x:c r="I45" s="137" t="n">
        <x:f>MAX(0,E45-H45)</x:f>
        <x:v>24</x:v>
      </x:c>
      <x:c r="J45" s="103" t="str">
        <x:f>IF(I45=0,"완료",IF(TODAY()&gt;K45,"지연","진행"))</x:f>
        <x:v>지연</x:v>
      </x:c>
      <x:c r="K45" s="125" t="n">
        <x:v>46146</x:v>
      </x:c>
    </x:row>
    <x:row r="46">
      <x:c r="A46" s="119" t="n">
        <x:v>46144</x:v>
      </x:c>
      <x:c r="B46" s="66" t="str">
        <x:v>PO-2026-0041</x:v>
      </x:c>
      <x:c r="C46" s="66" t="str">
        <x:v>공급처02</x:v>
      </x:c>
      <x:c r="D46" s="66" t="str">
        <x:v>ITM-001</x:v>
      </x:c>
      <x:c r="E46" s="85" t="n">
        <x:v>58</x:v>
      </x:c>
      <x:c r="F46" s="134" t="n">
        <x:v>1480</x:v>
      </x:c>
      <x:c r="G46" s="135" t="n">
        <x:f>E46*F46</x:f>
        <x:v>85840</x:v>
      </x:c>
      <x:c r="H46" s="136" t="n">
        <x:v>49</x:v>
      </x:c>
      <x:c r="I46" s="137" t="n">
        <x:f>MAX(0,E46-H46)</x:f>
        <x:v>9</x:v>
      </x:c>
      <x:c r="J46" s="103" t="str">
        <x:f>IF(I46=0,"완료",IF(TODAY()&gt;K46,"지연","진행"))</x:f>
        <x:v>지연</x:v>
      </x:c>
      <x:c r="K46" s="125" t="n">
        <x:v>46152</x:v>
      </x:c>
    </x:row>
    <x:row r="47">
      <x:c r="A47" s="119" t="n">
        <x:v>46147</x:v>
      </x:c>
      <x:c r="B47" s="66" t="str">
        <x:v>PO-2026-0042</x:v>
      </x:c>
      <x:c r="C47" s="66" t="str">
        <x:v>공급처03</x:v>
      </x:c>
      <x:c r="D47" s="66" t="str">
        <x:v>ITM-002</x:v>
      </x:c>
      <x:c r="E47" s="85" t="n">
        <x:v>51</x:v>
      </x:c>
      <x:c r="F47" s="134" t="n">
        <x:v>1760</x:v>
      </x:c>
      <x:c r="G47" s="135" t="n">
        <x:f>E47*F47</x:f>
        <x:v>89760</x:v>
      </x:c>
      <x:c r="H47" s="136" t="n">
        <x:v>41</x:v>
      </x:c>
      <x:c r="I47" s="137" t="n">
        <x:f>MAX(0,E47-H47)</x:f>
        <x:v>10</x:v>
      </x:c>
      <x:c r="J47" s="103" t="str">
        <x:f>IF(I47=0,"완료",IF(TODAY()&gt;K47,"지연","진행"))</x:f>
        <x:v>지연</x:v>
      </x:c>
      <x:c r="K47" s="125" t="n">
        <x:v>46158</x:v>
      </x:c>
    </x:row>
    <x:row r="48">
      <x:c r="A48" s="119" t="n">
        <x:v>46150</x:v>
      </x:c>
      <x:c r="B48" s="66" t="str">
        <x:v>PO-2026-0043</x:v>
      </x:c>
      <x:c r="C48" s="66" t="str">
        <x:v>공급처04</x:v>
      </x:c>
      <x:c r="D48" s="66" t="str">
        <x:v>ITM-003</x:v>
      </x:c>
      <x:c r="E48" s="85" t="n">
        <x:v>39</x:v>
      </x:c>
      <x:c r="F48" s="134" t="n">
        <x:v>2040</x:v>
      </x:c>
      <x:c r="G48" s="135" t="n">
        <x:f>E48*F48</x:f>
        <x:v>79560</x:v>
      </x:c>
      <x:c r="H48" s="136" t="n">
        <x:v>34</x:v>
      </x:c>
      <x:c r="I48" s="137" t="n">
        <x:f>MAX(0,E48-H48)</x:f>
        <x:v>5</x:v>
      </x:c>
      <x:c r="J48" s="103" t="str">
        <x:f>IF(I48=0,"완료",IF(TODAY()&gt;K48,"지연","진행"))</x:f>
        <x:v>지연</x:v>
      </x:c>
      <x:c r="K48" s="125" t="n">
        <x:v>46164</x:v>
      </x:c>
    </x:row>
    <x:row r="49">
      <x:c r="A49" s="119" t="n">
        <x:v>46153</x:v>
      </x:c>
      <x:c r="B49" s="66" t="str">
        <x:v>PO-2026-0044</x:v>
      </x:c>
      <x:c r="C49" s="66" t="str">
        <x:v>공급처05</x:v>
      </x:c>
      <x:c r="D49" s="66" t="str">
        <x:v>ITM-004</x:v>
      </x:c>
      <x:c r="E49" s="85" t="n">
        <x:v>97</x:v>
      </x:c>
      <x:c r="F49" s="134" t="n">
        <x:v>2320</x:v>
      </x:c>
      <x:c r="G49" s="135" t="n">
        <x:f>E49*F49</x:f>
        <x:v>225040</x:v>
      </x:c>
      <x:c r="H49" s="136" t="n">
        <x:v>64</x:v>
      </x:c>
      <x:c r="I49" s="137" t="n">
        <x:f>MAX(0,E49-H49)</x:f>
        <x:v>33</x:v>
      </x:c>
      <x:c r="J49" s="103" t="str">
        <x:f>IF(I49=0,"완료",IF(TODAY()&gt;K49,"지연","진행"))</x:f>
        <x:v>지연</x:v>
      </x:c>
      <x:c r="K49" s="125" t="n">
        <x:v>46170</x:v>
      </x:c>
    </x:row>
    <x:row r="50">
      <x:c r="A50" s="119" t="n">
        <x:v>46156</x:v>
      </x:c>
      <x:c r="B50" s="66" t="str">
        <x:v>PO-2026-0045</x:v>
      </x:c>
      <x:c r="C50" s="66" t="str">
        <x:v>공급처06</x:v>
      </x:c>
      <x:c r="D50" s="66" t="str">
        <x:v>ITM-005</x:v>
      </x:c>
      <x:c r="E50" s="85" t="n">
        <x:v>65</x:v>
      </x:c>
      <x:c r="F50" s="134" t="n">
        <x:v>2600</x:v>
      </x:c>
      <x:c r="G50" s="135" t="n">
        <x:f>E50*F50</x:f>
        <x:v>169000</x:v>
      </x:c>
      <x:c r="H50" s="136" t="n">
        <x:v>33</x:v>
      </x:c>
      <x:c r="I50" s="137" t="n">
        <x:f>MAX(0,E50-H50)</x:f>
        <x:v>32</x:v>
      </x:c>
      <x:c r="J50" s="103" t="str">
        <x:f>IF(I50=0,"완료",IF(TODAY()&gt;K50,"지연","진행"))</x:f>
        <x:v>지연</x:v>
      </x:c>
      <x:c r="K50" s="125" t="n">
        <x:v>46161</x:v>
      </x:c>
    </x:row>
    <x:row r="51">
      <x:c r="A51" s="119" t="n">
        <x:v>46159</x:v>
      </x:c>
      <x:c r="B51" s="66" t="str">
        <x:v>PO-2026-0046</x:v>
      </x:c>
      <x:c r="C51" s="66" t="str">
        <x:v>공급처01</x:v>
      </x:c>
      <x:c r="D51" s="66" t="str">
        <x:v>ITM-006</x:v>
      </x:c>
      <x:c r="E51" s="85" t="n">
        <x:v>101</x:v>
      </x:c>
      <x:c r="F51" s="134" t="n">
        <x:v>2880</x:v>
      </x:c>
      <x:c r="G51" s="135" t="n">
        <x:f>E51*F51</x:f>
        <x:v>290880</x:v>
      </x:c>
      <x:c r="H51" s="136" t="n">
        <x:v>83</x:v>
      </x:c>
      <x:c r="I51" s="137" t="n">
        <x:f>MAX(0,E51-H51)</x:f>
        <x:v>18</x:v>
      </x:c>
      <x:c r="J51" s="103" t="str">
        <x:f>IF(I51=0,"완료",IF(TODAY()&gt;K51,"지연","진행"))</x:f>
        <x:v>지연</x:v>
      </x:c>
      <x:c r="K51" s="125" t="n">
        <x:v>46167</x:v>
      </x:c>
    </x:row>
    <x:row r="52">
      <x:c r="A52" s="119" t="n">
        <x:v>46162</x:v>
      </x:c>
      <x:c r="B52" s="66" t="str">
        <x:v>PO-2026-0047</x:v>
      </x:c>
      <x:c r="C52" s="66" t="str">
        <x:v>공급처02</x:v>
      </x:c>
      <x:c r="D52" s="66" t="str">
        <x:v>ITM-007</x:v>
      </x:c>
      <x:c r="E52" s="85" t="n">
        <x:v>86</x:v>
      </x:c>
      <x:c r="F52" s="134" t="n">
        <x:v>3160</x:v>
      </x:c>
      <x:c r="G52" s="135" t="n">
        <x:f>E52*F52</x:f>
        <x:v>271760</x:v>
      </x:c>
      <x:c r="H52" s="136" t="n">
        <x:v>82</x:v>
      </x:c>
      <x:c r="I52" s="137" t="n">
        <x:f>MAX(0,E52-H52)</x:f>
        <x:v>4</x:v>
      </x:c>
      <x:c r="J52" s="103" t="str">
        <x:f>IF(I52=0,"완료",IF(TODAY()&gt;K52,"지연","진행"))</x:f>
        <x:v>지연</x:v>
      </x:c>
      <x:c r="K52" s="125" t="n">
        <x:v>46173</x:v>
      </x:c>
    </x:row>
    <x:row r="53">
      <x:c r="A53" s="119" t="n">
        <x:v>46165</x:v>
      </x:c>
      <x:c r="B53" s="66" t="str">
        <x:v>PO-2026-0048</x:v>
      </x:c>
      <x:c r="C53" s="66" t="str">
        <x:v>공급처03</x:v>
      </x:c>
      <x:c r="D53" s="66" t="str">
        <x:v>ITM-008</x:v>
      </x:c>
      <x:c r="E53" s="85" t="n">
        <x:v>74</x:v>
      </x:c>
      <x:c r="F53" s="134" t="n">
        <x:v>3440</x:v>
      </x:c>
      <x:c r="G53" s="135" t="n">
        <x:f>E53*F53</x:f>
        <x:v>254560</x:v>
      </x:c>
      <x:c r="H53" s="136" t="n">
        <x:v>54</x:v>
      </x:c>
      <x:c r="I53" s="137" t="n">
        <x:f>MAX(0,E53-H53)</x:f>
        <x:v>20</x:v>
      </x:c>
      <x:c r="J53" s="103" t="str">
        <x:f>IF(I53=0,"완료",IF(TODAY()&gt;K53,"지연","진행"))</x:f>
        <x:v>지연</x:v>
      </x:c>
      <x:c r="K53" s="125" t="n">
        <x:v>46179</x:v>
      </x:c>
    </x:row>
    <x:row r="54">
      <x:c r="A54" s="119" t="n">
        <x:v>46168</x:v>
      </x:c>
      <x:c r="B54" s="66" t="str">
        <x:v>PO-2026-0049</x:v>
      </x:c>
      <x:c r="C54" s="66" t="str">
        <x:v>공급처04</x:v>
      </x:c>
      <x:c r="D54" s="66" t="str">
        <x:v>ITM-009</x:v>
      </x:c>
      <x:c r="E54" s="85" t="n">
        <x:v>42</x:v>
      </x:c>
      <x:c r="F54" s="134" t="n">
        <x:v>3720</x:v>
      </x:c>
      <x:c r="G54" s="135"/>
      <x:c r="H54" s="136" t="n">
        <x:v>20</x:v>
      </x:c>
      <x:c r="I54" s="137" t="n">
        <x:f>MAX(0,E54-H54)</x:f>
        <x:v>22</x:v>
      </x:c>
      <x:c r="J54" s="103" t="str">
        <x:f>IF(I54=0,"완료",IF(TODAY()&gt;K54,"지연","진행"))</x:f>
        <x:v>지연</x:v>
      </x:c>
      <x:c r="K54" s="125" t="n">
        <x:v>46185</x:v>
      </x:c>
    </x:row>
    <x:row r="55">
      <x:c r="A55" s="119" t="n">
        <x:v>46171</x:v>
      </x:c>
      <x:c r="B55" s="66" t="str">
        <x:v>PO-2026-0050</x:v>
      </x:c>
      <x:c r="C55" s="66" t="str">
        <x:v>공급처05</x:v>
      </x:c>
      <x:c r="D55" s="66" t="str">
        <x:v>ITM-010</x:v>
      </x:c>
      <x:c r="E55" s="85" t="n">
        <x:v>84</x:v>
      </x:c>
      <x:c r="F55" s="134" t="n">
        <x:v>4000</x:v>
      </x:c>
      <x:c r="G55" s="135" t="n">
        <x:f>E55*F55</x:f>
        <x:v>336000</x:v>
      </x:c>
      <x:c r="H55" s="136" t="n">
        <x:v>53</x:v>
      </x:c>
      <x:c r="I55" s="137" t="n">
        <x:f>MAX(0,E55-H55)</x:f>
        <x:v>31</x:v>
      </x:c>
      <x:c r="J55" s="103" t="str">
        <x:f>IF(I55=0,"완료",IF(TODAY()&gt;K55,"지연","진행"))</x:f>
        <x:v>지연</x:v>
      </x:c>
      <x:c r="K55" s="125" t="n">
        <x:v>46176</x:v>
      </x:c>
    </x:row>
    <x:row r="56">
      <x:c r="A56" s="119" t="n">
        <x:v>46174</x:v>
      </x:c>
      <x:c r="B56" s="66" t="str">
        <x:v>PO-2026-0051</x:v>
      </x:c>
      <x:c r="C56" s="66" t="str">
        <x:v>공급처06</x:v>
      </x:c>
      <x:c r="D56" s="66" t="str">
        <x:v>ITM-011</x:v>
      </x:c>
      <x:c r="E56" s="85" t="n">
        <x:v>105</x:v>
      </x:c>
      <x:c r="F56" s="134" t="n">
        <x:v>4280</x:v>
      </x:c>
      <x:c r="G56" s="135" t="n">
        <x:f>E56*F56</x:f>
        <x:v>449400</x:v>
      </x:c>
      <x:c r="H56" s="136" t="n">
        <x:v>99</x:v>
      </x:c>
      <x:c r="I56" s="137" t="n">
        <x:f>MAX(0,E56-H56)</x:f>
        <x:v>6</x:v>
      </x:c>
      <x:c r="J56" s="103" t="str">
        <x:f>IF(I56=0,"완료",IF(TODAY()&gt;K56,"지연","진행"))</x:f>
        <x:v>지연</x:v>
      </x:c>
      <x:c r="K56" s="125" t="n">
        <x:v>46182</x:v>
      </x:c>
    </x:row>
    <x:row r="57">
      <x:c r="A57" s="119" t="n">
        <x:v>46177</x:v>
      </x:c>
      <x:c r="B57" s="66" t="str">
        <x:v>PO-2026-0052</x:v>
      </x:c>
      <x:c r="C57" s="66" t="str">
        <x:v>공급처01</x:v>
      </x:c>
      <x:c r="D57" s="66" t="str">
        <x:v>ITM-012</x:v>
      </x:c>
      <x:c r="E57" s="85" t="n">
        <x:v>25</x:v>
      </x:c>
      <x:c r="F57" s="134" t="n">
        <x:v>4560</x:v>
      </x:c>
      <x:c r="G57" s="135" t="n">
        <x:f>E57*F57</x:f>
        <x:v>114000</x:v>
      </x:c>
      <x:c r="H57" s="136" t="n">
        <x:v>15</x:v>
      </x:c>
      <x:c r="I57" s="137" t="n">
        <x:f>MAX(0,E57-H57)</x:f>
        <x:v>10</x:v>
      </x:c>
      <x:c r="J57" s="103" t="str">
        <x:f>IF(I57=0,"완료",IF(TODAY()&gt;K57,"지연","진행"))</x:f>
        <x:v>지연</x:v>
      </x:c>
      <x:c r="K57" s="125" t="n">
        <x:v>46188</x:v>
      </x:c>
    </x:row>
    <x:row r="58">
      <x:c r="A58" s="119" t="n">
        <x:v>46180</x:v>
      </x:c>
      <x:c r="B58" s="66" t="str">
        <x:v>PO-2026-0053</x:v>
      </x:c>
      <x:c r="C58" s="66" t="str">
        <x:v>공급처02</x:v>
      </x:c>
      <x:c r="D58" s="66" t="str">
        <x:v>ITM-013</x:v>
      </x:c>
      <x:c r="E58" s="85" t="n">
        <x:v>88</x:v>
      </x:c>
      <x:c r="F58" s="134" t="n">
        <x:v>4840</x:v>
      </x:c>
      <x:c r="G58" s="135" t="n">
        <x:f>E58*F58</x:f>
        <x:v>425920</x:v>
      </x:c>
      <x:c r="H58" s="136" t="n">
        <x:v>71</x:v>
      </x:c>
      <x:c r="I58" s="137" t="n">
        <x:f>MAX(0,E58-H58)</x:f>
        <x:v>17</x:v>
      </x:c>
      <x:c r="J58" s="103" t="str">
        <x:f>IF(I58=0,"완료",IF(TODAY()&gt;K58,"지연","진행"))</x:f>
        <x:v>지연</x:v>
      </x:c>
      <x:c r="K58" s="125" t="n">
        <x:v>46194</x:v>
      </x:c>
    </x:row>
    <x:row r="59">
      <x:c r="A59" s="119" t="n">
        <x:v>46183</x:v>
      </x:c>
      <x:c r="B59" s="66" t="str">
        <x:v>PO-2026-0054</x:v>
      </x:c>
      <x:c r="C59" s="66" t="str">
        <x:v>공급처03</x:v>
      </x:c>
      <x:c r="D59" s="66" t="str">
        <x:v>ITM-014</x:v>
      </x:c>
      <x:c r="E59" s="85" t="n">
        <x:v>55</x:v>
      </x:c>
      <x:c r="F59" s="134" t="n">
        <x:v>5120</x:v>
      </x:c>
      <x:c r="G59" s="135" t="n">
        <x:f>E59*F59</x:f>
        <x:v>281600</x:v>
      </x:c>
      <x:c r="H59" s="136" t="n">
        <x:v>44</x:v>
      </x:c>
      <x:c r="I59" s="137" t="n">
        <x:f>MAX(0,E59-H59)</x:f>
        <x:v>11</x:v>
      </x:c>
      <x:c r="J59" s="103" t="str">
        <x:f>IF(I59=0,"완료",IF(TODAY()&gt;K59,"지연","진행"))</x:f>
        <x:v>지연</x:v>
      </x:c>
      <x:c r="K59" s="125" t="n">
        <x:v>46200</x:v>
      </x:c>
    </x:row>
    <x:row r="60">
      <x:c r="A60" s="119" t="n">
        <x:v>46186</x:v>
      </x:c>
      <x:c r="B60" s="66" t="str">
        <x:v>PO-2026-0055</x:v>
      </x:c>
      <x:c r="C60" s="66" t="str">
        <x:v>공급처04</x:v>
      </x:c>
      <x:c r="D60" s="66" t="str">
        <x:v>ITM-015</x:v>
      </x:c>
      <x:c r="E60" s="85" t="n">
        <x:v>50</x:v>
      </x:c>
      <x:c r="F60" s="134" t="n">
        <x:v>5400</x:v>
      </x:c>
      <x:c r="G60" s="135" t="n">
        <x:f>E60*F60</x:f>
        <x:v>270000</x:v>
      </x:c>
      <x:c r="H60" s="136" t="n">
        <x:v>37</x:v>
      </x:c>
      <x:c r="I60" s="137" t="n">
        <x:f>MAX(0,E60-H60)</x:f>
        <x:v>13</x:v>
      </x:c>
      <x:c r="J60" s="103" t="str">
        <x:f>IF(I60=0,"완료",IF(TODAY()&gt;K60,"지연","진행"))</x:f>
        <x:v>지연</x:v>
      </x:c>
      <x:c r="K60" s="125" t="n">
        <x:v>46191</x:v>
      </x:c>
    </x:row>
    <x:row r="61">
      <x:c r="A61" s="119" t="n">
        <x:v>46189</x:v>
      </x:c>
      <x:c r="B61" s="66" t="str">
        <x:v>PO-2026-0056</x:v>
      </x:c>
      <x:c r="C61" s="66" t="str">
        <x:v>공급처05</x:v>
      </x:c>
      <x:c r="D61" s="66" t="str">
        <x:v>ITM-016</x:v>
      </x:c>
      <x:c r="E61" s="85" t="n">
        <x:v>85</x:v>
      </x:c>
      <x:c r="F61" s="134" t="n">
        <x:v>5680</x:v>
      </x:c>
      <x:c r="G61" s="135" t="n">
        <x:f>E61*F61</x:f>
        <x:v>482800</x:v>
      </x:c>
      <x:c r="H61" s="136" t="n">
        <x:v>76</x:v>
      </x:c>
      <x:c r="I61" s="137" t="n">
        <x:f>MAX(0,E61-H61)</x:f>
        <x:v>9</x:v>
      </x:c>
      <x:c r="J61" s="103" t="str">
        <x:f>IF(I61=0,"완료",IF(TODAY()&gt;K61,"지연","진행"))</x:f>
        <x:v>지연</x:v>
      </x:c>
      <x:c r="K61" s="125" t="n">
        <x:v>46197</x:v>
      </x:c>
    </x:row>
    <x:row r="62">
      <x:c r="A62" s="119" t="n">
        <x:v>46192</x:v>
      </x:c>
      <x:c r="B62" s="66" t="str">
        <x:v>PO-2026-0057</x:v>
      </x:c>
      <x:c r="C62" s="66" t="str">
        <x:v>공급처06</x:v>
      </x:c>
      <x:c r="D62" s="66" t="str">
        <x:v>ITM-017</x:v>
      </x:c>
      <x:c r="E62" s="85" t="n">
        <x:v>109</x:v>
      </x:c>
      <x:c r="F62" s="134" t="n">
        <x:v>5960</x:v>
      </x:c>
      <x:c r="G62" s="135" t="n">
        <x:f>E62*F62</x:f>
        <x:v>649640</x:v>
      </x:c>
      <x:c r="H62" s="136" t="n">
        <x:v>97</x:v>
      </x:c>
      <x:c r="I62" s="137" t="n">
        <x:f>MAX(0,E62-H62)</x:f>
        <x:v>12</x:v>
      </x:c>
      <x:c r="J62" s="103" t="str">
        <x:f>IF(I62=0,"완료",IF(TODAY()&gt;K62,"지연","진행"))</x:f>
        <x:v>지연</x:v>
      </x:c>
      <x:c r="K62" s="125" t="n">
        <x:v>46203</x:v>
      </x:c>
    </x:row>
    <x:row r="63">
      <x:c r="A63" s="119" t="n">
        <x:v>46195</x:v>
      </x:c>
      <x:c r="B63" s="66" t="str">
        <x:v>PO-2026-0058</x:v>
      </x:c>
      <x:c r="C63" s="66" t="str">
        <x:v>공급처01</x:v>
      </x:c>
      <x:c r="D63" s="66" t="str">
        <x:v>ITM-018</x:v>
      </x:c>
      <x:c r="E63" s="85" t="n">
        <x:v>111</x:v>
      </x:c>
      <x:c r="F63" s="134" t="n">
        <x:v>6240</x:v>
      </x:c>
      <x:c r="G63" s="135" t="n">
        <x:f>E63*F63</x:f>
        <x:v>692640</x:v>
      </x:c>
      <x:c r="H63" s="136" t="n">
        <x:v>93</x:v>
      </x:c>
      <x:c r="I63" s="137" t="n">
        <x:f>MAX(0,E63-H63)</x:f>
        <x:v>18</x:v>
      </x:c>
      <x:c r="J63" s="103" t="str">
        <x:f>IF(I63=0,"완료",IF(TODAY()&gt;K63,"지연","진행"))</x:f>
        <x:v>지연</x:v>
      </x:c>
      <x:c r="K63" s="125" t="n">
        <x:v>46209</x:v>
      </x:c>
    </x:row>
    <x:row r="64">
      <x:c r="A64" s="119" t="n">
        <x:v>46198</x:v>
      </x:c>
      <x:c r="B64" s="66" t="str">
        <x:v>PO-2026-0059</x:v>
      </x:c>
      <x:c r="C64" s="66" t="str">
        <x:v>공급처02</x:v>
      </x:c>
      <x:c r="D64" s="66" t="str">
        <x:v>ITM-019</x:v>
      </x:c>
      <x:c r="E64" s="85" t="n">
        <x:v>96</x:v>
      </x:c>
      <x:c r="F64" s="134" t="n">
        <x:v>6520</x:v>
      </x:c>
      <x:c r="G64" s="135" t="n">
        <x:f>E64*F64</x:f>
        <x:v>625920</x:v>
      </x:c>
      <x:c r="H64" s="136" t="n">
        <x:v>61</x:v>
      </x:c>
      <x:c r="I64" s="137" t="n">
        <x:f>MAX(0,E64-H64)</x:f>
        <x:v>35</x:v>
      </x:c>
      <x:c r="J64" s="103" t="str">
        <x:f>IF(I64=0,"완료",IF(TODAY()&gt;K64,"지연","진행"))</x:f>
        <x:v>지연</x:v>
      </x:c>
      <x:c r="K64" s="125" t="n">
        <x:v>46215</x:v>
      </x:c>
    </x:row>
    <x:row r="65">
      <x:c r="A65" s="120" t="n">
        <x:v>46201</x:v>
      </x:c>
      <x:c r="B65" s="73" t="str">
        <x:v>PO-2026-0060</x:v>
      </x:c>
      <x:c r="C65" s="73" t="str">
        <x:v>공급처03</x:v>
      </x:c>
      <x:c r="D65" s="73" t="str">
        <x:v>ITM-020</x:v>
      </x:c>
      <x:c r="E65" s="86" t="n">
        <x:v>25</x:v>
      </x:c>
      <x:c r="F65" s="138" t="n">
        <x:v>6800</x:v>
      </x:c>
      <x:c r="G65" s="139" t="n">
        <x:f>E65*F65</x:f>
        <x:v>170000</x:v>
      </x:c>
      <x:c r="H65" s="140" t="n">
        <x:v>10</x:v>
      </x:c>
      <x:c r="I65" s="141" t="n">
        <x:f>MAX(0,E65-H65)</x:f>
        <x:v>15</x:v>
      </x:c>
      <x:c r="J65" s="106" t="str">
        <x:f>IF(I65=0,"완료",IF(TODAY()&gt;K65,"지연","진행"))</x:f>
        <x:v>지연</x:v>
      </x:c>
      <x:c r="K65" s="126" t="n">
        <x:v>46206</x:v>
      </x:c>
    </x:row>
    <x:row r="66">
      <x:c r="A66" s="160" t="str">
        <x:v>소계</x:v>
      </x:c>
      <x:c r="B66" s="161" t="str"/>
      <x:c r="C66" s="161" t="str"/>
      <x:c r="D66" s="161" t="str"/>
      <x:c r="E66" s="162" t="n">
        <x:f>SUM(E6:E65)</x:f>
        <x:v>4307</x:v>
      </x:c>
      <x:c r="F66" s="162" t="str"/>
      <x:c r="G66" s="162" t="n">
        <x:f>SUM(G6:G65)</x:f>
        <x:v>17410596</x:v>
      </x:c>
      <x:c r="H66" s="162" t="n">
        <x:f>SUM(H6:H65)</x:f>
        <x:v>3249</x:v>
      </x:c>
      <x:c r="I66" s="162" t="n">
        <x:f>SUM(I6:I65)</x:f>
        <x:v>1037</x:v>
      </x:c>
      <x:c r="J66" s="161" t="str"/>
      <x:c r="K66" s="163" t="str"/>
    </x:row>
    <x:row r="67">
      <x:c r="A67" s="176" t="str">
        <x:v>긴급발주 조정</x:v>
      </x:c>
      <x:c r="B67" s="177" t="str"/>
      <x:c r="C67" s="177" t="str"/>
      <x:c r="D67" s="177" t="str"/>
      <x:c r="E67" s="178" t="n">
        <x:v>15</x:v>
      </x:c>
      <x:c r="F67" s="178" t="str"/>
      <x:c r="G67" s="178" t="n">
        <x:v>45000</x:v>
      </x:c>
      <x:c r="H67" s="178" t="n">
        <x:v>0</x:v>
      </x:c>
      <x:c r="I67" s="178" t="n">
        <x:v>15</x:v>
      </x:c>
      <x:c r="J67" s="177" t="str">
        <x:v>진행</x:v>
      </x:c>
      <x:c r="K67" s="188" t="n">
        <x:v>46275</x:v>
      </x:c>
    </x:row>
    <x:row r="68">
      <x:c r="A68" s="160" t="str">
        <x:v>합계</x:v>
      </x:c>
      <x:c r="B68" s="161" t="str"/>
      <x:c r="C68" s="161" t="str"/>
      <x:c r="D68" s="161" t="str"/>
      <x:c r="E68" s="162" t="n">
        <x:f>E66+E67</x:f>
        <x:v>4322</x:v>
      </x:c>
      <x:c r="F68" s="162" t="str"/>
      <x:c r="G68" s="162" t="n">
        <x:f>G66+G67</x:f>
        <x:v>17455596</x:v>
      </x:c>
      <x:c r="H68" s="162" t="n">
        <x:f>H66+H67</x:f>
        <x:v>3249</x:v>
      </x:c>
      <x:c r="I68" s="162" t="n">
        <x:f>I66+I67</x:f>
        <x:v>1052</x:v>
      </x:c>
      <x:c r="J68" s="161" t="str"/>
      <x:c r="K68" s="163" t="str"/>
    </x:row>
  </x:sheetData>
  <x:mergeCells>
    <x:mergeCell ref="A1:K1"/>
    <x:mergeCell ref="A2:K2"/>
    <x:mergeCell ref="A3:K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6" hidden="0" customWidth="1"/>
    <x:col min="4" max="4" width="14" hidden="0" customWidth="1"/>
    <x:col min="5" max="5" width="12" hidden="0" customWidth="1"/>
  </x:cols>
  <x:sheetData>
    <x:row r="1" ht="30" customHeight="1">
      <x:c r="A1" s="5" t="str">
        <x:v>공급처별 발주 요약</x:v>
      </x:c>
      <x:c r="B1" s="5"/>
      <x:c r="C1" s="5"/>
      <x:c r="D1" s="5"/>
      <x:c r="E1" s="5"/>
    </x:row>
    <x:row r="2" ht="24" customHeight="1">
      <x:c r="A2" s="12" t="str">
        <x:v>공급처별 발주금액과 미입고수량</x:v>
      </x:c>
      <x:c r="B2" s="12"/>
      <x:c r="C2" s="12"/>
      <x:c r="D2" s="12"/>
      <x:c r="E2" s="12"/>
    </x:row>
    <x:row r="3">
      <x:c r="A3" s="18" t="str">
        <x:v>M4-C 추가 교정용 합성 데이터입니다. 노란색은 입력, 파란색은 계산 영역입니다.</x:v>
      </x:c>
      <x:c r="B3" s="18"/>
      <x:c r="C3" s="18"/>
      <x:c r="D3" s="18"/>
      <x:c r="E3" s="18"/>
    </x:row>
    <x:row r="5" ht="28" customHeight="1">
      <x:c r="A5" s="30" t="str">
        <x:v>공급처</x:v>
      </x:c>
      <x:c r="B5" s="61" t="str">
        <x:v>발주건수</x:v>
      </x:c>
      <x:c r="C5" s="61" t="str">
        <x:v>발주금액</x:v>
      </x:c>
      <x:c r="D5" s="61" t="str">
        <x:v>미입고수량</x:v>
      </x:c>
      <x:c r="E5" s="31" t="str">
        <x:v>지연건수</x:v>
      </x:c>
    </x:row>
    <x:row r="6">
      <x:c r="A6" s="90" t="str">
        <x:v>공급처01</x:v>
      </x:c>
      <x:c r="B6" s="131" t="n">
        <x:f>COUNTIF('발주내역'!$C$6:$C$65,A6)</x:f>
        <x:v>9</x:v>
      </x:c>
      <x:c r="C6" s="133" t="n">
        <x:f>SUMIF('발주내역'!$C$6:$C$65,A6,'발주내역'!$G$6:$G$65)</x:f>
        <x:v>3285120</x:v>
      </x:c>
      <x:c r="D6" s="133" t="n">
        <x:f>SUMIF('발주내역'!$C$6:$C$65,A6,'발주내역'!$I$6:$I$65)</x:f>
        <x:v>143</x:v>
      </x:c>
      <x:c r="E6" s="190" t="n">
        <x:f>COUNTIFS('발주내역'!$C$6:$C$65,A6,'발주내역'!$J$6:$J$65,"지연")</x:f>
        <x:v>7</x:v>
      </x:c>
    </x:row>
    <x:row r="7">
      <x:c r="A7" s="91" t="str">
        <x:v>공급처02</x:v>
      </x:c>
      <x:c r="B7" s="135" t="n">
        <x:f>COUNTIF('발주내역'!$C$6:$C$65,A7)</x:f>
        <x:v>12</x:v>
      </x:c>
      <x:c r="C7" s="137" t="n">
        <x:f>SUMIF('발주내역'!$C$6:$C$65,A7,'발주내역'!$G$6:$G$65)</x:f>
        <x:v>3151200</x:v>
      </x:c>
      <x:c r="D7" s="137" t="n">
        <x:f>SUMIF('발주내역'!$C$6:$C$65,A7,'발주내역'!$I$6:$I$65)</x:f>
        <x:v>192</x:v>
      </x:c>
      <x:c r="E7" s="191" t="n">
        <x:f>COUNTIFS('발주내역'!$C$6:$C$65,A7,'발주내역'!$J$6:$J$65,"지연")</x:f>
        <x:v>12</x:v>
      </x:c>
    </x:row>
    <x:row r="8">
      <x:c r="A8" s="91" t="str">
        <x:v>공급처03</x:v>
      </x:c>
      <x:c r="B8" s="135" t="n">
        <x:f>COUNTIF('발주내역'!$C$6:$C$65,A8)</x:f>
        <x:v>12</x:v>
      </x:c>
      <x:c r="C8" s="137" t="n">
        <x:f>SUMIF('발주내역'!$C$6:$C$65,A8,'발주내역'!$G$6:$G$65)</x:f>
        <x:v>3312836</x:v>
      </x:c>
      <x:c r="D8" s="137" t="n">
        <x:f>SUMIF('발주내역'!$C$6:$C$65,A8,'발주내역'!$I$6:$I$65)</x:f>
        <x:v>218</x:v>
      </x:c>
      <x:c r="E8" s="191" t="n">
        <x:f>COUNTIFS('발주내역'!$C$6:$C$65,A8,'발주내역'!$J$6:$J$65,"지연")</x:f>
        <x:v>12</x:v>
      </x:c>
    </x:row>
    <x:row r="9">
      <x:c r="A9" s="91" t="str">
        <x:v>공급처04</x:v>
      </x:c>
      <x:c r="B9" s="135" t="n">
        <x:f>COUNTIF('발주내역'!$C$6:$C$65,A9)</x:f>
        <x:v>9</x:v>
      </x:c>
      <x:c r="C9" s="137" t="n">
        <x:f>SUMIF('발주내역'!$C$6:$C$65,A9,'발주내역'!$G$6:$G$65)</x:f>
        <x:v>2398200</x:v>
      </x:c>
      <x:c r="D9" s="137" t="n">
        <x:f>SUMIF('발주내역'!$C$6:$C$65,A9,'발주내역'!$I$6:$I$65)</x:f>
        <x:v>153</x:v>
      </x:c>
      <x:c r="E9" s="191" t="n">
        <x:f>COUNTIFS('발주내역'!$C$6:$C$65,A9,'발주내역'!$J$6:$J$65,"지연")</x:f>
        <x:v>9</x:v>
      </x:c>
    </x:row>
    <x:row r="10">
      <x:c r="A10" s="91" t="str">
        <x:v>공급처05</x:v>
      </x:c>
      <x:c r="B10" s="135" t="n">
        <x:f>COUNTIF('발주내역'!$C$6:$C$65,A10)</x:f>
        <x:v>9</x:v>
      </x:c>
      <x:c r="C10" s="137" t="n">
        <x:f>SUMIF('발주내역'!$C$6:$C$65,A10,'발주내역'!$G$6:$G$65)</x:f>
        <x:v>2642240</x:v>
      </x:c>
      <x:c r="D10" s="137" t="n">
        <x:f>SUMIF('발주내역'!$C$6:$C$65,A10,'발주내역'!$I$6:$I$65)</x:f>
        <x:v>161</x:v>
      </x:c>
      <x:c r="E10" s="191" t="n">
        <x:f>COUNTIFS('발주내역'!$C$6:$C$65,A10,'발주내역'!$J$6:$J$65,"지연")</x:f>
        <x:v>9</x:v>
      </x:c>
    </x:row>
    <x:row r="11">
      <x:c r="A11" s="92" t="str">
        <x:v>공급처06</x:v>
      </x:c>
      <x:c r="B11" s="139" t="n">
        <x:f>COUNTIF('발주내역'!$C$6:$C$65,A11)</x:f>
        <x:v>9</x:v>
      </x:c>
      <x:c r="C11" s="141" t="n">
        <x:f>SUMIF('발주내역'!$C$6:$C$65,A11,'발주내역'!$G$6:$G$65)</x:f>
        <x:v>2621000</x:v>
      </x:c>
      <x:c r="D11" s="141" t="n">
        <x:f>SUMIF('발주내역'!$C$6:$C$65,A11,'발주내역'!$I$6:$I$65)</x:f>
        <x:v>170</x:v>
      </x:c>
      <x:c r="E11" s="192" t="n">
        <x:f>COUNTIFS('발주내역'!$C$6:$C$65,A11,'발주내역'!$J$6:$J$65,"지연")</x:f>
        <x:v>9</x:v>
      </x:c>
    </x:row>
  </x:sheetData>
  <x:mergeCells>
    <x:mergeCell ref="A1:E1"/>
    <x:mergeCell ref="A2:E2"/>
    <x:mergeCell ref="A3:E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0" customHeight="1">
      <x:c r="A1" s="5" t="str">
        <x:v>구매 KPI</x:v>
      </x:c>
      <x:c r="B1" s="5"/>
      <x:c r="C1" s="5"/>
      <x:c r="D1" s="5"/>
      <x:c r="E1" s="5"/>
      <x:c r="F1" s="5"/>
      <x:c r="G1" s="5"/>
      <x:c r="H1" s="5"/>
    </x:row>
    <x:row r="2" ht="24" customHeight="1">
      <x:c r="A2" s="12" t="str">
        <x:v>발주와 미입고 현황</x:v>
      </x:c>
      <x:c r="B2" s="12"/>
      <x:c r="C2" s="12"/>
      <x:c r="D2" s="12"/>
      <x:c r="E2" s="12"/>
      <x:c r="F2" s="12"/>
      <x:c r="G2" s="12"/>
      <x:c r="H2" s="12"/>
    </x:row>
    <x:row r="3">
      <x:c r="A3" s="18" t="str">
        <x:v>M4-C 추가 교정용 합성 데이터입니다. 노란색은 입력, 파란색은 계산 영역입니다.</x:v>
      </x:c>
      <x:c r="B3" s="18"/>
      <x:c r="C3" s="18"/>
      <x:c r="D3" s="18"/>
      <x:c r="E3" s="18"/>
      <x:c r="F3" s="18"/>
      <x:c r="G3" s="18"/>
      <x:c r="H3" s="18"/>
    </x:row>
    <x:row r="5">
      <x:c r="A5" s="197" t="str">
        <x:v>총 발주금액</x:v>
      </x:c>
      <x:c r="B5" s="197"/>
      <x:c r="C5" s="197" t="str">
        <x:v>총 미입고수량</x:v>
      </x:c>
      <x:c r="D5" s="197"/>
      <x:c r="E5" s="197" t="str">
        <x:v>지연건수</x:v>
      </x:c>
      <x:c r="F5" s="197"/>
      <x:c r="G5" s="197" t="str">
        <x:v>발주건수</x:v>
      </x:c>
      <x:c r="H5" s="197"/>
    </x:row>
    <x:row r="6">
      <x:c r="A6" s="202" t="n">
        <x:f>'발주내역'!G68</x:f>
        <x:v>17455596</x:v>
      </x:c>
      <x:c r="B6" s="202"/>
      <x:c r="C6" s="202" t="n">
        <x:f>'발주내역'!I68</x:f>
        <x:v>1052</x:v>
      </x:c>
      <x:c r="D6" s="202"/>
      <x:c r="E6" s="202" t="n">
        <x:f>COUNTIF('발주내역'!J6:J65,"지연")</x:f>
        <x:v>58</x:v>
      </x:c>
      <x:c r="F6" s="202"/>
      <x:c r="G6" s="202" t="n">
        <x:f>COUNTA('발주내역'!B6:B65)</x:f>
        <x:v>60</x:v>
      </x:c>
      <x:c r="H6" s="202"/>
    </x:row>
    <x:row r="7">
      <x:c r="A7" s="202"/>
      <x:c r="B7" s="202"/>
      <x:c r="C7" s="202"/>
      <x:c r="D7" s="202"/>
      <x:c r="E7" s="202"/>
      <x:c r="F7" s="202"/>
      <x:c r="G7" s="202"/>
      <x:c r="H7" s="202"/>
    </x:row>
  </x:sheetData>
  <x:mergeCells>
    <x:mergeCell ref="A1:H1"/>
    <x:mergeCell ref="A2:H2"/>
    <x:mergeCell ref="A3:H3"/>
    <x:mergeCell ref="A5:B5"/>
    <x:mergeCell ref="A6:B7"/>
    <x:mergeCell ref="C5:D5"/>
    <x:mergeCell ref="C6:D7"/>
    <x:mergeCell ref="E5:F5"/>
    <x:mergeCell ref="E6:F7"/>
    <x:mergeCell ref="G5:H5"/>
    <x:mergeCell ref="G6:H7"/>
  </x:mergeCells>
  <x:pageMargins left="0.7" right="0.7" top="0.75" bottom="0.75" header="0.3" footer="0.3"/>
</x:worksheet>
</file>