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fc509a139648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3032ff07f88848f0"/>
    <x:sheet xmlns:r="http://schemas.openxmlformats.org/officeDocument/2006/relationships" name="설정" sheetId="2" r:id="R59cb5bd8ee0a4f4d"/>
    <x:sheet xmlns:r="http://schemas.openxmlformats.org/officeDocument/2006/relationships" name="자산대장" sheetId="3" r:id="R65da18f13e864465"/>
    <x:sheet xmlns:r="http://schemas.openxmlformats.org/officeDocument/2006/relationships" name="분류별요약" sheetId="4" r:id="R3a4b6bd4fa1041ec"/>
    <x:sheet xmlns:r="http://schemas.openxmlformats.org/officeDocument/2006/relationships" name="요약" sheetId="5" r:id="Rca41df0c761c4a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95959"/>
      <x:name val="Carlito"/>
    </x:font>
    <x:font>
      <x:sz val="9"/>
      <x:color rgb="FF666666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9C0006"/>
      <x:name val="Carlito"/>
    </x:font>
    <x:font>
      <x:b/>
      <x:sz val="11"/>
      <x:color rgb="FF595959"/>
      <x:name val="Carlito"/>
    </x:font>
    <x:font>
      <x:b/>
      <x:sz val="15"/>
      <x:color rgb="FF17365D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2F75B5"/>
      </x:patternFill>
    </x:fill>
    <x:fill>
      <x:patternFill patternType="solid">
        <x:fgColor rgb="FFE7E6E6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0F6B78"/>
      </x:patternFill>
    </x:fill>
    <x:fill>
      <x:patternFill patternType="solid">
        <x:fgColor rgb="FFFCE4D6"/>
      </x:patternFill>
    </x:fill>
  </x:fills>
  <x:borders count="44">
    <x:border/>
    <x:border/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hair">
        <x:color rgb="FFD9D9D9"/>
      </x:left>
      <x:right style="hair">
        <x:color rgb="FFD9D9D9"/>
      </x:right>
      <x:top style="hair">
        <x:color rgb="FFD9D9D9"/>
      </x:top>
      <x:bottom style="hair">
        <x:color rgb="FFD9D9D9"/>
      </x:bottom>
    </x:border>
    <x:border>
      <x:left style="hair">
        <x:color rgb="FFD9D9D9"/>
      </x:left>
      <x:right style="hair">
        <x:color rgb="FFD9D9D9"/>
      </x:right>
      <x:top style="hair">
        <x:color rgb="FFD9D9D9"/>
      </x:top>
      <x:bottom style="hair">
        <x:color rgb="FFD9D9D9"/>
      </x:bottom>
    </x:border>
    <x:border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left style="hair">
        <x:color rgb="FFD9D9D9"/>
      </x:left>
      <x:top style="hair">
        <x:color rgb="FFD9D9D9"/>
      </x:top>
    </x:border>
    <x:border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top style="hair">
        <x:color rgb="FFD9D9D9"/>
      </x:top>
    </x:border>
    <x:border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left style="thin">
        <x:color rgb="FF0F6B78"/>
      </x:left>
      <x:top style="thin">
        <x:color rgb="FF0F6B78"/>
      </x:top>
      <x:bottom style="thin">
        <x:color rgb="FF0F6B78"/>
      </x:bottom>
    </x:border>
    <x:border>
      <x:top style="thin">
        <x:color rgb="FF0F6B78"/>
      </x:top>
      <x:bottom style="thin">
        <x:color rgb="FF0F6B78"/>
      </x:bottom>
    </x:border>
    <x:border>
      <x:right style="thin">
        <x:color rgb="FF0F6B78"/>
      </x:right>
      <x:top style="thin">
        <x:color rgb="FF0F6B78"/>
      </x:top>
      <x:bottom style="thin">
        <x:color rgb="FF0F6B78"/>
      </x:bottom>
    </x:border>
    <x:border>
      <x:left style="thin">
        <x:color rgb="FF0F6B78"/>
      </x:left>
      <x:top style="thin">
        <x:color rgb="FF0F6B78"/>
      </x:top>
      <x:bottom style="thin">
        <x:color rgb="FF0F6B78"/>
      </x:bottom>
    </x:border>
    <x:border>
      <x:top style="thin">
        <x:color rgb="FF0F6B78"/>
      </x:top>
      <x:bottom style="thin">
        <x:color rgb="FF0F6B78"/>
      </x:bottom>
    </x:border>
    <x:border>
      <x:right style="thin">
        <x:color rgb="FF0F6B78"/>
      </x:right>
      <x:top style="thin">
        <x:color rgb="FF0F6B78"/>
      </x:top>
      <x:bottom style="thin">
        <x:color rgb="FF0F6B78"/>
      </x:bottom>
    </x:border>
    <x:border>
      <x:left style="thin">
        <x:color rgb="FFF4B084"/>
      </x:left>
      <x:top style="thin">
        <x:color rgb="FFF4B084"/>
      </x:top>
      <x:bottom style="thin">
        <x:color rgb="FFF4B084"/>
      </x:bottom>
    </x:border>
    <x:border>
      <x:top style="thin">
        <x:color rgb="FFF4B084"/>
      </x:top>
      <x:bottom style="thin">
        <x:color rgb="FFF4B084"/>
      </x:bottom>
    </x:border>
    <x:border>
      <x:right style="thin">
        <x:color rgb="FFF4B084"/>
      </x:right>
      <x:top style="thin">
        <x:color rgb="FFF4B084"/>
      </x:top>
      <x:bottom style="thin">
        <x:color rgb="FFF4B084"/>
      </x:bottom>
    </x:border>
    <x:border>
      <x:left style="thin">
        <x:color rgb="FFF4B084"/>
      </x:left>
      <x:top style="thin">
        <x:color rgb="FFF4B084"/>
      </x:top>
      <x:bottom style="thin">
        <x:color rgb="FFF4B084"/>
      </x:bottom>
    </x:border>
    <x:border>
      <x:top style="thin">
        <x:color rgb="FFF4B084"/>
      </x:top>
      <x:bottom style="thin">
        <x:color rgb="FFF4B084"/>
      </x:bottom>
    </x:border>
    <x:border>
      <x:right style="thin">
        <x:color rgb="FFF4B084"/>
      </x:right>
      <x:top style="thin">
        <x:color rgb="FFF4B084"/>
      </x:top>
      <x:bottom style="thin">
        <x:color rgb="FFF4B084"/>
      </x:bottom>
    </x:border>
    <x:border>
      <x:left style="hair">
        <x:color rgb="FFD9D9D9"/>
      </x:left>
      <x:right style="hair">
        <x:color rgb="FFD9D9D9"/>
      </x:right>
      <x:top style="hair">
        <x:color rgb="FFD9D9D9"/>
      </x:top>
    </x:border>
    <x:border>
      <x:left style="hair">
        <x:color rgb="FFD9D9D9"/>
      </x:left>
      <x:right style="hair">
        <x:color rgb="FFD9D9D9"/>
      </x:right>
    </x:border>
    <x:border>
      <x:left style="hair">
        <x:color rgb="FFD9D9D9"/>
      </x:left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right style="hair">
        <x:color rgb="FFD9D9D9"/>
      </x:right>
      <x:top style="hair">
        <x:color rgb="FFD9D9D9"/>
      </x:top>
    </x:border>
    <x:border>
      <x:left style="hair">
        <x:color rgb="FFD9D9D9"/>
      </x:left>
      <x:right style="hair">
        <x:color rgb="FFD9D9D9"/>
      </x:right>
    </x:border>
    <x:border>
      <x:left style="hair">
        <x:color rgb="FFD9D9D9"/>
      </x:left>
      <x:right style="hair">
        <x:color rgb="FFD9D9D9"/>
      </x:right>
      <x:bottom style="hair">
        <x:color rgb="FFD9D9D9"/>
      </x:bottom>
    </x:border>
  </x:borders>
  <x:cellStyleXfs count="1">
    <x:xf numFmtId="0" fontId="0" fillId="0" borderId="0"/>
  </x:cellStyleXfs>
  <x:cellXfs count="1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6" xfId="0" applyNumberFormat="1" applyFont="1" applyFill="1" applyBorder="1"/>
    <x:xf numFmtId="0" fontId="0" fillId="8" borderId="1" xfId="0" applyNumberFormat="1" applyFont="1" applyFill="1" applyBorder="1"/>
    <x:xf numFmtId="0" fontId="0" fillId="8" borderId="7" xfId="0" applyNumberFormat="1" applyFont="1" applyFill="1" applyBorder="1"/>
    <x:xf numFmtId="200" fontId="0" fillId="8" borderId="6" xfId="0" applyNumberFormat="1" applyFont="1" applyFill="1" applyBorder="1"/>
    <x:xf numFmtId="200" fontId="0" fillId="8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8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horizont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/>
    <x:xf numFmtId="0" fontId="4" fillId="5" borderId="9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horizont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0" fillId="8" borderId="10" xfId="0" applyNumberFormat="1" applyFont="1" applyFill="1" applyBorder="1"/>
    <x:xf numFmtId="0" fontId="0" fillId="8" borderId="11" xfId="0" applyNumberFormat="1" applyFont="1" applyFill="1" applyBorder="1"/>
    <x:xf numFmtId="0" fontId="0" fillId="8" borderId="12" xfId="0" applyNumberFormat="1" applyFont="1" applyFill="1" applyBorder="1"/>
    <x:xf numFmtId="0" fontId="0" fillId="8" borderId="13" xfId="0" applyNumberFormat="1" applyFont="1" applyFill="1" applyBorder="1"/>
    <x:xf numFmtId="0" fontId="0" fillId="8" borderId="14" xfId="0" applyNumberFormat="1" applyFont="1" applyFill="1" applyBorder="1"/>
    <x:xf numFmtId="0" fontId="0" fillId="8" borderId="15" xfId="0" applyNumberFormat="1" applyFont="1" applyFill="1" applyBorder="1"/>
    <x:xf numFmtId="0" fontId="0" fillId="8" borderId="16" xfId="0" applyNumberFormat="1" applyFont="1" applyFill="1" applyBorder="1"/>
    <x:xf numFmtId="0" fontId="0" fillId="8" borderId="17" xfId="0" applyNumberFormat="1" applyFont="1" applyFill="1" applyBorder="1"/>
    <x:xf numFmtId="0" fontId="0" fillId="8" borderId="18" xfId="0" applyNumberFormat="1" applyFont="1" applyFill="1" applyBorder="1"/>
    <x:xf numFmtId="0" fontId="0" fillId="8" borderId="19" xfId="0" applyNumberFormat="1" applyFont="1" applyFill="1" applyBorder="1"/>
    <x:xf numFmtId="0" fontId="0" fillId="8" borderId="20" xfId="0" applyNumberFormat="1" applyFont="1" applyFill="1" applyBorder="1"/>
    <x:xf numFmtId="0" fontId="0" fillId="8" borderId="21" xfId="0" applyNumberFormat="1" applyFont="1" applyFill="1" applyBorder="1"/>
    <x:xf numFmtId="0" fontId="0" fillId="8" borderId="22" xfId="0" applyNumberFormat="1" applyFont="1" applyFill="1" applyBorder="1"/>
    <x:xf numFmtId="0" fontId="0" fillId="8" borderId="23" xfId="0" applyNumberFormat="1" applyFont="1" applyFill="1" applyBorder="1"/>
    <x:xf numFmtId="0" fontId="0" fillId="8" borderId="24" xfId="0" applyNumberFormat="1" applyFont="1" applyFill="1" applyBorder="1"/>
    <x:xf numFmtId="0" fontId="0" fillId="8" borderId="25" xfId="0" applyNumberFormat="1" applyFont="1" applyFill="1" applyBorder="1"/>
    <x:xf numFmtId="0" fontId="0" fillId="7" borderId="10" xfId="0" applyNumberFormat="1" applyFont="1" applyFill="1" applyBorder="1"/>
    <x:xf numFmtId="0" fontId="0" fillId="7" borderId="11" xfId="0" applyNumberFormat="1" applyFont="1" applyFill="1" applyBorder="1"/>
    <x:xf numFmtId="0" fontId="0" fillId="7" borderId="12" xfId="0" applyNumberFormat="1" applyFont="1" applyFill="1" applyBorder="1"/>
    <x:xf numFmtId="0" fontId="0" fillId="7" borderId="13" xfId="0" applyNumberFormat="1" applyFont="1" applyFill="1" applyBorder="1"/>
    <x:xf numFmtId="0" fontId="0" fillId="7" borderId="14" xfId="0" applyNumberFormat="1" applyFont="1" applyFill="1" applyBorder="1"/>
    <x:xf numFmtId="0" fontId="0" fillId="7" borderId="15" xfId="0" applyNumberFormat="1" applyFont="1" applyFill="1" applyBorder="1"/>
    <x:xf numFmtId="0" fontId="0" fillId="7" borderId="16" xfId="0" applyNumberFormat="1" applyFont="1" applyFill="1" applyBorder="1"/>
    <x:xf numFmtId="0" fontId="0" fillId="7" borderId="17" xfId="0" applyNumberFormat="1" applyFont="1" applyFill="1" applyBorder="1"/>
    <x:xf numFmtId="0" fontId="0" fillId="7" borderId="18" xfId="0" applyNumberFormat="1" applyFont="1" applyFill="1" applyBorder="1"/>
    <x:xf numFmtId="0" fontId="0" fillId="7" borderId="19" xfId="0" applyNumberFormat="1" applyFont="1" applyFill="1" applyBorder="1"/>
    <x:xf numFmtId="0" fontId="0" fillId="7" borderId="20" xfId="0" applyNumberFormat="1" applyFont="1" applyFill="1" applyBorder="1"/>
    <x:xf numFmtId="0" fontId="0" fillId="7" borderId="21" xfId="0" applyNumberFormat="1" applyFont="1" applyFill="1" applyBorder="1"/>
    <x:xf numFmtId="0" fontId="0" fillId="7" borderId="22" xfId="0" applyNumberFormat="1" applyFont="1" applyFill="1" applyBorder="1"/>
    <x:xf numFmtId="0" fontId="0" fillId="7" borderId="23" xfId="0" applyNumberFormat="1" applyFont="1" applyFill="1" applyBorder="1"/>
    <x:xf numFmtId="0" fontId="0" fillId="7" borderId="24" xfId="0" applyNumberFormat="1" applyFont="1" applyFill="1" applyBorder="1"/>
    <x:xf numFmtId="0" fontId="0" fillId="7" borderId="25" xfId="0" applyNumberFormat="1" applyFont="1" applyFill="1" applyBorder="1"/>
    <x:xf numFmtId="200" fontId="0" fillId="8" borderId="11" xfId="0" applyNumberFormat="1" applyFont="1" applyFill="1" applyBorder="1"/>
    <x:xf numFmtId="200" fontId="0" fillId="8" borderId="0" xfId="0" applyNumberFormat="1" applyFont="1" applyFill="1" applyBorder="1"/>
    <x:xf numFmtId="200" fontId="0" fillId="8" borderId="16" xfId="0" applyNumberFormat="1" applyFont="1" applyFill="1" applyBorder="1"/>
    <x:xf numFmtId="200" fontId="0" fillId="8" borderId="19" xfId="0" applyNumberFormat="1" applyFont="1" applyFill="1" applyBorder="1"/>
    <x:xf numFmtId="200" fontId="0" fillId="8" borderId="1" xfId="0" applyNumberFormat="1" applyFont="1" applyFill="1" applyBorder="1"/>
    <x:xf numFmtId="200" fontId="0" fillId="8" borderId="24" xfId="0" applyNumberFormat="1" applyFont="1" applyFill="1" applyBorder="1"/>
    <x:xf numFmtId="201" fontId="0" fillId="8" borderId="11" xfId="0" applyNumberFormat="1" applyFont="1" applyFill="1" applyBorder="1"/>
    <x:xf numFmtId="201" fontId="0" fillId="8" borderId="12" xfId="0" applyNumberFormat="1" applyFont="1" applyFill="1" applyBorder="1"/>
    <x:xf numFmtId="201" fontId="0" fillId="7" borderId="10" xfId="0" applyNumberFormat="1" applyFont="1" applyFill="1" applyBorder="1"/>
    <x:xf numFmtId="201" fontId="0" fillId="7" borderId="11" xfId="0" applyNumberFormat="1" applyFont="1" applyFill="1" applyBorder="1"/>
    <x:xf numFmtId="201" fontId="0" fillId="7" borderId="12" xfId="0" applyNumberFormat="1" applyFont="1" applyFill="1" applyBorder="1"/>
    <x:xf numFmtId="201" fontId="0" fillId="8" borderId="0" xfId="0" applyNumberFormat="1" applyFont="1" applyFill="1" applyBorder="1"/>
    <x:xf numFmtId="201" fontId="0" fillId="8" borderId="14" xfId="0" applyNumberFormat="1" applyFont="1" applyFill="1" applyBorder="1"/>
    <x:xf numFmtId="201" fontId="0" fillId="7" borderId="13" xfId="0" applyNumberFormat="1" applyFont="1" applyFill="1" applyBorder="1"/>
    <x:xf numFmtId="201" fontId="0" fillId="7" borderId="0" xfId="0" applyNumberFormat="1" applyFont="1" applyFill="1" applyBorder="1"/>
    <x:xf numFmtId="201" fontId="0" fillId="7" borderId="14" xfId="0" applyNumberFormat="1" applyFont="1" applyFill="1" applyBorder="1"/>
    <x:xf numFmtId="201" fontId="0" fillId="8" borderId="16" xfId="0" applyNumberFormat="1" applyFont="1" applyFill="1" applyBorder="1"/>
    <x:xf numFmtId="201" fontId="0" fillId="8" borderId="17" xfId="0" applyNumberFormat="1" applyFont="1" applyFill="1" applyBorder="1"/>
    <x:xf numFmtId="201" fontId="0" fillId="7" borderId="15" xfId="0" applyNumberFormat="1" applyFont="1" applyFill="1" applyBorder="1"/>
    <x:xf numFmtId="201" fontId="0" fillId="7" borderId="16" xfId="0" applyNumberFormat="1" applyFont="1" applyFill="1" applyBorder="1"/>
    <x:xf numFmtId="201" fontId="0" fillId="7" borderId="17" xfId="0" applyNumberFormat="1" applyFont="1" applyFill="1" applyBorder="1"/>
    <x:xf numFmtId="201" fontId="0" fillId="0" borderId="0" xfId="0" applyNumberFormat="1" applyFont="1" applyFill="1" applyBorder="1"/>
    <x:xf numFmtId="201" fontId="0" fillId="8" borderId="19" xfId="0" applyNumberFormat="1" applyFont="1" applyFill="1" applyBorder="1"/>
    <x:xf numFmtId="201" fontId="0" fillId="8" borderId="20" xfId="0" applyNumberFormat="1" applyFont="1" applyFill="1" applyBorder="1"/>
    <x:xf numFmtId="201" fontId="0" fillId="7" borderId="18" xfId="0" applyNumberFormat="1" applyFont="1" applyFill="1" applyBorder="1"/>
    <x:xf numFmtId="201" fontId="0" fillId="7" borderId="19" xfId="0" applyNumberFormat="1" applyFont="1" applyFill="1" applyBorder="1"/>
    <x:xf numFmtId="201" fontId="0" fillId="7" borderId="20" xfId="0" applyNumberFormat="1" applyFont="1" applyFill="1" applyBorder="1"/>
    <x:xf numFmtId="201" fontId="0" fillId="8" borderId="1" xfId="0" applyNumberFormat="1" applyFont="1" applyFill="1" applyBorder="1"/>
    <x:xf numFmtId="201" fontId="0" fillId="8" borderId="22" xfId="0" applyNumberFormat="1" applyFont="1" applyFill="1" applyBorder="1"/>
    <x:xf numFmtId="201" fontId="0" fillId="7" borderId="21" xfId="0" applyNumberFormat="1" applyFont="1" applyFill="1" applyBorder="1"/>
    <x:xf numFmtId="201" fontId="0" fillId="7" borderId="1" xfId="0" applyNumberFormat="1" applyFont="1" applyFill="1" applyBorder="1"/>
    <x:xf numFmtId="201" fontId="0" fillId="7" borderId="22" xfId="0" applyNumberFormat="1" applyFont="1" applyFill="1" applyBorder="1"/>
    <x:xf numFmtId="201" fontId="0" fillId="8" borderId="24" xfId="0" applyNumberFormat="1" applyFont="1" applyFill="1" applyBorder="1"/>
    <x:xf numFmtId="201" fontId="0" fillId="8" borderId="25" xfId="0" applyNumberFormat="1" applyFont="1" applyFill="1" applyBorder="1"/>
    <x:xf numFmtId="201" fontId="0" fillId="7" borderId="23" xfId="0" applyNumberFormat="1" applyFont="1" applyFill="1" applyBorder="1"/>
    <x:xf numFmtId="201" fontId="0" fillId="7" borderId="24" xfId="0" applyNumberFormat="1" applyFont="1" applyFill="1" applyBorder="1"/>
    <x:xf numFmtId="201" fontId="0" fillId="7" borderId="25" xfId="0" applyNumberFormat="1" applyFont="1" applyFill="1" applyBorder="1"/>
    <x:xf numFmtId="201" fontId="0" fillId="0" borderId="1" xfId="0" applyNumberFormat="1" applyFont="1" applyFill="1" applyBorder="1"/>
    <x:xf numFmtId="0" fontId="0" fillId="9" borderId="0" xfId="0" applyNumberFormat="1" applyFont="1" applyFill="1" applyBorder="1"/>
    <x:xf numFmtId="201" fontId="0" fillId="9" borderId="0" xfId="0" applyNumberFormat="1" applyFont="1" applyFill="1" applyBorder="1"/>
    <x:xf numFmtId="0" fontId="4" fillId="9" borderId="0" xfId="0" applyNumberFormat="1" applyFont="1" applyFill="1" applyBorder="1"/>
    <x:xf numFmtId="201" fontId="4" fillId="9" borderId="0" xfId="0" applyNumberFormat="1" applyFont="1" applyFill="1" applyBorder="1"/>
    <x:xf numFmtId="0" fontId="4" fillId="9" borderId="26" xfId="0" applyNumberFormat="1" applyFont="1" applyFill="1" applyBorder="1"/>
    <x:xf numFmtId="0" fontId="4" fillId="9" borderId="27" xfId="0" applyNumberFormat="1" applyFont="1" applyFill="1" applyBorder="1"/>
    <x:xf numFmtId="201" fontId="4" fillId="9" borderId="27" xfId="0" applyNumberFormat="1" applyFont="1" applyFill="1" applyBorder="1"/>
    <x:xf numFmtId="201" fontId="4" fillId="9" borderId="28" xfId="0" applyNumberFormat="1" applyFont="1" applyFill="1" applyBorder="1"/>
    <x:xf numFmtId="0" fontId="0" fillId="9" borderId="1" xfId="0" applyNumberFormat="1" applyFont="1" applyFill="1" applyBorder="1"/>
    <x:xf numFmtId="201" fontId="0" fillId="9" borderId="1" xfId="0" applyNumberFormat="1" applyFont="1" applyFill="1" applyBorder="1"/>
    <x:xf numFmtId="0" fontId="4" fillId="9" borderId="1" xfId="0" applyNumberFormat="1" applyFont="1" applyFill="1" applyBorder="1"/>
    <x:xf numFmtId="201" fontId="4" fillId="9" borderId="1" xfId="0" applyNumberFormat="1" applyFont="1" applyFill="1" applyBorder="1"/>
    <x:xf numFmtId="0" fontId="4" fillId="9" borderId="29" xfId="0" applyNumberFormat="1" applyFont="1" applyFill="1" applyBorder="1"/>
    <x:xf numFmtId="0" fontId="4" fillId="9" borderId="30" xfId="0" applyNumberFormat="1" applyFont="1" applyFill="1" applyBorder="1"/>
    <x:xf numFmtId="201" fontId="4" fillId="9" borderId="30" xfId="0" applyNumberFormat="1" applyFont="1" applyFill="1" applyBorder="1"/>
    <x:xf numFmtId="201" fontId="4" fillId="9" borderId="31" xfId="0" applyNumberFormat="1" applyFont="1" applyFill="1" applyBorder="1"/>
    <x:xf numFmtId="0" fontId="0" fillId="10" borderId="0" xfId="0" applyNumberFormat="1" applyFont="1" applyFill="1" applyBorder="1"/>
    <x:xf numFmtId="201" fontId="0" fillId="10" borderId="0" xfId="0" applyNumberFormat="1" applyFont="1" applyFill="1" applyBorder="1"/>
    <x:xf numFmtId="0" fontId="6" fillId="10" borderId="0" xfId="0" applyNumberFormat="1" applyFont="1" applyFill="1" applyBorder="1"/>
    <x:xf numFmtId="201" fontId="6" fillId="10" borderId="0" xfId="0" applyNumberFormat="1" applyFont="1" applyFill="1" applyBorder="1"/>
    <x:xf numFmtId="0" fontId="6" fillId="10" borderId="32" xfId="0" applyNumberFormat="1" applyFont="1" applyFill="1" applyBorder="1"/>
    <x:xf numFmtId="0" fontId="6" fillId="10" borderId="33" xfId="0" applyNumberFormat="1" applyFont="1" applyFill="1" applyBorder="1"/>
    <x:xf numFmtId="201" fontId="6" fillId="10" borderId="33" xfId="0" applyNumberFormat="1" applyFont="1" applyFill="1" applyBorder="1"/>
    <x:xf numFmtId="201" fontId="6" fillId="10" borderId="34" xfId="0" applyNumberFormat="1" applyFont="1" applyFill="1" applyBorder="1"/>
    <x:xf numFmtId="0" fontId="0" fillId="10" borderId="1" xfId="0" applyNumberFormat="1" applyFont="1" applyFill="1" applyBorder="1"/>
    <x:xf numFmtId="201" fontId="0" fillId="10" borderId="1" xfId="0" applyNumberFormat="1" applyFont="1" applyFill="1" applyBorder="1"/>
    <x:xf numFmtId="0" fontId="6" fillId="10" borderId="1" xfId="0" applyNumberFormat="1" applyFont="1" applyFill="1" applyBorder="1"/>
    <x:xf numFmtId="201" fontId="6" fillId="10" borderId="1" xfId="0" applyNumberFormat="1" applyFont="1" applyFill="1" applyBorder="1"/>
    <x:xf numFmtId="0" fontId="6" fillId="10" borderId="35" xfId="0" applyNumberFormat="1" applyFont="1" applyFill="1" applyBorder="1"/>
    <x:xf numFmtId="0" fontId="6" fillId="10" borderId="36" xfId="0" applyNumberFormat="1" applyFont="1" applyFill="1" applyBorder="1"/>
    <x:xf numFmtId="201" fontId="6" fillId="10" borderId="36" xfId="0" applyNumberFormat="1" applyFont="1" applyFill="1" applyBorder="1"/>
    <x:xf numFmtId="201" fontId="6" fillId="10" borderId="37" xfId="0" applyNumberFormat="1" applyFont="1" applyFill="1" applyBorder="1"/>
    <x:xf numFmtId="0" fontId="0" fillId="8" borderId="38" xfId="0" applyNumberFormat="1" applyFont="1" applyFill="1" applyBorder="1"/>
    <x:xf numFmtId="0" fontId="0" fillId="8" borderId="39" xfId="0" applyNumberFormat="1" applyFont="1" applyFill="1" applyBorder="1"/>
    <x:xf numFmtId="0" fontId="0" fillId="8" borderId="40" xfId="0" applyNumberFormat="1" applyFont="1" applyFill="1" applyBorder="1"/>
    <x:xf numFmtId="0" fontId="0" fillId="8" borderId="41" xfId="0" applyNumberFormat="1" applyFont="1" applyFill="1" applyBorder="1"/>
    <x:xf numFmtId="0" fontId="0" fillId="8" borderId="42" xfId="0" applyNumberFormat="1" applyFont="1" applyFill="1" applyBorder="1"/>
    <x:xf numFmtId="0" fontId="0" fillId="8" borderId="43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 vertical="center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horizontal="center"/>
    </x:xf>
    <x:xf numFmtId="0" fontId="8" fillId="7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f88a3faf194aec" /><Relationship Type="http://schemas.openxmlformats.org/officeDocument/2006/relationships/theme" Target="/xl/theme/theme1.xml" Id="Rcf1366ddb46c40c7" /><Relationship Type="http://schemas.openxmlformats.org/officeDocument/2006/relationships/sharedStrings" Target="/xl/sharedStrings.xml" Id="Rce92bcf60b9b4274" /><Relationship Type="http://schemas.openxmlformats.org/officeDocument/2006/relationships/worksheet" Target="/xl/worksheets/sheet1.xml" Id="R3032ff07f88848f0" /><Relationship Type="http://schemas.openxmlformats.org/officeDocument/2006/relationships/worksheet" Target="/xl/worksheets/sheet2.xml" Id="R59cb5bd8ee0a4f4d" /><Relationship Type="http://schemas.openxmlformats.org/officeDocument/2006/relationships/worksheet" Target="/xl/worksheets/sheet3.xml" Id="R65da18f13e864465" /><Relationship Type="http://schemas.openxmlformats.org/officeDocument/2006/relationships/worksheet" Target="/xl/worksheets/sheet4.xml" Id="R3a4b6bd4fa1041ec" /><Relationship Type="http://schemas.openxmlformats.org/officeDocument/2006/relationships/worksheet" Target="/xl/worksheets/sheet5.xml" Id="Rca41df0c761c4a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4" hidden="0" customWidth="1"/>
  </x:cols>
  <x:sheetData>
    <x:row r="1" ht="30" customHeight="1">
      <x:c r="A1" s="5" t="str">
        <x:v>고정자산·감가상각 관리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취득가액·내용연수·경과개월을 기준으로 월상각액·누계상각·장부가액을 계산하는 합성 샘플</x:v>
      </x:c>
      <x:c r="B2" s="12"/>
      <x:c r="C2" s="12"/>
      <x:c r="D2" s="12"/>
      <x:c r="E2" s="12"/>
      <x:c r="F2" s="12"/>
      <x:c r="G2" s="12"/>
      <x:c r="H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</x:row>
    <x:row r="5" ht="28" customHeight="1">
      <x:c r="A5" s="30" t="str">
        <x:v>구분</x:v>
      </x:c>
      <x:c r="B5" s="31" t="str">
        <x:v>내용</x:v>
      </x:c>
    </x:row>
    <x:row r="6">
      <x:c r="A6" s="45" t="str">
        <x:v>샘플 성격</x:v>
      </x:c>
      <x:c r="B6" s="51" t="str">
        <x:v>실제 회사·개인정보를 사용하지 않은 합성 업무 파일</x:v>
      </x:c>
    </x:row>
    <x:row r="7">
      <x:c r="A7" s="45" t="str">
        <x:v>검증 용도</x:v>
      </x:c>
      <x:c r="B7" s="51" t="str">
        <x:v>Calibration</x:v>
      </x:c>
    </x:row>
    <x:row r="8">
      <x:c r="A8" s="45" t="str">
        <x:v>핵심 검증</x:v>
      </x:c>
      <x:c r="B8" s="51" t="str">
        <x:v>월상각 함수 이탈, 경과개월 참조 이탈, 장부가액 상수 덮어쓰기, 상태 빈 셀</x:v>
      </x:c>
    </x:row>
    <x:row r="9">
      <x:c r="A9" s="45" t="str">
        <x:v>사용 방법</x:v>
      </x:c>
      <x:c r="B9" s="51" t="str">
        <x:v>기본 무료 진단 후 M4 수식 패턴 정밀검사를 선택 실행</x:v>
      </x:c>
    </x:row>
    <x:row r="10">
      <x:c r="A10" s="45" t="str">
        <x:v>주의</x:v>
      </x:c>
      <x:c r="B10" s="51" t="str">
        <x:v>Finding은 업무 오류 확정이 아니라 사람이 확인할 이상 후보입니다.</x:v>
      </x:c>
    </x:row>
    <x:row r="12" ht="28" customHeight="1">
      <x:c r="A12" s="30" t="str">
        <x:v>시트</x:v>
      </x:c>
      <x:c r="B12" s="31" t="str">
        <x:v>업무 역할</x:v>
      </x:c>
    </x:row>
    <x:row r="13">
      <x:c r="A13" s="55" t="str">
        <x:v>설정</x:v>
      </x:c>
      <x:c r="B13" s="50" t="str">
        <x:v>결산 기준일</x:v>
      </x:c>
    </x:row>
    <x:row r="14">
      <x:c r="A14" s="55" t="str">
        <x:v>자산대장</x:v>
      </x:c>
      <x:c r="B14" s="50" t="str">
        <x:v>자산별 감가상각 계산</x:v>
      </x:c>
    </x:row>
    <x:row r="15">
      <x:c r="A15" s="55" t="str">
        <x:v>분류별요약</x:v>
      </x:c>
      <x:c r="B15" s="50" t="str">
        <x:v>자산분류별 집계</x:v>
      </x:c>
    </x:row>
    <x:row r="16">
      <x:c r="A16" s="55" t="str">
        <x:v>요약</x:v>
      </x:c>
      <x:c r="B16" s="50" t="str">
        <x:v>고정자산 KPI</x:v>
      </x:c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30" customHeight="1">
      <x:c r="A1" s="5" t="str">
        <x:v>감가상각 설정</x:v>
      </x:c>
      <x:c r="B1" s="5"/>
      <x:c r="C1" s="5"/>
      <x:c r="D1" s="5"/>
    </x:row>
    <x:row r="2" ht="24" customHeight="1">
      <x:c r="A2" s="12" t="str">
        <x:v>결산 기준일</x:v>
      </x:c>
      <x:c r="B2" s="12"/>
      <x:c r="C2" s="12"/>
      <x:c r="D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</x:row>
    <x:row r="5" ht="28" customHeight="1">
      <x:c r="A5" s="30" t="str">
        <x:v>항목</x:v>
      </x:c>
      <x:c r="B5" s="31" t="str">
        <x:v>값</x:v>
      </x:c>
    </x:row>
    <x:row r="6">
      <x:c r="A6" s="43" t="str">
        <x:v>기준일</x:v>
      </x:c>
      <x:c r="B6" s="62" t="n">
        <x:v>46265</x:v>
      </x:c>
    </x:row>
  </x:sheetData>
  <x:mergeCells>
    <x:mergeCell ref="A1:D1"/>
    <x:mergeCell ref="A2:D2"/>
    <x:mergeCell ref="A3:D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3" hidden="0" customWidth="1"/>
    <x:col min="4" max="4" width="16" hidden="0" customWidth="1"/>
    <x:col min="5" max="5" width="13" hidden="0" customWidth="1"/>
    <x:col min="6" max="6" width="12" hidden="0" customWidth="1"/>
    <x:col min="7" max="7" width="14" hidden="0" customWidth="1"/>
    <x:col min="8" max="8" width="16" hidden="0" customWidth="1"/>
    <x:col min="9" max="9" width="16" hidden="0" customWidth="1"/>
  </x:cols>
  <x:sheetData>
    <x:row r="1" ht="30" customHeight="1">
      <x:c r="A1" s="5" t="str">
        <x:v>고정자산 대장</x:v>
      </x:c>
      <x:c r="B1" s="5"/>
      <x:c r="C1" s="5"/>
      <x:c r="D1" s="5"/>
      <x:c r="E1" s="5"/>
      <x:c r="F1" s="5"/>
      <x:c r="G1" s="5"/>
      <x:c r="H1" s="5"/>
      <x:c r="I1" s="5"/>
    </x:row>
    <x:row r="2" ht="24" customHeight="1">
      <x:c r="A2" s="12" t="str">
        <x:v>자산별 월상각액·누계상각·장부가액을 계산합니다.</x:v>
      </x:c>
      <x:c r="B2" s="12"/>
      <x:c r="C2" s="12"/>
      <x:c r="D2" s="12"/>
      <x:c r="E2" s="12"/>
      <x:c r="F2" s="12"/>
      <x:c r="G2" s="12"/>
      <x:c r="H2" s="12"/>
      <x:c r="I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  <x:c r="I3" s="18"/>
    </x:row>
    <x:row r="5" ht="28" customHeight="1">
      <x:c r="A5" s="30" t="str">
        <x:v>자산번호</x:v>
      </x:c>
      <x:c r="B5" s="67" t="str">
        <x:v>자산분류</x:v>
      </x:c>
      <x:c r="C5" s="67" t="str">
        <x:v>취득일</x:v>
      </x:c>
      <x:c r="D5" s="67" t="str">
        <x:v>취득가액</x:v>
      </x:c>
      <x:c r="E5" s="67" t="str">
        <x:v>내용연수(월)</x:v>
      </x:c>
      <x:c r="F5" s="67" t="str">
        <x:v>경과개월</x:v>
      </x:c>
      <x:c r="G5" s="67" t="str">
        <x:v>월상각액</x:v>
      </x:c>
      <x:c r="H5" s="67" t="str">
        <x:v>누계상각</x:v>
      </x:c>
      <x:c r="I5" s="31" t="str">
        <x:v>장부가액</x:v>
      </x:c>
    </x:row>
    <x:row r="6">
      <x:c r="A6" s="72" t="str">
        <x:v>FA-0001</x:v>
      </x:c>
      <x:c r="B6" s="73" t="str">
        <x:v>차량운반구</x:v>
      </x:c>
      <x:c r="C6" s="104" t="n">
        <x:v>44958</x:v>
      </x:c>
      <x:c r="D6" s="110" t="n">
        <x:v>19310000</x:v>
      </x:c>
      <x:c r="E6" s="111" t="n">
        <x:v>48</x:v>
      </x:c>
      <x:c r="F6" s="112" t="n">
        <x:f>MIN(E6,MAX(0,DATEDIF(C6,'설정'!$B$6,"m")))</x:f>
        <x:v>42</x:v>
      </x:c>
      <x:c r="G6" s="113" t="n">
        <x:f>D6/E6</x:f>
        <x:v>402291.6666666667</x:v>
      </x:c>
      <x:c r="H6" s="113" t="n">
        <x:f>MIN(D6,F6*G6)</x:f>
        <x:v>16896250</x:v>
      </x:c>
      <x:c r="I6" s="114" t="n">
        <x:f>MAX(0,D6-H6)</x:f>
        <x:v>2413750</x:v>
      </x:c>
    </x:row>
    <x:row r="7">
      <x:c r="A7" s="75" t="str">
        <x:v>FA-0002</x:v>
      </x:c>
      <x:c r="B7" s="58" t="str">
        <x:v>비품</x:v>
      </x:c>
      <x:c r="C7" s="105" t="n">
        <x:v>45352</x:v>
      </x:c>
      <x:c r="D7" s="115" t="n">
        <x:v>10570000</x:v>
      </x:c>
      <x:c r="E7" s="116" t="n">
        <x:v>60</x:v>
      </x:c>
      <x:c r="F7" s="117" t="n">
        <x:f>MIN(E7,MAX(0,DATEDIF(C7,'설정'!$B$6,"m")))</x:f>
        <x:v>29</x:v>
      </x:c>
      <x:c r="G7" s="118" t="n">
        <x:f>D7/E7</x:f>
        <x:v>176166.66666666666</x:v>
      </x:c>
      <x:c r="H7" s="118" t="n">
        <x:f>MIN(D7,F7*G7)</x:f>
        <x:v>5108833.333333333</x:v>
      </x:c>
      <x:c r="I7" s="119" t="n">
        <x:f>MAX(0,D7-H7)</x:f>
        <x:v>5461166.666666667</x:v>
      </x:c>
    </x:row>
    <x:row r="8">
      <x:c r="A8" s="75" t="str">
        <x:v>FA-0003</x:v>
      </x:c>
      <x:c r="B8" s="58" t="str">
        <x:v>소프트웨어</x:v>
      </x:c>
      <x:c r="C8" s="105" t="n">
        <x:v>45748</x:v>
      </x:c>
      <x:c r="D8" s="115" t="n">
        <x:v>17050000</x:v>
      </x:c>
      <x:c r="E8" s="116" t="n">
        <x:v>72</x:v>
      </x:c>
      <x:c r="F8" s="117" t="n">
        <x:f>MIN(E8,MAX(0,DATEDIF(C8,'설정'!$B$6,"m")))</x:f>
        <x:v>16</x:v>
      </x:c>
      <x:c r="G8" s="118" t="n">
        <x:f>D8/E8</x:f>
        <x:v>236805.55555555556</x:v>
      </x:c>
      <x:c r="H8" s="118" t="n">
        <x:f>MIN(D8,F8*G8)</x:f>
        <x:v>3788888.888888889</x:v>
      </x:c>
      <x:c r="I8" s="119" t="n">
        <x:f>MAX(0,D8-H8)</x:f>
        <x:v>13261111.111111112</x:v>
      </x:c>
    </x:row>
    <x:row r="9">
      <x:c r="A9" s="75" t="str">
        <x:v>FA-0004</x:v>
      </x:c>
      <x:c r="B9" s="58" t="str">
        <x:v>기계장치</x:v>
      </x:c>
      <x:c r="C9" s="105" t="n">
        <x:v>44682</x:v>
      </x:c>
      <x:c r="D9" s="115" t="n">
        <x:v>12720000</x:v>
      </x:c>
      <x:c r="E9" s="116" t="n">
        <x:v>36</x:v>
      </x:c>
      <x:c r="F9" s="117" t="n">
        <x:f>MIN(E9,MAX(0,DATEDIF(C9,'설정'!$B$6,"m")))</x:f>
        <x:v>36</x:v>
      </x:c>
      <x:c r="G9" s="118" t="n">
        <x:f>D9/E9</x:f>
        <x:v>353333.3333333333</x:v>
      </x:c>
      <x:c r="H9" s="118" t="n">
        <x:f>MIN(D9,F9*G9)</x:f>
        <x:v>12720000</x:v>
      </x:c>
      <x:c r="I9" s="119" t="n">
        <x:f>MAX(0,D9-H9)</x:f>
        <x:v>0</x:v>
      </x:c>
    </x:row>
    <x:row r="10">
      <x:c r="A10" s="75" t="str">
        <x:v>FA-0005</x:v>
      </x:c>
      <x:c r="B10" s="58" t="str">
        <x:v>차량운반구</x:v>
      </x:c>
      <x:c r="C10" s="105" t="n">
        <x:v>45078</x:v>
      </x:c>
      <x:c r="D10" s="115" t="n">
        <x:v>14150000</x:v>
      </x:c>
      <x:c r="E10" s="116" t="n">
        <x:v>48</x:v>
      </x:c>
      <x:c r="F10" s="117" t="n">
        <x:f>MIN(E10,MAX(0,DATEDIF(C10,'설정'!$B$6,"m")))</x:f>
        <x:v>38</x:v>
      </x:c>
      <x:c r="G10" s="118" t="n">
        <x:f>D10/E10</x:f>
        <x:v>294791.6666666667</x:v>
      </x:c>
      <x:c r="H10" s="118" t="n">
        <x:f>MIN(D10,F10*G10)</x:f>
        <x:v>11202083.333333334</x:v>
      </x:c>
      <x:c r="I10" s="119" t="n">
        <x:f>MAX(0,D10-H10)</x:f>
        <x:v>2947916.666666666</x:v>
      </x:c>
    </x:row>
    <x:row r="11">
      <x:c r="A11" s="75" t="str">
        <x:v>FA-0006</x:v>
      </x:c>
      <x:c r="B11" s="58" t="str">
        <x:v>비품</x:v>
      </x:c>
      <x:c r="C11" s="105" t="n">
        <x:v>45474</x:v>
      </x:c>
      <x:c r="D11" s="115" t="n">
        <x:v>23240000</x:v>
      </x:c>
      <x:c r="E11" s="116" t="n">
        <x:v>60</x:v>
      </x:c>
      <x:c r="F11" s="117" t="n">
        <x:f>MIN(E11,MAX(0,DATEDIF(C11,'설정'!$B$6,"m")))</x:f>
        <x:v>25</x:v>
      </x:c>
      <x:c r="G11" s="118" t="n">
        <x:f>D11/E11</x:f>
        <x:v>387333.3333333333</x:v>
      </x:c>
      <x:c r="H11" s="118" t="n">
        <x:f>MIN(D11,F11*G11)</x:f>
        <x:v>9683333.333333332</x:v>
      </x:c>
      <x:c r="I11" s="119" t="n">
        <x:f>MAX(0,D11-H11)</x:f>
        <x:v>13556666.666666668</x:v>
      </x:c>
    </x:row>
    <x:row r="12">
      <x:c r="A12" s="75" t="str">
        <x:v>FA-0007</x:v>
      </x:c>
      <x:c r="B12" s="58" t="str">
        <x:v>소프트웨어</x:v>
      </x:c>
      <x:c r="C12" s="105" t="n">
        <x:v>45870</x:v>
      </x:c>
      <x:c r="D12" s="115" t="n">
        <x:v>17260000</x:v>
      </x:c>
      <x:c r="E12" s="116" t="n">
        <x:v>72</x:v>
      </x:c>
      <x:c r="F12" s="117" t="n">
        <x:f>MIN(E12,MAX(0,DATEDIF(C12,'설정'!$B$6,"m")))</x:f>
        <x:v>12</x:v>
      </x:c>
      <x:c r="G12" s="118" t="n">
        <x:f>D12/E12</x:f>
        <x:v>239722.22222222222</x:v>
      </x:c>
      <x:c r="H12" s="118" t="n">
        <x:f>MIN(D12,F12*G12)</x:f>
        <x:v>2876666.6666666665</x:v>
      </x:c>
      <x:c r="I12" s="119" t="n">
        <x:f>MAX(0,D12-H12)</x:f>
        <x:v>14383333.333333334</x:v>
      </x:c>
    </x:row>
    <x:row r="13">
      <x:c r="A13" s="75" t="str">
        <x:v>FA-0008</x:v>
      </x:c>
      <x:c r="B13" s="58" t="str">
        <x:v>기계장치</x:v>
      </x:c>
      <x:c r="C13" s="105" t="n">
        <x:v>44805</x:v>
      </x:c>
      <x:c r="D13" s="115" t="n">
        <x:v>15910000</x:v>
      </x:c>
      <x:c r="E13" s="116" t="n">
        <x:v>36</x:v>
      </x:c>
      <x:c r="F13" s="117" t="n">
        <x:f>MIN(E13,MAX(0,DATEDIF(C13,'설정'!$B$6,"m")))</x:f>
        <x:v>36</x:v>
      </x:c>
      <x:c r="G13" s="118" t="n">
        <x:f>D13/E13</x:f>
        <x:v>441944.44444444444</x:v>
      </x:c>
      <x:c r="H13" s="118" t="n">
        <x:f>MIN(D13,F13*G13)</x:f>
        <x:v>15910000</x:v>
      </x:c>
      <x:c r="I13" s="119" t="n">
        <x:f>MAX(0,D13-H13)</x:f>
        <x:v>0</x:v>
      </x:c>
    </x:row>
    <x:row r="14">
      <x:c r="A14" s="75" t="str">
        <x:v>FA-0009</x:v>
      </x:c>
      <x:c r="B14" s="58" t="str">
        <x:v>차량운반구</x:v>
      </x:c>
      <x:c r="C14" s="105" t="n">
        <x:v>45200</x:v>
      </x:c>
      <x:c r="D14" s="115" t="n">
        <x:v>8510000</x:v>
      </x:c>
      <x:c r="E14" s="116" t="n">
        <x:v>48</x:v>
      </x:c>
      <x:c r="F14" s="117" t="n">
        <x:f>MIN(E14,MAX(0,DATEDIF(C14,'설정'!$B$6,"m")))</x:f>
        <x:v>34</x:v>
      </x:c>
      <x:c r="G14" s="118" t="n">
        <x:f>D14/E14</x:f>
        <x:v>177291.66666666666</x:v>
      </x:c>
      <x:c r="H14" s="118" t="n">
        <x:f>MIN(D14,F14*G14)</x:f>
        <x:v>6027916.666666666</x:v>
      </x:c>
      <x:c r="I14" s="119" t="n">
        <x:f>MAX(0,D14-H14)</x:f>
        <x:v>2482083.333333334</x:v>
      </x:c>
    </x:row>
    <x:row r="15">
      <x:c r="A15" s="75" t="str">
        <x:v>FA-0010</x:v>
      </x:c>
      <x:c r="B15" s="58" t="str">
        <x:v>비품</x:v>
      </x:c>
      <x:c r="C15" s="105" t="n">
        <x:v>45597</x:v>
      </x:c>
      <x:c r="D15" s="115" t="n">
        <x:v>8700000</x:v>
      </x:c>
      <x:c r="E15" s="116" t="n">
        <x:v>60</x:v>
      </x:c>
      <x:c r="F15" s="117" t="n">
        <x:f>MIN(E15,MAX(0,DATEDIF(C15,'설정'!$B$6,"m")))</x:f>
        <x:v>21</x:v>
      </x:c>
      <x:c r="G15" s="118" t="n">
        <x:f>D15/E15</x:f>
        <x:v>145000</x:v>
      </x:c>
      <x:c r="H15" s="118" t="n">
        <x:f>MIN(D15,F15*G15)</x:f>
        <x:v>3045000</x:v>
      </x:c>
      <x:c r="I15" s="119" t="n">
        <x:f>MAX(0,D15-H15)</x:f>
        <x:v>5655000</x:v>
      </x:c>
    </x:row>
    <x:row r="16">
      <x:c r="A16" s="75" t="str">
        <x:v>FA-0011</x:v>
      </x:c>
      <x:c r="B16" s="58" t="str">
        <x:v>소프트웨어</x:v>
      </x:c>
      <x:c r="C16" s="105" t="n">
        <x:v>45992</x:v>
      </x:c>
      <x:c r="D16" s="115" t="n">
        <x:v>21320000</x:v>
      </x:c>
      <x:c r="E16" s="116" t="n">
        <x:v>72</x:v>
      </x:c>
      <x:c r="F16" s="117" t="n">
        <x:f>MIN(E16,MAX(0,DATEDIF(C16,'설정'!$B$6,"m")))</x:f>
        <x:v>8</x:v>
      </x:c>
      <x:c r="G16" s="118" t="n">
        <x:f>D16/E16</x:f>
        <x:v>296111.1111111111</x:v>
      </x:c>
      <x:c r="H16" s="118" t="n">
        <x:f>MIN(D16,F16*G16)</x:f>
        <x:v>2368888.888888889</x:v>
      </x:c>
      <x:c r="I16" s="119" t="n">
        <x:f>MAX(0,D16-H16)</x:f>
        <x:v>18951111.111111112</x:v>
      </x:c>
    </x:row>
    <x:row r="17">
      <x:c r="A17" s="75" t="str">
        <x:v>FA-0012</x:v>
      </x:c>
      <x:c r="B17" s="58" t="str">
        <x:v>기계장치</x:v>
      </x:c>
      <x:c r="C17" s="105" t="n">
        <x:v>44562</x:v>
      </x:c>
      <x:c r="D17" s="115" t="n">
        <x:v>9920000</x:v>
      </x:c>
      <x:c r="E17" s="116" t="n">
        <x:v>36</x:v>
      </x:c>
      <x:c r="F17" s="117" t="n">
        <x:f>MIN(E17,MAX(0,DATEDIF(C17,'설정'!$B$6,"m")))</x:f>
        <x:v>36</x:v>
      </x:c>
      <x:c r="G17" s="118" t="n">
        <x:f>SUM(D17:E17)</x:f>
        <x:v>9920036</x:v>
      </x:c>
      <x:c r="H17" s="118" t="n">
        <x:f>MIN(D17,F17*G17)</x:f>
        <x:v>9920000</x:v>
      </x:c>
      <x:c r="I17" s="119" t="n">
        <x:f>MAX(0,D17-H17)</x:f>
        <x:v>0</x:v>
      </x:c>
    </x:row>
    <x:row r="18">
      <x:c r="A18" s="75" t="str">
        <x:v>FA-0013</x:v>
      </x:c>
      <x:c r="B18" s="58" t="str">
        <x:v>차량운반구</x:v>
      </x:c>
      <x:c r="C18" s="105" t="n">
        <x:v>44958</x:v>
      </x:c>
      <x:c r="D18" s="115" t="n">
        <x:v>5620000</x:v>
      </x:c>
      <x:c r="E18" s="116" t="n">
        <x:v>48</x:v>
      </x:c>
      <x:c r="F18" s="117" t="n">
        <x:f>MIN(E18,MAX(0,DATEDIF(C18,'설정'!$B$6,"m")))</x:f>
        <x:v>42</x:v>
      </x:c>
      <x:c r="G18" s="118" t="n">
        <x:f>D18/E18</x:f>
        <x:v>117083.33333333333</x:v>
      </x:c>
      <x:c r="H18" s="118" t="n">
        <x:f>MIN(D18,F18*G18)</x:f>
        <x:v>4917500</x:v>
      </x:c>
      <x:c r="I18" s="119" t="n">
        <x:f>MAX(0,D18-H18)</x:f>
        <x:v>702500</x:v>
      </x:c>
    </x:row>
    <x:row r="19">
      <x:c r="A19" s="75" t="str">
        <x:v>FA-0014</x:v>
      </x:c>
      <x:c r="B19" s="58" t="str">
        <x:v>비품</x:v>
      </x:c>
      <x:c r="C19" s="105" t="n">
        <x:v>45352</x:v>
      </x:c>
      <x:c r="D19" s="115" t="n">
        <x:v>12510000</x:v>
      </x:c>
      <x:c r="E19" s="116" t="n">
        <x:v>60</x:v>
      </x:c>
      <x:c r="F19" s="117" t="n">
        <x:f>MIN(E19,MAX(0,DATEDIF(C19,'설정'!$B$6,"m")))</x:f>
        <x:v>29</x:v>
      </x:c>
      <x:c r="G19" s="118" t="n">
        <x:f>D19/E19</x:f>
        <x:v>208500</x:v>
      </x:c>
      <x:c r="H19" s="118" t="n">
        <x:f>MIN(D19,F19*G19)</x:f>
        <x:v>6046500</x:v>
      </x:c>
      <x:c r="I19" s="119" t="n">
        <x:f>MAX(0,D19-H19)</x:f>
        <x:v>6463500</x:v>
      </x:c>
    </x:row>
    <x:row r="20">
      <x:c r="A20" s="75" t="str">
        <x:v>FA-0015</x:v>
      </x:c>
      <x:c r="B20" s="58" t="str">
        <x:v>소프트웨어</x:v>
      </x:c>
      <x:c r="C20" s="105" t="n">
        <x:v>45748</x:v>
      </x:c>
      <x:c r="D20" s="115" t="n">
        <x:v>12660000</x:v>
      </x:c>
      <x:c r="E20" s="116" t="n">
        <x:v>72</x:v>
      </x:c>
      <x:c r="F20" s="117" t="n">
        <x:f>MIN(E20,MAX(0,DATEDIF(C20,'설정'!$B$6,"m")))</x:f>
        <x:v>16</x:v>
      </x:c>
      <x:c r="G20" s="118" t="n">
        <x:f>D20/E20</x:f>
        <x:v>175833.33333333334</x:v>
      </x:c>
      <x:c r="H20" s="118" t="n">
        <x:f>MIN(D20,F20*G20)</x:f>
        <x:v>2813333.3333333335</x:v>
      </x:c>
      <x:c r="I20" s="119" t="n">
        <x:f>MAX(0,D20-H20)</x:f>
        <x:v>9846666.666666666</x:v>
      </x:c>
    </x:row>
    <x:row r="21">
      <x:c r="A21" s="75" t="str">
        <x:v>FA-0016</x:v>
      </x:c>
      <x:c r="B21" s="58" t="str">
        <x:v>기계장치</x:v>
      </x:c>
      <x:c r="C21" s="105" t="n">
        <x:v>44682</x:v>
      </x:c>
      <x:c r="D21" s="115" t="n">
        <x:v>16720000</x:v>
      </x:c>
      <x:c r="E21" s="116" t="n">
        <x:v>36</x:v>
      </x:c>
      <x:c r="F21" s="117" t="n">
        <x:f>MIN(E21,MAX(0,DATEDIF(C21,'설정'!$B$6,"m")))</x:f>
        <x:v>36</x:v>
      </x:c>
      <x:c r="G21" s="118" t="n">
        <x:f>D21/E21</x:f>
        <x:v>464444.44444444444</x:v>
      </x:c>
      <x:c r="H21" s="118" t="n">
        <x:f>MIN(D21,F21*G21)</x:f>
        <x:v>16720000</x:v>
      </x:c>
      <x:c r="I21" s="119" t="n">
        <x:f>MAX(0,D21-H21)</x:f>
        <x:v>0</x:v>
      </x:c>
    </x:row>
    <x:row r="22">
      <x:c r="A22" s="75" t="str">
        <x:v>FA-0017</x:v>
      </x:c>
      <x:c r="B22" s="58" t="str">
        <x:v>차량운반구</x:v>
      </x:c>
      <x:c r="C22" s="105" t="n">
        <x:v>45078</x:v>
      </x:c>
      <x:c r="D22" s="115" t="n">
        <x:v>17910000</x:v>
      </x:c>
      <x:c r="E22" s="116" t="n">
        <x:v>48</x:v>
      </x:c>
      <x:c r="F22" s="117" t="n">
        <x:f>MIN(E22,MAX(0,DATEDIF(C22,'설정'!$B$6,"m")))</x:f>
        <x:v>38</x:v>
      </x:c>
      <x:c r="G22" s="118" t="n">
        <x:f>D22/E22</x:f>
        <x:v>373125</x:v>
      </x:c>
      <x:c r="H22" s="118" t="n">
        <x:f>MIN(D22,F22*G22)</x:f>
        <x:v>14178750</x:v>
      </x:c>
      <x:c r="I22" s="119" t="n">
        <x:f>MAX(0,D22-H22)</x:f>
        <x:v>3731250</x:v>
      </x:c>
    </x:row>
    <x:row r="23">
      <x:c r="A23" s="75" t="str">
        <x:v>FA-0018</x:v>
      </x:c>
      <x:c r="B23" s="58" t="str">
        <x:v>비품</x:v>
      </x:c>
      <x:c r="C23" s="105" t="n">
        <x:v>45474</x:v>
      </x:c>
      <x:c r="D23" s="115" t="n">
        <x:v>21070000</x:v>
      </x:c>
      <x:c r="E23" s="116" t="n">
        <x:v>60</x:v>
      </x:c>
      <x:c r="F23" s="117" t="n">
        <x:f>MIN(E23,MAX(0,DATEDIF(C23,'설정'!$B$6,"m")))</x:f>
        <x:v>25</x:v>
      </x:c>
      <x:c r="G23" s="118" t="n">
        <x:f>D23/E23</x:f>
        <x:v>351166.6666666667</x:v>
      </x:c>
      <x:c r="H23" s="118" t="n">
        <x:f>MIN(D23,F23*G23)</x:f>
        <x:v>8779166.666666668</x:v>
      </x:c>
      <x:c r="I23" s="119" t="n">
        <x:f>MAX(0,D23-H23)</x:f>
        <x:v>12290833.333333332</x:v>
      </x:c>
    </x:row>
    <x:row r="24">
      <x:c r="A24" s="75" t="str">
        <x:v>FA-0019</x:v>
      </x:c>
      <x:c r="B24" s="58" t="str">
        <x:v>소프트웨어</x:v>
      </x:c>
      <x:c r="C24" s="105" t="n">
        <x:v>45870</x:v>
      </x:c>
      <x:c r="D24" s="115" t="n">
        <x:v>20610000</x:v>
      </x:c>
      <x:c r="E24" s="116" t="n">
        <x:v>72</x:v>
      </x:c>
      <x:c r="F24" s="117" t="n">
        <x:f>MIN(E24,MAX(0,DATEDIF(C24,'설정'!$B$6,"m")))</x:f>
        <x:v>12</x:v>
      </x:c>
      <x:c r="G24" s="118" t="n">
        <x:f>D24/E24</x:f>
        <x:v>286250</x:v>
      </x:c>
      <x:c r="H24" s="118" t="n">
        <x:f>MIN(D24,F24*G24)</x:f>
        <x:v>3435000</x:v>
      </x:c>
      <x:c r="I24" s="119" t="n">
        <x:f>MAX(0,D24-H24)</x:f>
        <x:v>17175000</x:v>
      </x:c>
    </x:row>
    <x:row r="25">
      <x:c r="A25" s="75" t="str">
        <x:v>FA-0020</x:v>
      </x:c>
      <x:c r="B25" s="58" t="str">
        <x:v>기계장치</x:v>
      </x:c>
      <x:c r="C25" s="105" t="n">
        <x:v>44805</x:v>
      </x:c>
      <x:c r="D25" s="115" t="n">
        <x:v>14590000</x:v>
      </x:c>
      <x:c r="E25" s="116" t="n">
        <x:v>36</x:v>
      </x:c>
      <x:c r="F25" s="117" t="n">
        <x:f>MIN(E25,MAX(0,DATEDIF(C25,'설정'!$B$6,"m")))</x:f>
        <x:v>36</x:v>
      </x:c>
      <x:c r="G25" s="118" t="n">
        <x:f>D25/E25</x:f>
        <x:v>405277.77777777775</x:v>
      </x:c>
      <x:c r="H25" s="118" t="n">
        <x:f>MIN(D25,F25*G25)</x:f>
        <x:v>14590000</x:v>
      </x:c>
      <x:c r="I25" s="119" t="n">
        <x:f>MAX(0,D25-H25)</x:f>
        <x:v>0</x:v>
      </x:c>
    </x:row>
    <x:row r="26">
      <x:c r="A26" s="75" t="str">
        <x:v>FA-0021</x:v>
      </x:c>
      <x:c r="B26" s="58" t="str">
        <x:v>차량운반구</x:v>
      </x:c>
      <x:c r="C26" s="105" t="n">
        <x:v>45200</x:v>
      </x:c>
      <x:c r="D26" s="115" t="n">
        <x:v>22730000</x:v>
      </x:c>
      <x:c r="E26" s="116" t="n">
        <x:v>48</x:v>
      </x:c>
      <x:c r="F26" s="117" t="n">
        <x:f>MIN(E26,MAX(0,DATEDIF(C26,'설정'!$B$6,"m")))</x:f>
        <x:v>34</x:v>
      </x:c>
      <x:c r="G26" s="118" t="n">
        <x:f>D26/E26</x:f>
        <x:v>473541.6666666667</x:v>
      </x:c>
      <x:c r="H26" s="118" t="n">
        <x:f>MIN(D26,F26*G26)</x:f>
        <x:v>16100416.666666668</x:v>
      </x:c>
      <x:c r="I26" s="119" t="n">
        <x:f>MAX(0,D26-H26)</x:f>
        <x:v>6629583.333333332</x:v>
      </x:c>
    </x:row>
    <x:row r="27">
      <x:c r="A27" s="75" t="str">
        <x:v>FA-0022</x:v>
      </x:c>
      <x:c r="B27" s="58" t="str">
        <x:v>비품</x:v>
      </x:c>
      <x:c r="C27" s="105" t="n">
        <x:v>45597</x:v>
      </x:c>
      <x:c r="D27" s="115" t="n">
        <x:v>8370000</x:v>
      </x:c>
      <x:c r="E27" s="116" t="n">
        <x:v>60</x:v>
      </x:c>
      <x:c r="F27" s="117" t="n">
        <x:f>MIN(E27,MAX(0,DATEDIF(C27,'설정'!$B$6,"m")))</x:f>
        <x:v>21</x:v>
      </x:c>
      <x:c r="G27" s="118" t="n">
        <x:f>D27/E27</x:f>
        <x:v>139500</x:v>
      </x:c>
      <x:c r="H27" s="118" t="n">
        <x:f>MIN(D27,F27*G27)</x:f>
        <x:v>2929500</x:v>
      </x:c>
      <x:c r="I27" s="119" t="n">
        <x:f>MAX(0,D27-H27)</x:f>
        <x:v>5440500</x:v>
      </x:c>
    </x:row>
    <x:row r="28">
      <x:c r="A28" s="75" t="str">
        <x:v>FA-0023</x:v>
      </x:c>
      <x:c r="B28" s="58" t="str">
        <x:v>소프트웨어</x:v>
      </x:c>
      <x:c r="C28" s="105" t="n">
        <x:v>45992</x:v>
      </x:c>
      <x:c r="D28" s="115" t="n">
        <x:v>22870000</x:v>
      </x:c>
      <x:c r="E28" s="116" t="n">
        <x:v>72</x:v>
      </x:c>
      <x:c r="F28" s="117" t="n">
        <x:f>MIN(E28,MAX(0,DATEDIF(C28,'설정'!$B$6,"m")))</x:f>
        <x:v>8</x:v>
      </x:c>
      <x:c r="G28" s="118" t="n">
        <x:f>D28/E28</x:f>
        <x:v>317638.8888888889</x:v>
      </x:c>
      <x:c r="H28" s="118" t="n">
        <x:f>MIN(D28,F27*G28)</x:f>
        <x:v>6670416.666666666</x:v>
      </x:c>
      <x:c r="I28" s="119" t="n">
        <x:f>MAX(0,D28-H28)</x:f>
        <x:v>16199583.333333334</x:v>
      </x:c>
    </x:row>
    <x:row r="29">
      <x:c r="A29" s="75" t="str">
        <x:v>FA-0024</x:v>
      </x:c>
      <x:c r="B29" s="58" t="str">
        <x:v>기계장치</x:v>
      </x:c>
      <x:c r="C29" s="105" t="n">
        <x:v>44562</x:v>
      </x:c>
      <x:c r="D29" s="115" t="n">
        <x:v>6940000</x:v>
      </x:c>
      <x:c r="E29" s="116" t="n">
        <x:v>36</x:v>
      </x:c>
      <x:c r="F29" s="117" t="n">
        <x:f>MIN(E29,MAX(0,DATEDIF(C29,'설정'!$B$6,"m")))</x:f>
        <x:v>36</x:v>
      </x:c>
      <x:c r="G29" s="118" t="n">
        <x:f>D29/E29</x:f>
        <x:v>192777.77777777778</x:v>
      </x:c>
      <x:c r="H29" s="118" t="n">
        <x:f>MIN(D29,F29*G29)</x:f>
        <x:v>6940000</x:v>
      </x:c>
      <x:c r="I29" s="119" t="n">
        <x:f>MAX(0,D29-H29)</x:f>
        <x:v>0</x:v>
      </x:c>
    </x:row>
    <x:row r="30">
      <x:c r="A30" s="75" t="str">
        <x:v>FA-0025</x:v>
      </x:c>
      <x:c r="B30" s="58" t="str">
        <x:v>차량운반구</x:v>
      </x:c>
      <x:c r="C30" s="105" t="n">
        <x:v>44958</x:v>
      </x:c>
      <x:c r="D30" s="115" t="n">
        <x:v>22660000</x:v>
      </x:c>
      <x:c r="E30" s="116" t="n">
        <x:v>48</x:v>
      </x:c>
      <x:c r="F30" s="117" t="n">
        <x:f>MIN(E30,MAX(0,DATEDIF(C30,'설정'!$B$6,"m")))</x:f>
        <x:v>42</x:v>
      </x:c>
      <x:c r="G30" s="118" t="n">
        <x:f>D30/E30</x:f>
        <x:v>472083.3333333333</x:v>
      </x:c>
      <x:c r="H30" s="118" t="n">
        <x:f>MIN(D30,F30*G30)</x:f>
        <x:v>19827500</x:v>
      </x:c>
      <x:c r="I30" s="119" t="n">
        <x:f>MAX(0,D30-H30)</x:f>
        <x:v>2832500</x:v>
      </x:c>
    </x:row>
    <x:row r="31">
      <x:c r="A31" s="75" t="str">
        <x:v>FA-0026</x:v>
      </x:c>
      <x:c r="B31" s="58" t="str">
        <x:v>비품</x:v>
      </x:c>
      <x:c r="C31" s="105" t="n">
        <x:v>45352</x:v>
      </x:c>
      <x:c r="D31" s="115" t="n">
        <x:v>3010000</x:v>
      </x:c>
      <x:c r="E31" s="116" t="n">
        <x:v>60</x:v>
      </x:c>
      <x:c r="F31" s="117" t="n">
        <x:f>MIN(E31,MAX(0,DATEDIF(C31,'설정'!$B$6,"m")))</x:f>
        <x:v>29</x:v>
      </x:c>
      <x:c r="G31" s="118" t="n">
        <x:f>D31/E31</x:f>
        <x:v>50166.666666666664</x:v>
      </x:c>
      <x:c r="H31" s="118" t="n">
        <x:f>MIN(D31,F31*G31)</x:f>
        <x:v>1454833.3333333333</x:v>
      </x:c>
      <x:c r="I31" s="119" t="n">
        <x:f>MAX(0,D31-H31)</x:f>
        <x:v>1555166.6666666667</x:v>
      </x:c>
    </x:row>
    <x:row r="32">
      <x:c r="A32" s="75" t="str">
        <x:v>FA-0027</x:v>
      </x:c>
      <x:c r="B32" s="58" t="str">
        <x:v>소프트웨어</x:v>
      </x:c>
      <x:c r="C32" s="105" t="n">
        <x:v>45748</x:v>
      </x:c>
      <x:c r="D32" s="115" t="n">
        <x:v>9890000</x:v>
      </x:c>
      <x:c r="E32" s="116" t="n">
        <x:v>72</x:v>
      </x:c>
      <x:c r="F32" s="117" t="n">
        <x:f>MIN(E32,MAX(0,DATEDIF(C32,'설정'!$B$6,"m")))</x:f>
        <x:v>16</x:v>
      </x:c>
      <x:c r="G32" s="118" t="n">
        <x:f>D32/E32</x:f>
        <x:v>137361.11111111112</x:v>
      </x:c>
      <x:c r="H32" s="118" t="n">
        <x:f>MIN(D32,F32*G32)</x:f>
        <x:v>2197777.777777778</x:v>
      </x:c>
      <x:c r="I32" s="119" t="n">
        <x:f>MAX(0,D32-H32)</x:f>
        <x:v>7692222.222222222</x:v>
      </x:c>
    </x:row>
    <x:row r="33">
      <x:c r="A33" s="75" t="str">
        <x:v>FA-0028</x:v>
      </x:c>
      <x:c r="B33" s="58" t="str">
        <x:v>기계장치</x:v>
      </x:c>
      <x:c r="C33" s="105" t="n">
        <x:v>44682</x:v>
      </x:c>
      <x:c r="D33" s="115" t="n">
        <x:v>15280000</x:v>
      </x:c>
      <x:c r="E33" s="116" t="n">
        <x:v>36</x:v>
      </x:c>
      <x:c r="F33" s="117" t="n">
        <x:f>MIN(E33,MAX(0,DATEDIF(C33,'설정'!$B$6,"m")))</x:f>
        <x:v>36</x:v>
      </x:c>
      <x:c r="G33" s="118" t="n">
        <x:f>D33/E33</x:f>
        <x:v>424444.44444444444</x:v>
      </x:c>
      <x:c r="H33" s="118" t="n">
        <x:f>MIN(D33,F33*G33)</x:f>
        <x:v>15280000</x:v>
      </x:c>
      <x:c r="I33" s="119" t="n">
        <x:f>MAX(0,D33-H33)</x:f>
        <x:v>0</x:v>
      </x:c>
    </x:row>
    <x:row r="34">
      <x:c r="A34" s="75" t="str">
        <x:v>FA-0029</x:v>
      </x:c>
      <x:c r="B34" s="58" t="str">
        <x:v>차량운반구</x:v>
      </x:c>
      <x:c r="C34" s="105" t="n">
        <x:v>45078</x:v>
      </x:c>
      <x:c r="D34" s="115" t="n">
        <x:v>14390000</x:v>
      </x:c>
      <x:c r="E34" s="116" t="n">
        <x:v>48</x:v>
      </x:c>
      <x:c r="F34" s="117" t="n">
        <x:f>MIN(E34,MAX(0,DATEDIF(C34,'설정'!$B$6,"m")))</x:f>
        <x:v>38</x:v>
      </x:c>
      <x:c r="G34" s="118" t="n">
        <x:f>D34/E34</x:f>
        <x:v>299791.6666666667</x:v>
      </x:c>
      <x:c r="H34" s="118" t="n">
        <x:f>MIN(D34,F34*G34)</x:f>
        <x:v>11392083.333333334</x:v>
      </x:c>
      <x:c r="I34" s="119" t="n">
        <x:f>MAX(0,D34-H34)</x:f>
        <x:v>2997916.666666666</x:v>
      </x:c>
    </x:row>
    <x:row r="35">
      <x:c r="A35" s="75" t="str">
        <x:v>FA-0030</x:v>
      </x:c>
      <x:c r="B35" s="58" t="str">
        <x:v>비품</x:v>
      </x:c>
      <x:c r="C35" s="105" t="n">
        <x:v>45474</x:v>
      </x:c>
      <x:c r="D35" s="115" t="n">
        <x:v>21520000</x:v>
      </x:c>
      <x:c r="E35" s="116" t="n">
        <x:v>60</x:v>
      </x:c>
      <x:c r="F35" s="117" t="n">
        <x:f>MIN(E35,MAX(0,DATEDIF(C35,'설정'!$B$6,"m")))</x:f>
        <x:v>25</x:v>
      </x:c>
      <x:c r="G35" s="118" t="n">
        <x:f>D35/E35</x:f>
        <x:v>358666.6666666667</x:v>
      </x:c>
      <x:c r="H35" s="118" t="n">
        <x:f>MIN(D35,F35*G35)</x:f>
        <x:v>8966666.666666668</x:v>
      </x:c>
      <x:c r="I35" s="119" t="n">
        <x:f>MAX(0,D35-H35)</x:f>
        <x:v>12553333.333333332</x:v>
      </x:c>
    </x:row>
    <x:row r="36">
      <x:c r="A36" s="75" t="str">
        <x:v>FA-0031</x:v>
      </x:c>
      <x:c r="B36" s="58" t="str">
        <x:v>소프트웨어</x:v>
      </x:c>
      <x:c r="C36" s="105" t="n">
        <x:v>45870</x:v>
      </x:c>
      <x:c r="D36" s="115" t="n">
        <x:v>12360000</x:v>
      </x:c>
      <x:c r="E36" s="116" t="n">
        <x:v>72</x:v>
      </x:c>
      <x:c r="F36" s="117" t="n">
        <x:f>MIN(E36,MAX(0,DATEDIF(C36,'설정'!$B$6,"m")))</x:f>
        <x:v>12</x:v>
      </x:c>
      <x:c r="G36" s="118" t="n">
        <x:f>D36/E36</x:f>
        <x:v>171666.66666666666</x:v>
      </x:c>
      <x:c r="H36" s="118" t="n">
        <x:f>MIN(D36,F36*G36)</x:f>
        <x:v>2060000</x:v>
      </x:c>
      <x:c r="I36" s="119" t="n">
        <x:f>MAX(0,D36-H36)</x:f>
        <x:v>10300000</x:v>
      </x:c>
    </x:row>
    <x:row r="37">
      <x:c r="A37" s="75" t="str">
        <x:v>FA-0032</x:v>
      </x:c>
      <x:c r="B37" s="58" t="str">
        <x:v>기계장치</x:v>
      </x:c>
      <x:c r="C37" s="105" t="n">
        <x:v>44805</x:v>
      </x:c>
      <x:c r="D37" s="115" t="n">
        <x:v>7070000</x:v>
      </x:c>
      <x:c r="E37" s="116" t="n">
        <x:v>36</x:v>
      </x:c>
      <x:c r="F37" s="117" t="n">
        <x:f>MIN(E37,MAX(0,DATEDIF(C37,'설정'!$B$6,"m")))</x:f>
        <x:v>36</x:v>
      </x:c>
      <x:c r="G37" s="118" t="n">
        <x:f>D37/E37</x:f>
        <x:v>196388.88888888888</x:v>
      </x:c>
      <x:c r="H37" s="118" t="n">
        <x:f>MIN(D37,F37*G37)</x:f>
        <x:v>7070000</x:v>
      </x:c>
      <x:c r="I37" s="119" t="n">
        <x:f>MAX(0,D37-H37)</x:f>
        <x:v>0</x:v>
      </x:c>
    </x:row>
    <x:row r="38">
      <x:c r="A38" s="75" t="str">
        <x:v>FA-0033</x:v>
      </x:c>
      <x:c r="B38" s="58" t="str">
        <x:v>차량운반구</x:v>
      </x:c>
      <x:c r="C38" s="105" t="n">
        <x:v>45200</x:v>
      </x:c>
      <x:c r="D38" s="115" t="n">
        <x:v>4170000</x:v>
      </x:c>
      <x:c r="E38" s="116" t="n">
        <x:v>48</x:v>
      </x:c>
      <x:c r="F38" s="117" t="n">
        <x:f>MIN(E38,MAX(0,DATEDIF(C38,'설정'!$B$6,"m")))</x:f>
        <x:v>34</x:v>
      </x:c>
      <x:c r="G38" s="118" t="n">
        <x:f>D38/E38</x:f>
        <x:v>86875</x:v>
      </x:c>
      <x:c r="H38" s="118" t="n">
        <x:f>MIN(D38,F38*G38)</x:f>
        <x:v>2953750</x:v>
      </x:c>
      <x:c r="I38" s="119" t="n">
        <x:f>MAX(0,D38-H38)</x:f>
        <x:v>1216250</x:v>
      </x:c>
    </x:row>
    <x:row r="39">
      <x:c r="A39" s="75" t="str">
        <x:v>FA-0034</x:v>
      </x:c>
      <x:c r="B39" s="58" t="str">
        <x:v>비품</x:v>
      </x:c>
      <x:c r="C39" s="105" t="n">
        <x:v>45597</x:v>
      </x:c>
      <x:c r="D39" s="115" t="n">
        <x:v>11040000</x:v>
      </x:c>
      <x:c r="E39" s="116" t="n">
        <x:v>60</x:v>
      </x:c>
      <x:c r="F39" s="117" t="n">
        <x:f>MIN(E39,MAX(0,DATEDIF(C39,'설정'!$B$6,"m")))</x:f>
        <x:v>21</x:v>
      </x:c>
      <x:c r="G39" s="118" t="n">
        <x:f>D39/E39</x:f>
        <x:v>184000</x:v>
      </x:c>
      <x:c r="H39" s="118" t="n">
        <x:f>MIN(D39,F39*G39)</x:f>
        <x:v>3864000</x:v>
      </x:c>
      <x:c r="I39" s="119" t="n">
        <x:v>7500000</x:v>
      </x:c>
    </x:row>
    <x:row r="40">
      <x:c r="A40" s="75" t="str">
        <x:v>FA-0035</x:v>
      </x:c>
      <x:c r="B40" s="58" t="str">
        <x:v>소프트웨어</x:v>
      </x:c>
      <x:c r="C40" s="105" t="n">
        <x:v>45992</x:v>
      </x:c>
      <x:c r="D40" s="115" t="n">
        <x:v>16120000</x:v>
      </x:c>
      <x:c r="E40" s="116" t="n">
        <x:v>72</x:v>
      </x:c>
      <x:c r="F40" s="117" t="n">
        <x:f>MIN(E40,MAX(0,DATEDIF(C40,'설정'!$B$6,"m")))</x:f>
        <x:v>8</x:v>
      </x:c>
      <x:c r="G40" s="118" t="n">
        <x:f>D40/E40</x:f>
        <x:v>223888.88888888888</x:v>
      </x:c>
      <x:c r="H40" s="118" t="n">
        <x:f>MIN(D40,F40*G40)</x:f>
        <x:v>1791111.111111111</x:v>
      </x:c>
      <x:c r="I40" s="119" t="n">
        <x:f>MAX(0,D40-H40)</x:f>
        <x:v>14328888.888888888</x:v>
      </x:c>
    </x:row>
    <x:row r="41">
      <x:c r="A41" s="75" t="str">
        <x:v>FA-0036</x:v>
      </x:c>
      <x:c r="B41" s="58" t="str">
        <x:v>기계장치</x:v>
      </x:c>
      <x:c r="C41" s="105" t="n">
        <x:v>44562</x:v>
      </x:c>
      <x:c r="D41" s="115" t="n">
        <x:v>6440000</x:v>
      </x:c>
      <x:c r="E41" s="116" t="n">
        <x:v>36</x:v>
      </x:c>
      <x:c r="F41" s="117" t="n">
        <x:f>MIN(E41,MAX(0,DATEDIF(C41,'설정'!$B$6,"m")))</x:f>
        <x:v>36</x:v>
      </x:c>
      <x:c r="G41" s="118" t="n">
        <x:f>D41/E41</x:f>
        <x:v>178888.88888888888</x:v>
      </x:c>
      <x:c r="H41" s="118" t="n">
        <x:f>MIN(D41,F41*G41)</x:f>
        <x:v>6440000</x:v>
      </x:c>
      <x:c r="I41" s="119" t="n">
        <x:f>MAX(0,D41-H41)</x:f>
        <x:v>0</x:v>
      </x:c>
    </x:row>
    <x:row r="42">
      <x:c r="A42" s="75" t="str">
        <x:v>FA-0037</x:v>
      </x:c>
      <x:c r="B42" s="58" t="str">
        <x:v>차량운반구</x:v>
      </x:c>
      <x:c r="C42" s="105" t="n">
        <x:v>44958</x:v>
      </x:c>
      <x:c r="D42" s="115" t="n">
        <x:v>21510000</x:v>
      </x:c>
      <x:c r="E42" s="116" t="n">
        <x:v>48</x:v>
      </x:c>
      <x:c r="F42" s="117" t="n">
        <x:f>MIN(E42,MAX(0,DATEDIF(C42,'설정'!$B$6,"m")))</x:f>
        <x:v>42</x:v>
      </x:c>
      <x:c r="G42" s="118" t="n">
        <x:f>D42/E42</x:f>
        <x:v>448125</x:v>
      </x:c>
      <x:c r="H42" s="118" t="n">
        <x:f>MIN(D42,F42*G42)</x:f>
        <x:v>18821250</x:v>
      </x:c>
      <x:c r="I42" s="119" t="n">
        <x:f>MAX(0,D42-H42)</x:f>
        <x:v>2688750</x:v>
      </x:c>
    </x:row>
    <x:row r="43">
      <x:c r="A43" s="75" t="str">
        <x:v>FA-0038</x:v>
      </x:c>
      <x:c r="B43" s="58" t="str">
        <x:v>비품</x:v>
      </x:c>
      <x:c r="C43" s="105" t="n">
        <x:v>45352</x:v>
      </x:c>
      <x:c r="D43" s="115" t="n">
        <x:v>20150000</x:v>
      </x:c>
      <x:c r="E43" s="116" t="n">
        <x:v>60</x:v>
      </x:c>
      <x:c r="F43" s="117" t="n">
        <x:f>MIN(E43,MAX(0,DATEDIF(C43,'설정'!$B$6,"m")))</x:f>
        <x:v>29</x:v>
      </x:c>
      <x:c r="G43" s="118" t="n">
        <x:f>D43/E43</x:f>
        <x:v>335833.3333333333</x:v>
      </x:c>
      <x:c r="H43" s="118" t="n">
        <x:f>MIN(D43,F43*G43)</x:f>
        <x:v>9739166.666666666</x:v>
      </x:c>
      <x:c r="I43" s="119" t="n">
        <x:f>MAX(0,D43-H43)</x:f>
        <x:v>10410833.333333334</x:v>
      </x:c>
    </x:row>
    <x:row r="44">
      <x:c r="A44" s="75" t="str">
        <x:v>FA-0039</x:v>
      </x:c>
      <x:c r="B44" s="58" t="str">
        <x:v>소프트웨어</x:v>
      </x:c>
      <x:c r="C44" s="105" t="n">
        <x:v>45748</x:v>
      </x:c>
      <x:c r="D44" s="115" t="n">
        <x:v>20960000</x:v>
      </x:c>
      <x:c r="E44" s="116" t="n">
        <x:v>72</x:v>
      </x:c>
      <x:c r="F44" s="117" t="n">
        <x:f>MIN(E44,MAX(0,DATEDIF(C44,'설정'!$B$6,"m")))</x:f>
        <x:v>16</x:v>
      </x:c>
      <x:c r="G44" s="118" t="n">
        <x:f>D44/E44</x:f>
        <x:v>291111.1111111111</x:v>
      </x:c>
      <x:c r="H44" s="118" t="n">
        <x:f>MIN(D44,F44*G44)</x:f>
        <x:v>4657777.777777778</x:v>
      </x:c>
      <x:c r="I44" s="119" t="n">
        <x:f>MAX(0,D44-H44)</x:f>
        <x:v>16302222.222222222</x:v>
      </x:c>
    </x:row>
    <x:row r="45">
      <x:c r="A45" s="75" t="str">
        <x:v>FA-0040</x:v>
      </x:c>
      <x:c r="B45" s="58" t="str">
        <x:v>기계장치</x:v>
      </x:c>
      <x:c r="C45" s="105" t="n">
        <x:v>44682</x:v>
      </x:c>
      <x:c r="D45" s="115" t="n">
        <x:v>8670000</x:v>
      </x:c>
      <x:c r="E45" s="116" t="n">
        <x:v>36</x:v>
      </x:c>
      <x:c r="F45" s="117" t="n">
        <x:f>MIN(E45,MAX(0,DATEDIF(C45,'설정'!$B$6,"m")))</x:f>
        <x:v>36</x:v>
      </x:c>
      <x:c r="G45" s="118" t="n">
        <x:f>D45/E45</x:f>
        <x:v>240833.33333333334</x:v>
      </x:c>
      <x:c r="H45" s="118" t="n">
        <x:f>MIN(D45,F45*G45)</x:f>
        <x:v>8670000</x:v>
      </x:c>
      <x:c r="I45" s="119" t="n">
        <x:f>MAX(0,D45-H45)</x:f>
        <x:v>0</x:v>
      </x:c>
    </x:row>
    <x:row r="46">
      <x:c r="A46" s="75" t="str">
        <x:v>FA-0041</x:v>
      </x:c>
      <x:c r="B46" s="58" t="str">
        <x:v>차량운반구</x:v>
      </x:c>
      <x:c r="C46" s="105" t="n">
        <x:v>45078</x:v>
      </x:c>
      <x:c r="D46" s="115" t="n">
        <x:v>11490000</x:v>
      </x:c>
      <x:c r="E46" s="116" t="n">
        <x:v>48</x:v>
      </x:c>
      <x:c r="F46" s="117"/>
      <x:c r="G46" s="118" t="n">
        <x:f>D46/E46</x:f>
        <x:v>239375</x:v>
      </x:c>
      <x:c r="H46" s="118" t="n">
        <x:f>MIN(D46,F46*G46)</x:f>
        <x:v>0</x:v>
      </x:c>
      <x:c r="I46" s="119" t="n">
        <x:f>MAX(0,D46-H46)</x:f>
        <x:v>11490000</x:v>
      </x:c>
    </x:row>
    <x:row r="47">
      <x:c r="A47" s="75" t="str">
        <x:v>FA-0042</x:v>
      </x:c>
      <x:c r="B47" s="58" t="str">
        <x:v>비품</x:v>
      </x:c>
      <x:c r="C47" s="105" t="n">
        <x:v>45474</x:v>
      </x:c>
      <x:c r="D47" s="115" t="n">
        <x:v>24710000</x:v>
      </x:c>
      <x:c r="E47" s="116" t="n">
        <x:v>60</x:v>
      </x:c>
      <x:c r="F47" s="117" t="n">
        <x:f>MIN(E47,MAX(0,DATEDIF(C47,'설정'!$B$6,"m")))</x:f>
        <x:v>25</x:v>
      </x:c>
      <x:c r="G47" s="118" t="n">
        <x:f>D47/E47</x:f>
        <x:v>411833.3333333333</x:v>
      </x:c>
      <x:c r="H47" s="118" t="n">
        <x:f>MIN(D47,F47*G47)</x:f>
        <x:v>10295833.333333332</x:v>
      </x:c>
      <x:c r="I47" s="119" t="n">
        <x:f>MAX(0,D47-H47)</x:f>
        <x:v>14414166.666666668</x:v>
      </x:c>
    </x:row>
    <x:row r="48">
      <x:c r="A48" s="75" t="str">
        <x:v>FA-0043</x:v>
      </x:c>
      <x:c r="B48" s="58" t="str">
        <x:v>소프트웨어</x:v>
      </x:c>
      <x:c r="C48" s="105" t="n">
        <x:v>45870</x:v>
      </x:c>
      <x:c r="D48" s="115" t="n">
        <x:v>5190000</x:v>
      </x:c>
      <x:c r="E48" s="116" t="n">
        <x:v>72</x:v>
      </x:c>
      <x:c r="F48" s="117" t="n">
        <x:f>MIN(E48,MAX(0,DATEDIF(C48,'설정'!$B$6,"m")))</x:f>
        <x:v>12</x:v>
      </x:c>
      <x:c r="G48" s="118" t="n">
        <x:f>D48/E48</x:f>
        <x:v>72083.33333333333</x:v>
      </x:c>
      <x:c r="H48" s="118" t="n">
        <x:f>MIN(D48,F48*G48)</x:f>
        <x:v>865000</x:v>
      </x:c>
      <x:c r="I48" s="119" t="n">
        <x:f>MAX(0,D48-H48)</x:f>
        <x:v>4325000</x:v>
      </x:c>
    </x:row>
    <x:row r="49">
      <x:c r="A49" s="75" t="str">
        <x:v>FA-0044</x:v>
      </x:c>
      <x:c r="B49" s="58" t="str">
        <x:v>기계장치</x:v>
      </x:c>
      <x:c r="C49" s="105" t="n">
        <x:v>44805</x:v>
      </x:c>
      <x:c r="D49" s="115" t="n">
        <x:v>19610000</x:v>
      </x:c>
      <x:c r="E49" s="116" t="n">
        <x:v>36</x:v>
      </x:c>
      <x:c r="F49" s="117" t="n">
        <x:f>MIN(E49,MAX(0,DATEDIF(C49,'설정'!$B$6,"m")))</x:f>
        <x:v>36</x:v>
      </x:c>
      <x:c r="G49" s="118" t="n">
        <x:f>D49/E49</x:f>
        <x:v>544722.2222222222</x:v>
      </x:c>
      <x:c r="H49" s="118" t="n">
        <x:f>MIN(D49,F49*G49)</x:f>
        <x:v>19610000</x:v>
      </x:c>
      <x:c r="I49" s="119" t="n">
        <x:f>MAX(0,D49-H49)</x:f>
        <x:v>0</x:v>
      </x:c>
    </x:row>
    <x:row r="50">
      <x:c r="A50" s="75" t="str">
        <x:v>FA-0045</x:v>
      </x:c>
      <x:c r="B50" s="58" t="str">
        <x:v>차량운반구</x:v>
      </x:c>
      <x:c r="C50" s="105" t="n">
        <x:v>45200</x:v>
      </x:c>
      <x:c r="D50" s="115" t="n">
        <x:v>15780000</x:v>
      </x:c>
      <x:c r="E50" s="116" t="n">
        <x:v>48</x:v>
      </x:c>
      <x:c r="F50" s="117" t="n">
        <x:f>MIN(E50,MAX(0,DATEDIF(C50,'설정'!$B$6,"m")))</x:f>
        <x:v>34</x:v>
      </x:c>
      <x:c r="G50" s="118" t="n">
        <x:f>D50/E50</x:f>
        <x:v>328750</x:v>
      </x:c>
      <x:c r="H50" s="118" t="n">
        <x:f>MIN(D50,F50*G50)</x:f>
        <x:v>11177500</x:v>
      </x:c>
      <x:c r="I50" s="119" t="n">
        <x:f>MAX(0,D50-H50)</x:f>
        <x:v>4602500</x:v>
      </x:c>
    </x:row>
    <x:row r="51">
      <x:c r="A51" s="75" t="str">
        <x:v>FA-0046</x:v>
      </x:c>
      <x:c r="B51" s="58" t="str">
        <x:v>비품</x:v>
      </x:c>
      <x:c r="C51" s="105" t="n">
        <x:v>45597</x:v>
      </x:c>
      <x:c r="D51" s="115" t="n">
        <x:v>15810000</x:v>
      </x:c>
      <x:c r="E51" s="116" t="n">
        <x:v>60</x:v>
      </x:c>
      <x:c r="F51" s="117" t="n">
        <x:f>MIN(E51,MAX(0,DATEDIF(C51,'설정'!$B$6,"m")))</x:f>
        <x:v>21</x:v>
      </x:c>
      <x:c r="G51" s="118" t="n">
        <x:f>D51/E51</x:f>
        <x:v>263500</x:v>
      </x:c>
      <x:c r="H51" s="118" t="n">
        <x:f>MIN(D51,F51*G51)</x:f>
        <x:v>5533500</x:v>
      </x:c>
      <x:c r="I51" s="119" t="n">
        <x:f>MAX(0,D51-H51)</x:f>
        <x:v>10276500</x:v>
      </x:c>
    </x:row>
    <x:row r="52">
      <x:c r="A52" s="75" t="str">
        <x:v>FA-0047</x:v>
      </x:c>
      <x:c r="B52" s="58" t="str">
        <x:v>소프트웨어</x:v>
      </x:c>
      <x:c r="C52" s="105" t="n">
        <x:v>45992</x:v>
      </x:c>
      <x:c r="D52" s="115" t="n">
        <x:v>4830000</x:v>
      </x:c>
      <x:c r="E52" s="116" t="n">
        <x:v>72</x:v>
      </x:c>
      <x:c r="F52" s="117" t="n">
        <x:f>MIN(E52,MAX(0,DATEDIF(C52,'설정'!$B$6,"m")))</x:f>
        <x:v>8</x:v>
      </x:c>
      <x:c r="G52" s="118" t="n">
        <x:f>D52/E52</x:f>
        <x:v>67083.33333333333</x:v>
      </x:c>
      <x:c r="H52" s="118" t="n">
        <x:f>MIN(D52,F52*G52)</x:f>
        <x:v>536666.6666666666</x:v>
      </x:c>
      <x:c r="I52" s="119" t="n">
        <x:f>MAX(0,D52-H52)</x:f>
        <x:v>4293333.333333333</x:v>
      </x:c>
    </x:row>
    <x:row r="53">
      <x:c r="A53" s="75" t="str">
        <x:v>FA-0048</x:v>
      </x:c>
      <x:c r="B53" s="58" t="str">
        <x:v>기계장치</x:v>
      </x:c>
      <x:c r="C53" s="105" t="n">
        <x:v>44562</x:v>
      </x:c>
      <x:c r="D53" s="115" t="n">
        <x:v>3210000</x:v>
      </x:c>
      <x:c r="E53" s="116" t="n">
        <x:v>36</x:v>
      </x:c>
      <x:c r="F53" s="117" t="n">
        <x:f>MIN(E53,MAX(0,DATEDIF(C53,'설정'!$B$6,"m")))</x:f>
        <x:v>36</x:v>
      </x:c>
      <x:c r="G53" s="118" t="n">
        <x:f>D53/E53</x:f>
        <x:v>89166.66666666667</x:v>
      </x:c>
      <x:c r="H53" s="118" t="n">
        <x:f>MIN(D53,F53*G53)</x:f>
        <x:v>3210000</x:v>
      </x:c>
      <x:c r="I53" s="119" t="n">
        <x:f>MAX(0,D53-H53)</x:f>
        <x:v>0</x:v>
      </x:c>
    </x:row>
    <x:row r="54">
      <x:c r="A54" s="75" t="str">
        <x:v>FA-0049</x:v>
      </x:c>
      <x:c r="B54" s="58" t="str">
        <x:v>차량운반구</x:v>
      </x:c>
      <x:c r="C54" s="105" t="n">
        <x:v>44958</x:v>
      </x:c>
      <x:c r="D54" s="115" t="n">
        <x:v>20260000</x:v>
      </x:c>
      <x:c r="E54" s="116" t="n">
        <x:v>48</x:v>
      </x:c>
      <x:c r="F54" s="117" t="n">
        <x:f>MIN(E54,MAX(0,DATEDIF(C54,'설정'!$B$6,"m")))</x:f>
        <x:v>42</x:v>
      </x:c>
      <x:c r="G54" s="118" t="n">
        <x:f>D54/E54</x:f>
        <x:v>422083.3333333333</x:v>
      </x:c>
      <x:c r="H54" s="118" t="n">
        <x:f>MIN(D54,F54*G54)</x:f>
        <x:v>17727500</x:v>
      </x:c>
      <x:c r="I54" s="119" t="n">
        <x:f>MAX(0,D54-H54)</x:f>
        <x:v>2532500</x:v>
      </x:c>
    </x:row>
    <x:row r="55">
      <x:c r="A55" s="77" t="str">
        <x:v>FA-0050</x:v>
      </x:c>
      <x:c r="B55" s="78" t="str">
        <x:v>비품</x:v>
      </x:c>
      <x:c r="C55" s="106" t="n">
        <x:v>45352</x:v>
      </x:c>
      <x:c r="D55" s="120" t="n">
        <x:v>18290000</x:v>
      </x:c>
      <x:c r="E55" s="121" t="n">
        <x:v>60</x:v>
      </x:c>
      <x:c r="F55" s="122" t="n">
        <x:f>MIN(E55,MAX(0,DATEDIF(C55,'설정'!$B$6,"m")))</x:f>
        <x:v>29</x:v>
      </x:c>
      <x:c r="G55" s="123" t="n">
        <x:f>D55/E55</x:f>
        <x:v>304833.3333333333</x:v>
      </x:c>
      <x:c r="H55" s="123" t="n">
        <x:f>MIN(D55,F55*G55)</x:f>
        <x:v>8840166.666666666</x:v>
      </x:c>
      <x:c r="I55" s="124" t="n">
        <x:f>MAX(0,D55-H55)</x:f>
        <x:v>9449833.333333334</x:v>
      </x:c>
    </x:row>
    <x:row r="56">
      <x:c r="A56" s="146" t="str">
        <x:v>소계</x:v>
      </x:c>
      <x:c r="B56" s="147" t="str"/>
      <x:c r="C56" s="147" t="str"/>
      <x:c r="D56" s="148" t="n">
        <x:f>SUM(D6:D55)</x:f>
        <x:v>715680000</x:v>
      </x:c>
      <x:c r="E56" s="148" t="str"/>
      <x:c r="F56" s="148" t="str"/>
      <x:c r="G56" s="148" t="str"/>
      <x:c r="H56" s="148" t="n">
        <x:f>SUM(H6:H55)</x:f>
        <x:v>406650527.77777785</x:v>
      </x:c>
      <x:c r="I56" s="149" t="n">
        <x:f>SUM(I6:I55)</x:f>
        <x:v>309353472.2222222</x:v>
      </x:c>
    </x:row>
    <x:row r="57">
      <x:c r="A57" s="162" t="str">
        <x:v>처분조정</x:v>
      </x:c>
      <x:c r="B57" s="163" t="str"/>
      <x:c r="C57" s="163" t="str"/>
      <x:c r="D57" s="164" t="n">
        <x:v>-3000000</x:v>
      </x:c>
      <x:c r="E57" s="164" t="str"/>
      <x:c r="F57" s="164" t="str"/>
      <x:c r="G57" s="164" t="str"/>
      <x:c r="H57" s="164" t="n">
        <x:v>-2400000</x:v>
      </x:c>
      <x:c r="I57" s="165" t="n">
        <x:v>-600000</x:v>
      </x:c>
    </x:row>
    <x:row r="58">
      <x:c r="A58" s="146" t="str">
        <x:v>합계</x:v>
      </x:c>
      <x:c r="B58" s="147" t="str"/>
      <x:c r="C58" s="147" t="str"/>
      <x:c r="D58" s="148" t="n">
        <x:f>D56+D57</x:f>
        <x:v>712680000</x:v>
      </x:c>
      <x:c r="E58" s="148" t="str"/>
      <x:c r="F58" s="148" t="str"/>
      <x:c r="G58" s="148" t="str"/>
      <x:c r="H58" s="148" t="n">
        <x:f>H56+H57</x:f>
        <x:v>404250527.77777785</x:v>
      </x:c>
      <x:c r="I58" s="149" t="n">
        <x:f>I56+I57</x:f>
        <x:v>308753472.2222222</x:v>
      </x:c>
    </x:row>
  </x:sheetData>
  <x:mergeCells>
    <x:mergeCell ref="A1:I1"/>
    <x:mergeCell ref="A2:I2"/>
    <x:mergeCell ref="A3:I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17" hidden="0" customWidth="1"/>
  </x:cols>
  <x:sheetData>
    <x:row r="1" ht="30" customHeight="1">
      <x:c r="A1" s="5" t="str">
        <x:v>자산분류별 요약</x:v>
      </x:c>
      <x:c r="B1" s="5"/>
      <x:c r="C1" s="5"/>
      <x:c r="D1" s="5"/>
    </x:row>
    <x:row r="2" ht="24" customHeight="1">
      <x:c r="A2" s="12" t="str">
        <x:v>분류별 취득가액·누계상각·장부가액</x:v>
      </x:c>
      <x:c r="B2" s="12"/>
      <x:c r="C2" s="12"/>
      <x:c r="D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</x:row>
    <x:row r="5" ht="28" customHeight="1">
      <x:c r="A5" s="30" t="str">
        <x:v>자산분류</x:v>
      </x:c>
      <x:c r="B5" s="67" t="str">
        <x:v>취득가액</x:v>
      </x:c>
      <x:c r="C5" s="67" t="str">
        <x:v>누계상각</x:v>
      </x:c>
      <x:c r="D5" s="31" t="str">
        <x:v>장부가액</x:v>
      </x:c>
    </x:row>
    <x:row r="6">
      <x:c r="A6" s="174" t="str">
        <x:v>기계장치</x:v>
      </x:c>
      <x:c r="B6" s="112" t="n">
        <x:f>SUMIF('자산대장'!$B$6:$B$55,A6,'자산대장'!$D$6:$D$55)</x:f>
        <x:v>137080000</x:v>
      </x:c>
      <x:c r="C6" s="113" t="n">
        <x:f>SUMIF('자산대장'!$B$6:$B$55,A6,'자산대장'!$H$6:$H$55)</x:f>
        <x:v>137080000</x:v>
      </x:c>
      <x:c r="D6" s="114" t="n">
        <x:f>SUMIF('자산대장'!$B$6:$B$55,A6,'자산대장'!$I$6:$I$55)</x:f>
        <x:v>0</x:v>
      </x:c>
    </x:row>
    <x:row r="7">
      <x:c r="A7" s="175" t="str">
        <x:v>차량운반구</x:v>
      </x:c>
      <x:c r="B7" s="117" t="n">
        <x:f>SUMIF('자산대장'!$B$6:$B$55,A7,'자산대장'!$D$6:$D$55)</x:f>
        <x:v>198490000</x:v>
      </x:c>
      <x:c r="C7" s="118" t="n">
        <x:f>SUMIF('자산대장'!$B$6:$B$55,A7,'자산대장'!$H$6:$H$55)</x:f>
        <x:v>151222500</x:v>
      </x:c>
      <x:c r="D7" s="119" t="n">
        <x:f>SUMIF('자산대장'!$B$6:$B$55,A7,'자산대장'!$I$6:$I$55)</x:f>
        <x:v>47267500</x:v>
      </x:c>
    </x:row>
    <x:row r="8">
      <x:c r="A8" s="175" t="str">
        <x:v>비품</x:v>
      </x:c>
      <x:c r="B8" s="117" t="n">
        <x:f>SUMIF('자산대장'!$B$6:$B$55,A8,'자산대장'!$D$6:$D$55)</x:f>
        <x:v>198990000</x:v>
      </x:c>
      <x:c r="C8" s="118" t="n">
        <x:f>SUMIF('자산대장'!$B$6:$B$55,A8,'자산대장'!$H$6:$H$55)</x:f>
        <x:v>84286500</x:v>
      </x:c>
      <x:c r="D8" s="119" t="n">
        <x:f>SUMIF('자산대장'!$B$6:$B$55,A8,'자산대장'!$I$6:$I$55)</x:f>
        <x:v>115027500</x:v>
      </x:c>
    </x:row>
    <x:row r="9">
      <x:c r="A9" s="176" t="str">
        <x:v>소프트웨어</x:v>
      </x:c>
      <x:c r="B9" s="122" t="n">
        <x:f>SUMIF('자산대장'!$B$6:$B$55,A9,'자산대장'!$D$6:$D$55)</x:f>
        <x:v>181120000</x:v>
      </x:c>
      <x:c r="C9" s="123" t="n">
        <x:f>SUMIF('자산대장'!$B$6:$B$55,A9,'자산대장'!$H$6:$H$55)</x:f>
        <x:v>34061527.777777776</x:v>
      </x:c>
      <x:c r="D9" s="124" t="n">
        <x:f>SUMIF('자산대장'!$B$6:$B$55,A9,'자산대장'!$I$6:$I$55)</x:f>
        <x:v>147058472.2222222</x:v>
      </x:c>
    </x:row>
  </x:sheetData>
  <x:mergeCells>
    <x:mergeCell ref="A1:D1"/>
    <x:mergeCell ref="A2:D2"/>
    <x:mergeCell ref="A3:D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5" t="str">
        <x:v>고정자산 KPI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총 취득가액·누계상각·장부가액</x:v>
      </x:c>
      <x:c r="B2" s="12"/>
      <x:c r="C2" s="12"/>
      <x:c r="D2" s="12"/>
      <x:c r="E2" s="12"/>
      <x:c r="F2" s="12"/>
      <x:c r="G2" s="12"/>
      <x:c r="H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</x:row>
    <x:row r="5">
      <x:c r="A5" s="181" t="str">
        <x:v>총 취득가액</x:v>
      </x:c>
      <x:c r="B5" s="181"/>
      <x:c r="C5" s="181" t="str">
        <x:v>누계상각</x:v>
      </x:c>
      <x:c r="D5" s="181"/>
      <x:c r="E5" s="181" t="str">
        <x:v>장부가액</x:v>
      </x:c>
      <x:c r="F5" s="181"/>
      <x:c r="G5" s="181" t="str">
        <x:v>자산건수</x:v>
      </x:c>
      <x:c r="H5" s="181"/>
    </x:row>
    <x:row r="6">
      <x:c r="A6" s="186" t="n">
        <x:f>'자산대장'!D58</x:f>
        <x:v>712680000</x:v>
      </x:c>
      <x:c r="B6" s="186"/>
      <x:c r="C6" s="186" t="n">
        <x:f>'자산대장'!H58</x:f>
        <x:v>404250527.77777785</x:v>
      </x:c>
      <x:c r="D6" s="186"/>
      <x:c r="E6" s="186" t="n">
        <x:f>'자산대장'!I58</x:f>
        <x:v>308753472.2222222</x:v>
      </x:c>
      <x:c r="F6" s="186"/>
      <x:c r="G6" s="186" t="n">
        <x:f>COUNTA('자산대장'!A6:A55)</x:f>
        <x:v>50</x:v>
      </x:c>
      <x:c r="H6" s="186"/>
    </x:row>
    <x:row r="7">
      <x:c r="A7" s="186"/>
      <x:c r="B7" s="186"/>
      <x:c r="C7" s="186"/>
      <x:c r="D7" s="186"/>
      <x:c r="E7" s="186"/>
      <x:c r="F7" s="186"/>
      <x:c r="G7" s="186"/>
      <x:c r="H7" s="186"/>
    </x:row>
  </x:sheetData>
  <x:mergeCells>
    <x:mergeCell ref="A1:H1"/>
    <x:mergeCell ref="A2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</x:mergeCells>
  <x:pageMargins left="0.7" right="0.7" top="0.75" bottom="0.75" header="0.3" footer="0.3"/>
</x:worksheet>
</file>