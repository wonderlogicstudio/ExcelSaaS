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5a376edc644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1d101b6178ad46b1"/>
    <x:sheet xmlns:r="http://schemas.openxmlformats.org/officeDocument/2006/relationships" name="설정" sheetId="2" r:id="R30a05f43625f4b80"/>
    <x:sheet xmlns:r="http://schemas.openxmlformats.org/officeDocument/2006/relationships" name="직원" sheetId="3" r:id="Rac099100fc4b45c8"/>
    <x:sheet xmlns:r="http://schemas.openxmlformats.org/officeDocument/2006/relationships" name="근태내역" sheetId="4" r:id="R048cf13f1c114a9b"/>
    <x:sheet xmlns:r="http://schemas.openxmlformats.org/officeDocument/2006/relationships" name="정산" sheetId="5" r:id="R82d939cdb1e14986"/>
    <x:sheet xmlns:r="http://schemas.openxmlformats.org/officeDocument/2006/relationships" name="요약" sheetId="6" r:id="R5489877adb6649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9C0006"/>
      <x:name val="Carlito"/>
    </x:font>
    <x:font>
      <x:b/>
      <x:sz val="11"/>
      <x:color rgb="FF595959"/>
      <x:name val="Carlito"/>
    </x:font>
    <x:font>
      <x:b/>
      <x:sz val="15"/>
      <x:color rgb="FF17365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4D6"/>
      </x:patternFill>
    </x:fill>
  </x:fills>
  <x:borders count="38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  <x:bottom style="hair">
        <x:color rgb="FFD9D9D9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</x:borders>
  <x:cellStyleXfs count="1">
    <x:xf numFmtId="0" fontId="0" fillId="0" borderId="0"/>
  </x:cellStyleXfs>
  <x:cellXfs count="1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6" xfId="0" applyNumberFormat="1" applyFont="1" applyFill="1" applyBorder="1"/>
    <x:xf numFmtId="0" fontId="0" fillId="8" borderId="1" xfId="0" applyNumberFormat="1" applyFont="1" applyFill="1" applyBorder="1"/>
    <x:xf numFmtId="0" fontId="0" fillId="8" borderId="7" xfId="0" applyNumberFormat="1" applyFont="1" applyFill="1" applyBorder="1"/>
    <x:xf numFmtId="200" fontId="0" fillId="8" borderId="6" xfId="0" applyNumberFormat="1" applyFont="1" applyFill="1" applyBorder="1"/>
    <x:xf numFmtId="200" fontId="0" fillId="8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/>
    <x:xf numFmtId="0" fontId="4" fillId="5" borderId="9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0" fontId="0" fillId="8" borderId="24" xfId="0" applyNumberFormat="1" applyFont="1" applyFill="1" applyBorder="1"/>
    <x:xf numFmtId="0" fontId="0" fillId="8" borderId="25" xfId="0" applyNumberFormat="1" applyFont="1" applyFill="1" applyBorder="1"/>
    <x:xf numFmtId="200" fontId="0" fillId="8" borderId="11" xfId="0" applyNumberFormat="1" applyFont="1" applyFill="1" applyBorder="1"/>
    <x:xf numFmtId="200" fontId="0" fillId="8" borderId="0" xfId="0" applyNumberFormat="1" applyFont="1" applyFill="1" applyBorder="1"/>
    <x:xf numFmtId="200" fontId="0" fillId="8" borderId="16" xfId="0" applyNumberFormat="1" applyFont="1" applyFill="1" applyBorder="1"/>
    <x:xf numFmtId="200" fontId="0" fillId="8" borderId="19" xfId="0" applyNumberFormat="1" applyFont="1" applyFill="1" applyBorder="1"/>
    <x:xf numFmtId="200" fontId="0" fillId="8" borderId="1" xfId="0" applyNumberFormat="1" applyFont="1" applyFill="1" applyBorder="1"/>
    <x:xf numFmtId="200" fontId="0" fillId="8" borderId="24" xfId="0" applyNumberFormat="1" applyFont="1" applyFill="1" applyBorder="1"/>
    <x:xf numFmtId="201" fontId="0" fillId="8" borderId="12" xfId="0" applyNumberFormat="1" applyFont="1" applyFill="1" applyBorder="1"/>
    <x:xf numFmtId="201" fontId="0" fillId="8" borderId="14" xfId="0" applyNumberFormat="1" applyFont="1" applyFill="1" applyBorder="1"/>
    <x:xf numFmtId="201" fontId="0" fillId="8" borderId="17" xfId="0" applyNumberFormat="1" applyFont="1" applyFill="1" applyBorder="1"/>
    <x:xf numFmtId="201" fontId="0" fillId="8" borderId="20" xfId="0" applyNumberFormat="1" applyFont="1" applyFill="1" applyBorder="1"/>
    <x:xf numFmtId="201" fontId="0" fillId="8" borderId="22" xfId="0" applyNumberFormat="1" applyFont="1" applyFill="1" applyBorder="1"/>
    <x:xf numFmtId="201" fontId="0" fillId="8" borderId="25" xfId="0" applyNumberFormat="1" applyFont="1" applyFill="1" applyBorder="1"/>
    <x:xf numFmtId="200" fontId="0" fillId="8" borderId="10" xfId="0" applyNumberFormat="1" applyFont="1" applyFill="1" applyBorder="1"/>
    <x:xf numFmtId="200" fontId="0" fillId="8" borderId="13" xfId="0" applyNumberFormat="1" applyFont="1" applyFill="1" applyBorder="1"/>
    <x:xf numFmtId="200" fontId="0" fillId="8" borderId="15" xfId="0" applyNumberFormat="1" applyFont="1" applyFill="1" applyBorder="1"/>
    <x:xf numFmtId="200" fontId="0" fillId="8" borderId="18" xfId="0" applyNumberFormat="1" applyFont="1" applyFill="1" applyBorder="1"/>
    <x:xf numFmtId="200" fontId="0" fillId="8" borderId="21" xfId="0" applyNumberFormat="1" applyFont="1" applyFill="1" applyBorder="1"/>
    <x:xf numFmtId="200" fontId="0" fillId="8" borderId="23" xfId="0" applyNumberFormat="1" applyFont="1" applyFill="1" applyBorder="1"/>
    <x:xf numFmtId="202" fontId="0" fillId="8" borderId="11" xfId="0" applyNumberFormat="1" applyFont="1" applyFill="1" applyBorder="1"/>
    <x:xf numFmtId="202" fontId="0" fillId="8" borderId="0" xfId="0" applyNumberFormat="1" applyFont="1" applyFill="1" applyBorder="1"/>
    <x:xf numFmtId="202" fontId="0" fillId="8" borderId="16" xfId="0" applyNumberFormat="1" applyFont="1" applyFill="1" applyBorder="1"/>
    <x:xf numFmtId="202" fontId="0" fillId="8" borderId="19" xfId="0" applyNumberFormat="1" applyFont="1" applyFill="1" applyBorder="1"/>
    <x:xf numFmtId="202" fontId="0" fillId="8" borderId="1" xfId="0" applyNumberFormat="1" applyFont="1" applyFill="1" applyBorder="1"/>
    <x:xf numFmtId="202" fontId="0" fillId="8" borderId="24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0" fontId="0" fillId="7" borderId="24" xfId="0" applyNumberFormat="1" applyFont="1" applyFill="1" applyBorder="1"/>
    <x:xf numFmtId="0" fontId="0" fillId="7" borderId="25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7" borderId="10" xfId="0" applyNumberFormat="1" applyFont="1" applyFill="1" applyBorder="1"/>
    <x:xf numFmtId="202" fontId="0" fillId="7" borderId="11" xfId="0" applyNumberFormat="1" applyFont="1" applyFill="1" applyBorder="1"/>
    <x:xf numFmtId="202" fontId="0" fillId="7" borderId="13" xfId="0" applyNumberFormat="1" applyFont="1" applyFill="1" applyBorder="1"/>
    <x:xf numFmtId="202" fontId="0" fillId="7" borderId="0" xfId="0" applyNumberFormat="1" applyFont="1" applyFill="1" applyBorder="1"/>
    <x:xf numFmtId="202" fontId="0" fillId="7" borderId="15" xfId="0" applyNumberFormat="1" applyFont="1" applyFill="1" applyBorder="1"/>
    <x:xf numFmtId="202" fontId="0" fillId="7" borderId="16" xfId="0" applyNumberFormat="1" applyFont="1" applyFill="1" applyBorder="1"/>
    <x:xf numFmtId="202" fontId="0" fillId="7" borderId="18" xfId="0" applyNumberFormat="1" applyFont="1" applyFill="1" applyBorder="1"/>
    <x:xf numFmtId="202" fontId="0" fillId="7" borderId="19" xfId="0" applyNumberFormat="1" applyFont="1" applyFill="1" applyBorder="1"/>
    <x:xf numFmtId="202" fontId="0" fillId="7" borderId="21" xfId="0" applyNumberFormat="1" applyFont="1" applyFill="1" applyBorder="1"/>
    <x:xf numFmtId="202" fontId="0" fillId="7" borderId="1" xfId="0" applyNumberFormat="1" applyFont="1" applyFill="1" applyBorder="1"/>
    <x:xf numFmtId="202" fontId="0" fillId="7" borderId="23" xfId="0" applyNumberFormat="1" applyFont="1" applyFill="1" applyBorder="1"/>
    <x:xf numFmtId="202" fontId="0" fillId="7" borderId="24" xfId="0" applyNumberFormat="1" applyFont="1" applyFill="1" applyBorder="1"/>
    <x:xf numFmtId="201" fontId="0" fillId="7" borderId="11" xfId="0" applyNumberFormat="1" applyFont="1" applyFill="1" applyBorder="1"/>
    <x:xf numFmtId="201" fontId="0" fillId="7" borderId="12" xfId="0" applyNumberFormat="1" applyFont="1" applyFill="1" applyBorder="1"/>
    <x:xf numFmtId="201" fontId="0" fillId="7" borderId="0" xfId="0" applyNumberFormat="1" applyFont="1" applyFill="1" applyBorder="1"/>
    <x:xf numFmtId="201" fontId="0" fillId="7" borderId="14" xfId="0" applyNumberFormat="1" applyFont="1" applyFill="1" applyBorder="1"/>
    <x:xf numFmtId="201" fontId="0" fillId="7" borderId="16" xfId="0" applyNumberFormat="1" applyFont="1" applyFill="1" applyBorder="1"/>
    <x:xf numFmtId="201" fontId="0" fillId="7" borderId="17" xfId="0" applyNumberFormat="1" applyFont="1" applyFill="1" applyBorder="1"/>
    <x:xf numFmtId="201" fontId="0" fillId="7" borderId="19" xfId="0" applyNumberFormat="1" applyFont="1" applyFill="1" applyBorder="1"/>
    <x:xf numFmtId="201" fontId="0" fillId="7" borderId="20" xfId="0" applyNumberFormat="1" applyFont="1" applyFill="1" applyBorder="1"/>
    <x:xf numFmtId="201" fontId="0" fillId="7" borderId="1" xfId="0" applyNumberFormat="1" applyFont="1" applyFill="1" applyBorder="1"/>
    <x:xf numFmtId="201" fontId="0" fillId="7" borderId="22" xfId="0" applyNumberFormat="1" applyFont="1" applyFill="1" applyBorder="1"/>
    <x:xf numFmtId="201" fontId="0" fillId="7" borderId="24" xfId="0" applyNumberFormat="1" applyFont="1" applyFill="1" applyBorder="1"/>
    <x:xf numFmtId="201" fontId="0" fillId="7" borderId="25" xfId="0" applyNumberFormat="1" applyFont="1" applyFill="1" applyBorder="1"/>
    <x:xf numFmtId="0" fontId="0" fillId="9" borderId="0" xfId="0" applyNumberFormat="1" applyFont="1" applyFill="1" applyBorder="1"/>
    <x:xf numFmtId="201" fontId="0" fillId="9" borderId="0" xfId="0" applyNumberFormat="1" applyFont="1" applyFill="1" applyBorder="1"/>
    <x:xf numFmtId="0" fontId="4" fillId="9" borderId="0" xfId="0" applyNumberFormat="1" applyFont="1" applyFill="1" applyBorder="1"/>
    <x:xf numFmtId="201" fontId="4" fillId="9" borderId="0" xfId="0" applyNumberFormat="1" applyFont="1" applyFill="1" applyBorder="1"/>
    <x:xf numFmtId="0" fontId="4" fillId="9" borderId="26" xfId="0" applyNumberFormat="1" applyFont="1" applyFill="1" applyBorder="1"/>
    <x:xf numFmtId="0" fontId="4" fillId="9" borderId="27" xfId="0" applyNumberFormat="1" applyFont="1" applyFill="1" applyBorder="1"/>
    <x:xf numFmtId="201" fontId="4" fillId="9" borderId="27" xfId="0" applyNumberFormat="1" applyFont="1" applyFill="1" applyBorder="1"/>
    <x:xf numFmtId="201" fontId="4" fillId="9" borderId="28" xfId="0" applyNumberFormat="1" applyFont="1" applyFill="1" applyBorder="1"/>
    <x:xf numFmtId="0" fontId="0" fillId="9" borderId="1" xfId="0" applyNumberFormat="1" applyFont="1" applyFill="1" applyBorder="1"/>
    <x:xf numFmtId="201" fontId="0" fillId="9" borderId="1" xfId="0" applyNumberFormat="1" applyFont="1" applyFill="1" applyBorder="1"/>
    <x:xf numFmtId="0" fontId="4" fillId="9" borderId="1" xfId="0" applyNumberFormat="1" applyFont="1" applyFill="1" applyBorder="1"/>
    <x:xf numFmtId="201" fontId="4" fillId="9" borderId="1" xfId="0" applyNumberFormat="1" applyFont="1" applyFill="1" applyBorder="1"/>
    <x:xf numFmtId="0" fontId="4" fillId="9" borderId="29" xfId="0" applyNumberFormat="1" applyFont="1" applyFill="1" applyBorder="1"/>
    <x:xf numFmtId="0" fontId="4" fillId="9" borderId="30" xfId="0" applyNumberFormat="1" applyFont="1" applyFill="1" applyBorder="1"/>
    <x:xf numFmtId="201" fontId="4" fillId="9" borderId="30" xfId="0" applyNumberFormat="1" applyFont="1" applyFill="1" applyBorder="1"/>
    <x:xf numFmtId="201" fontId="4" fillId="9" borderId="31" xfId="0" applyNumberFormat="1" applyFont="1" applyFill="1" applyBorder="1"/>
    <x:xf numFmtId="0" fontId="0" fillId="10" borderId="0" xfId="0" applyNumberFormat="1" applyFont="1" applyFill="1" applyBorder="1"/>
    <x:xf numFmtId="201" fontId="0" fillId="10" borderId="0" xfId="0" applyNumberFormat="1" applyFont="1" applyFill="1" applyBorder="1"/>
    <x:xf numFmtId="0" fontId="6" fillId="10" borderId="0" xfId="0" applyNumberFormat="1" applyFont="1" applyFill="1" applyBorder="1"/>
    <x:xf numFmtId="201" fontId="6" fillId="10" borderId="0" xfId="0" applyNumberFormat="1" applyFont="1" applyFill="1" applyBorder="1"/>
    <x:xf numFmtId="0" fontId="6" fillId="10" borderId="32" xfId="0" applyNumberFormat="1" applyFont="1" applyFill="1" applyBorder="1"/>
    <x:xf numFmtId="0" fontId="6" fillId="10" borderId="33" xfId="0" applyNumberFormat="1" applyFont="1" applyFill="1" applyBorder="1"/>
    <x:xf numFmtId="201" fontId="6" fillId="10" borderId="33" xfId="0" applyNumberFormat="1" applyFont="1" applyFill="1" applyBorder="1"/>
    <x:xf numFmtId="201" fontId="6" fillId="10" borderId="34" xfId="0" applyNumberFormat="1" applyFont="1" applyFill="1" applyBorder="1"/>
    <x:xf numFmtId="0" fontId="0" fillId="10" borderId="1" xfId="0" applyNumberFormat="1" applyFont="1" applyFill="1" applyBorder="1"/>
    <x:xf numFmtId="201" fontId="0" fillId="10" borderId="1" xfId="0" applyNumberFormat="1" applyFont="1" applyFill="1" applyBorder="1"/>
    <x:xf numFmtId="0" fontId="6" fillId="10" borderId="1" xfId="0" applyNumberFormat="1" applyFont="1" applyFill="1" applyBorder="1"/>
    <x:xf numFmtId="201" fontId="6" fillId="10" borderId="1" xfId="0" applyNumberFormat="1" applyFont="1" applyFill="1" applyBorder="1"/>
    <x:xf numFmtId="0" fontId="6" fillId="10" borderId="35" xfId="0" applyNumberFormat="1" applyFont="1" applyFill="1" applyBorder="1"/>
    <x:xf numFmtId="0" fontId="6" fillId="10" borderId="36" xfId="0" applyNumberFormat="1" applyFont="1" applyFill="1" applyBorder="1"/>
    <x:xf numFmtId="201" fontId="6" fillId="10" borderId="36" xfId="0" applyNumberFormat="1" applyFont="1" applyFill="1" applyBorder="1"/>
    <x:xf numFmtId="201" fontId="6" fillId="10" borderId="37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dbd10804e4ca9" /><Relationship Type="http://schemas.openxmlformats.org/officeDocument/2006/relationships/theme" Target="/xl/theme/theme1.xml" Id="R9fbc168cdef046ef" /><Relationship Type="http://schemas.openxmlformats.org/officeDocument/2006/relationships/sharedStrings" Target="/xl/sharedStrings.xml" Id="R974b5928662249df" /><Relationship Type="http://schemas.openxmlformats.org/officeDocument/2006/relationships/worksheet" Target="/xl/worksheets/sheet1.xml" Id="R1d101b6178ad46b1" /><Relationship Type="http://schemas.openxmlformats.org/officeDocument/2006/relationships/worksheet" Target="/xl/worksheets/sheet2.xml" Id="R30a05f43625f4b80" /><Relationship Type="http://schemas.openxmlformats.org/officeDocument/2006/relationships/worksheet" Target="/xl/worksheets/sheet3.xml" Id="Rac099100fc4b45c8" /><Relationship Type="http://schemas.openxmlformats.org/officeDocument/2006/relationships/worksheet" Target="/xl/worksheets/sheet4.xml" Id="R048cf13f1c114a9b" /><Relationship Type="http://schemas.openxmlformats.org/officeDocument/2006/relationships/worksheet" Target="/xl/worksheets/sheet5.xml" Id="R82d939cdb1e14986" /><Relationship Type="http://schemas.openxmlformats.org/officeDocument/2006/relationships/worksheet" Target="/xl/worksheets/sheet6.xml" Id="R5489877adb6649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</x:cols>
  <x:sheetData>
    <x:row r="1" ht="30" customHeight="1">
      <x:c r="A1" s="5" t="str">
        <x:v>근태·연차·초과근무 정산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직원별 연차 발생·사용·잔여와 초과근무시간·수당을 계산하는 합성 인사 샘플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1" t="str">
        <x:v>실제 회사·개인정보를 사용하지 않은 합성 업무 파일</x:v>
      </x:c>
    </x:row>
    <x:row r="7">
      <x:c r="A7" s="45" t="str">
        <x:v>검증 용도</x:v>
      </x:c>
      <x:c r="B7" s="51" t="str">
        <x:v>Calibration</x:v>
      </x:c>
    </x:row>
    <x:row r="8">
      <x:c r="A8" s="45" t="str">
        <x:v>핵심 검증</x:v>
      </x:c>
      <x:c r="B8" s="51" t="str">
        <x:v>잔여연차 함수 이탈, 초과근무시간 기준행 이탈, 초과근무수당 상수 덮어쓰기, 총지급액 빈 셀</x:v>
      </x:c>
    </x:row>
    <x:row r="9">
      <x:c r="A9" s="45" t="str">
        <x:v>사용 방법</x:v>
      </x:c>
      <x:c r="B9" s="51" t="str">
        <x:v>기본 무료 진단 후 M4 수식 패턴 정밀검사를 선택 실행</x:v>
      </x:c>
    </x:row>
    <x:row r="10">
      <x:c r="A10" s="45" t="str">
        <x:v>주의</x:v>
      </x:c>
      <x:c r="B10" s="51" t="str">
        <x:v>Finding은 업무 오류 확정이 아니라 사람이 확인할 이상 후보입니다.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5" t="str">
        <x:v>설정</x:v>
      </x:c>
      <x:c r="B13" s="50" t="str">
        <x:v>정산 기준일</x:v>
      </x:c>
    </x:row>
    <x:row r="14">
      <x:c r="A14" s="55" t="str">
        <x:v>직원</x:v>
      </x:c>
      <x:c r="B14" s="50" t="str">
        <x:v>입사일·기본급</x:v>
      </x:c>
    </x:row>
    <x:row r="15">
      <x:c r="A15" s="55" t="str">
        <x:v>근태내역</x:v>
      </x:c>
      <x:c r="B15" s="50" t="str">
        <x:v>연차·초과근무 입력</x:v>
      </x:c>
    </x:row>
    <x:row r="16">
      <x:c r="A16" s="55" t="str">
        <x:v>정산</x:v>
      </x:c>
      <x:c r="B16" s="50" t="str">
        <x:v>연차·수당 계산</x:v>
      </x:c>
    </x:row>
    <x:row r="17">
      <x:c r="A17" s="55" t="str">
        <x:v>요약</x:v>
      </x:c>
      <x:c r="B17" s="50" t="str">
        <x:v>근태 KPI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30" customHeight="1">
      <x:c r="A1" s="5" t="str">
        <x:v>근태 정산 설정</x:v>
      </x:c>
      <x:c r="B1" s="5"/>
      <x:c r="C1" s="5"/>
      <x:c r="D1" s="5"/>
    </x:row>
    <x:row r="2" ht="24" customHeight="1">
      <x:c r="A2" s="12" t="str">
        <x:v>연차 발생 기준일</x:v>
      </x:c>
      <x:c r="B2" s="12"/>
      <x:c r="C2" s="12"/>
      <x:c r="D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</x:row>
    <x:row r="5" ht="28" customHeight="1">
      <x:c r="A5" s="30" t="str">
        <x:v>항목</x:v>
      </x:c>
      <x:c r="B5" s="31" t="str">
        <x:v>값</x:v>
      </x:c>
    </x:row>
    <x:row r="6">
      <x:c r="A6" s="43" t="str">
        <x:v>기준일</x:v>
      </x:c>
      <x:c r="B6" s="62" t="n">
        <x:v>46265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2" hidden="0" customWidth="1"/>
    <x:col min="4" max="4" width="13" hidden="0" customWidth="1"/>
    <x:col min="5" max="5" width="16" hidden="0" customWidth="1"/>
  </x:cols>
  <x:sheetData>
    <x:row r="1" ht="30" customHeight="1">
      <x:c r="A1" s="5" t="str">
        <x:v>직원 마스터</x:v>
      </x:c>
      <x:c r="B1" s="5"/>
      <x:c r="C1" s="5"/>
      <x:c r="D1" s="5"/>
      <x:c r="E1" s="5"/>
    </x:row>
    <x:row r="2" ht="24" customHeight="1">
      <x:c r="A2" s="12" t="str">
        <x:v>실제 개인정보가 아닌 합성 직원 데이터</x:v>
      </x:c>
      <x:c r="B2" s="12"/>
      <x:c r="C2" s="12"/>
      <x:c r="D2" s="12"/>
      <x:c r="E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</x:row>
    <x:row r="5" ht="28" customHeight="1">
      <x:c r="A5" s="30" t="str">
        <x:v>사번</x:v>
      </x:c>
      <x:c r="B5" s="67" t="str">
        <x:v>성명</x:v>
      </x:c>
      <x:c r="C5" s="67" t="str">
        <x:v>부서</x:v>
      </x:c>
      <x:c r="D5" s="67" t="str">
        <x:v>입사일</x:v>
      </x:c>
      <x:c r="E5" s="31" t="str">
        <x:v>기본급</x:v>
      </x:c>
    </x:row>
    <x:row r="6">
      <x:c r="A6" s="72" t="str">
        <x:v>EMP-0001</x:v>
      </x:c>
      <x:c r="B6" s="73" t="str">
        <x:v>직원01</x:v>
      </x:c>
      <x:c r="C6" s="73" t="str">
        <x:v>영업</x:v>
      </x:c>
      <x:c r="D6" s="88" t="n">
        <x:v>43862</x:v>
      </x:c>
      <x:c r="E6" s="94" t="n">
        <x:v>2942000</x:v>
      </x:c>
    </x:row>
    <x:row r="7">
      <x:c r="A7" s="75" t="str">
        <x:v>EMP-0002</x:v>
      </x:c>
      <x:c r="B7" s="58" t="str">
        <x:v>직원02</x:v>
      </x:c>
      <x:c r="C7" s="58" t="str">
        <x:v>생산</x:v>
      </x:c>
      <x:c r="D7" s="89" t="n">
        <x:v>44256</x:v>
      </x:c>
      <x:c r="E7" s="95" t="n">
        <x:v>2984000</x:v>
      </x:c>
    </x:row>
    <x:row r="8">
      <x:c r="A8" s="75" t="str">
        <x:v>EMP-0003</x:v>
      </x:c>
      <x:c r="B8" s="58" t="str">
        <x:v>직원03</x:v>
      </x:c>
      <x:c r="C8" s="58" t="str">
        <x:v>IT</x:v>
      </x:c>
      <x:c r="D8" s="89" t="n">
        <x:v>44652</x:v>
      </x:c>
      <x:c r="E8" s="95" t="n">
        <x:v>3026000</x:v>
      </x:c>
    </x:row>
    <x:row r="9">
      <x:c r="A9" s="75" t="str">
        <x:v>EMP-0004</x:v>
      </x:c>
      <x:c r="B9" s="58" t="str">
        <x:v>직원04</x:v>
      </x:c>
      <x:c r="C9" s="58" t="str">
        <x:v>관리</x:v>
      </x:c>
      <x:c r="D9" s="89" t="n">
        <x:v>45047</x:v>
      </x:c>
      <x:c r="E9" s="95" t="n">
        <x:v>3068000</x:v>
      </x:c>
    </x:row>
    <x:row r="10">
      <x:c r="A10" s="75" t="str">
        <x:v>EMP-0005</x:v>
      </x:c>
      <x:c r="B10" s="58" t="str">
        <x:v>직원05</x:v>
      </x:c>
      <x:c r="C10" s="58" t="str">
        <x:v>재무</x:v>
      </x:c>
      <x:c r="D10" s="89" t="n">
        <x:v>45444</x:v>
      </x:c>
      <x:c r="E10" s="95" t="n">
        <x:v>3110000</x:v>
      </x:c>
    </x:row>
    <x:row r="11">
      <x:c r="A11" s="75" t="str">
        <x:v>EMP-0006</x:v>
      </x:c>
      <x:c r="B11" s="58" t="str">
        <x:v>직원06</x:v>
      </x:c>
      <x:c r="C11" s="58" t="str">
        <x:v>영업</x:v>
      </x:c>
      <x:c r="D11" s="89" t="n">
        <x:v>45839</x:v>
      </x:c>
      <x:c r="E11" s="95" t="n">
        <x:v>3152000</x:v>
      </x:c>
    </x:row>
    <x:row r="12">
      <x:c r="A12" s="75" t="str">
        <x:v>EMP-0007</x:v>
      </x:c>
      <x:c r="B12" s="58" t="str">
        <x:v>직원07</x:v>
      </x:c>
      <x:c r="C12" s="58" t="str">
        <x:v>생산</x:v>
      </x:c>
      <x:c r="D12" s="89" t="n">
        <x:v>43678</x:v>
      </x:c>
      <x:c r="E12" s="95" t="n">
        <x:v>3194000</x:v>
      </x:c>
    </x:row>
    <x:row r="13">
      <x:c r="A13" s="75" t="str">
        <x:v>EMP-0008</x:v>
      </x:c>
      <x:c r="B13" s="58" t="str">
        <x:v>직원08</x:v>
      </x:c>
      <x:c r="C13" s="58" t="str">
        <x:v>IT</x:v>
      </x:c>
      <x:c r="D13" s="89" t="n">
        <x:v>44075</x:v>
      </x:c>
      <x:c r="E13" s="95" t="n">
        <x:v>3236000</x:v>
      </x:c>
    </x:row>
    <x:row r="14">
      <x:c r="A14" s="75" t="str">
        <x:v>EMP-0009</x:v>
      </x:c>
      <x:c r="B14" s="58" t="str">
        <x:v>직원09</x:v>
      </x:c>
      <x:c r="C14" s="58" t="str">
        <x:v>관리</x:v>
      </x:c>
      <x:c r="D14" s="89" t="n">
        <x:v>44470</x:v>
      </x:c>
      <x:c r="E14" s="95" t="n">
        <x:v>3278000</x:v>
      </x:c>
    </x:row>
    <x:row r="15">
      <x:c r="A15" s="75" t="str">
        <x:v>EMP-0010</x:v>
      </x:c>
      <x:c r="B15" s="58" t="str">
        <x:v>직원10</x:v>
      </x:c>
      <x:c r="C15" s="58" t="str">
        <x:v>재무</x:v>
      </x:c>
      <x:c r="D15" s="89" t="n">
        <x:v>44866</x:v>
      </x:c>
      <x:c r="E15" s="95" t="n">
        <x:v>3320000</x:v>
      </x:c>
    </x:row>
    <x:row r="16">
      <x:c r="A16" s="75" t="str">
        <x:v>EMP-0011</x:v>
      </x:c>
      <x:c r="B16" s="58" t="str">
        <x:v>직원11</x:v>
      </x:c>
      <x:c r="C16" s="58" t="str">
        <x:v>영업</x:v>
      </x:c>
      <x:c r="D16" s="89" t="n">
        <x:v>45261</x:v>
      </x:c>
      <x:c r="E16" s="95" t="n">
        <x:v>3362000</x:v>
      </x:c>
    </x:row>
    <x:row r="17">
      <x:c r="A17" s="75" t="str">
        <x:v>EMP-0012</x:v>
      </x:c>
      <x:c r="B17" s="58" t="str">
        <x:v>직원12</x:v>
      </x:c>
      <x:c r="C17" s="58" t="str">
        <x:v>생산</x:v>
      </x:c>
      <x:c r="D17" s="89" t="n">
        <x:v>45292</x:v>
      </x:c>
      <x:c r="E17" s="95" t="n">
        <x:v>3404000</x:v>
      </x:c>
    </x:row>
    <x:row r="18">
      <x:c r="A18" s="75" t="str">
        <x:v>EMP-0013</x:v>
      </x:c>
      <x:c r="B18" s="58" t="str">
        <x:v>직원13</x:v>
      </x:c>
      <x:c r="C18" s="58" t="str">
        <x:v>IT</x:v>
      </x:c>
      <x:c r="D18" s="89" t="n">
        <x:v>45689</x:v>
      </x:c>
      <x:c r="E18" s="95" t="n">
        <x:v>3446000</x:v>
      </x:c>
    </x:row>
    <x:row r="19">
      <x:c r="A19" s="75" t="str">
        <x:v>EMP-0014</x:v>
      </x:c>
      <x:c r="B19" s="58" t="str">
        <x:v>직원14</x:v>
      </x:c>
      <x:c r="C19" s="58" t="str">
        <x:v>관리</x:v>
      </x:c>
      <x:c r="D19" s="89" t="n">
        <x:v>43525</x:v>
      </x:c>
      <x:c r="E19" s="95" t="n">
        <x:v>3488000</x:v>
      </x:c>
    </x:row>
    <x:row r="20">
      <x:c r="A20" s="75" t="str">
        <x:v>EMP-0015</x:v>
      </x:c>
      <x:c r="B20" s="58" t="str">
        <x:v>직원15</x:v>
      </x:c>
      <x:c r="C20" s="58" t="str">
        <x:v>재무</x:v>
      </x:c>
      <x:c r="D20" s="89" t="n">
        <x:v>43922</x:v>
      </x:c>
      <x:c r="E20" s="95" t="n">
        <x:v>3530000</x:v>
      </x:c>
    </x:row>
    <x:row r="21">
      <x:c r="A21" s="75" t="str">
        <x:v>EMP-0016</x:v>
      </x:c>
      <x:c r="B21" s="58" t="str">
        <x:v>직원16</x:v>
      </x:c>
      <x:c r="C21" s="58" t="str">
        <x:v>영업</x:v>
      </x:c>
      <x:c r="D21" s="89" t="n">
        <x:v>44317</x:v>
      </x:c>
      <x:c r="E21" s="95" t="n">
        <x:v>3572000</x:v>
      </x:c>
    </x:row>
    <x:row r="22">
      <x:c r="A22" s="75" t="str">
        <x:v>EMP-0017</x:v>
      </x:c>
      <x:c r="B22" s="58" t="str">
        <x:v>직원17</x:v>
      </x:c>
      <x:c r="C22" s="58" t="str">
        <x:v>생산</x:v>
      </x:c>
      <x:c r="D22" s="89" t="n">
        <x:v>44713</x:v>
      </x:c>
      <x:c r="E22" s="95" t="n">
        <x:v>3614000</x:v>
      </x:c>
    </x:row>
    <x:row r="23">
      <x:c r="A23" s="75" t="str">
        <x:v>EMP-0018</x:v>
      </x:c>
      <x:c r="B23" s="58" t="str">
        <x:v>직원18</x:v>
      </x:c>
      <x:c r="C23" s="58" t="str">
        <x:v>IT</x:v>
      </x:c>
      <x:c r="D23" s="89" t="n">
        <x:v>45108</x:v>
      </x:c>
      <x:c r="E23" s="95" t="n">
        <x:v>3656000</x:v>
      </x:c>
    </x:row>
    <x:row r="24">
      <x:c r="A24" s="75" t="str">
        <x:v>EMP-0019</x:v>
      </x:c>
      <x:c r="B24" s="58" t="str">
        <x:v>직원19</x:v>
      </x:c>
      <x:c r="C24" s="58" t="str">
        <x:v>관리</x:v>
      </x:c>
      <x:c r="D24" s="89" t="n">
        <x:v>45505</x:v>
      </x:c>
      <x:c r="E24" s="95" t="n">
        <x:v>3698000</x:v>
      </x:c>
    </x:row>
    <x:row r="25">
      <x:c r="A25" s="75" t="str">
        <x:v>EMP-0020</x:v>
      </x:c>
      <x:c r="B25" s="58" t="str">
        <x:v>직원20</x:v>
      </x:c>
      <x:c r="C25" s="58" t="str">
        <x:v>재무</x:v>
      </x:c>
      <x:c r="D25" s="89" t="n">
        <x:v>45901</x:v>
      </x:c>
      <x:c r="E25" s="95" t="n">
        <x:v>3740000</x:v>
      </x:c>
    </x:row>
    <x:row r="26">
      <x:c r="A26" s="75" t="str">
        <x:v>EMP-0021</x:v>
      </x:c>
      <x:c r="B26" s="58" t="str">
        <x:v>직원21</x:v>
      </x:c>
      <x:c r="C26" s="58" t="str">
        <x:v>영업</x:v>
      </x:c>
      <x:c r="D26" s="89" t="n">
        <x:v>43739</x:v>
      </x:c>
      <x:c r="E26" s="95" t="n">
        <x:v>3782000</x:v>
      </x:c>
    </x:row>
    <x:row r="27">
      <x:c r="A27" s="75" t="str">
        <x:v>EMP-0022</x:v>
      </x:c>
      <x:c r="B27" s="58" t="str">
        <x:v>직원22</x:v>
      </x:c>
      <x:c r="C27" s="58" t="str">
        <x:v>생산</x:v>
      </x:c>
      <x:c r="D27" s="89" t="n">
        <x:v>44136</x:v>
      </x:c>
      <x:c r="E27" s="95" t="n">
        <x:v>3824000</x:v>
      </x:c>
    </x:row>
    <x:row r="28">
      <x:c r="A28" s="75" t="str">
        <x:v>EMP-0023</x:v>
      </x:c>
      <x:c r="B28" s="58" t="str">
        <x:v>직원23</x:v>
      </x:c>
      <x:c r="C28" s="58" t="str">
        <x:v>IT</x:v>
      </x:c>
      <x:c r="D28" s="89" t="n">
        <x:v>44531</x:v>
      </x:c>
      <x:c r="E28" s="95" t="n">
        <x:v>3866000</x:v>
      </x:c>
    </x:row>
    <x:row r="29">
      <x:c r="A29" s="75" t="str">
        <x:v>EMP-0024</x:v>
      </x:c>
      <x:c r="B29" s="58" t="str">
        <x:v>직원24</x:v>
      </x:c>
      <x:c r="C29" s="58" t="str">
        <x:v>관리</x:v>
      </x:c>
      <x:c r="D29" s="89" t="n">
        <x:v>44562</x:v>
      </x:c>
      <x:c r="E29" s="95" t="n">
        <x:v>3908000</x:v>
      </x:c>
    </x:row>
    <x:row r="30">
      <x:c r="A30" s="75" t="str">
        <x:v>EMP-0025</x:v>
      </x:c>
      <x:c r="B30" s="58" t="str">
        <x:v>직원25</x:v>
      </x:c>
      <x:c r="C30" s="58" t="str">
        <x:v>재무</x:v>
      </x:c>
      <x:c r="D30" s="89" t="n">
        <x:v>44958</x:v>
      </x:c>
      <x:c r="E30" s="95" t="n">
        <x:v>3950000</x:v>
      </x:c>
    </x:row>
    <x:row r="31">
      <x:c r="A31" s="75" t="str">
        <x:v>EMP-0026</x:v>
      </x:c>
      <x:c r="B31" s="58" t="str">
        <x:v>직원26</x:v>
      </x:c>
      <x:c r="C31" s="58" t="str">
        <x:v>영업</x:v>
      </x:c>
      <x:c r="D31" s="89" t="n">
        <x:v>45352</x:v>
      </x:c>
      <x:c r="E31" s="95" t="n">
        <x:v>3992000</x:v>
      </x:c>
    </x:row>
    <x:row r="32">
      <x:c r="A32" s="75" t="str">
        <x:v>EMP-0027</x:v>
      </x:c>
      <x:c r="B32" s="58" t="str">
        <x:v>직원27</x:v>
      </x:c>
      <x:c r="C32" s="58" t="str">
        <x:v>생산</x:v>
      </x:c>
      <x:c r="D32" s="89" t="n">
        <x:v>45748</x:v>
      </x:c>
      <x:c r="E32" s="95" t="n">
        <x:v>4034000</x:v>
      </x:c>
    </x:row>
    <x:row r="33">
      <x:c r="A33" s="75" t="str">
        <x:v>EMP-0028</x:v>
      </x:c>
      <x:c r="B33" s="58" t="str">
        <x:v>직원28</x:v>
      </x:c>
      <x:c r="C33" s="58" t="str">
        <x:v>IT</x:v>
      </x:c>
      <x:c r="D33" s="89" t="n">
        <x:v>43586</x:v>
      </x:c>
      <x:c r="E33" s="95" t="n">
        <x:v>4076000</x:v>
      </x:c>
    </x:row>
    <x:row r="34">
      <x:c r="A34" s="75" t="str">
        <x:v>EMP-0029</x:v>
      </x:c>
      <x:c r="B34" s="58" t="str">
        <x:v>직원29</x:v>
      </x:c>
      <x:c r="C34" s="58" t="str">
        <x:v>관리</x:v>
      </x:c>
      <x:c r="D34" s="89" t="n">
        <x:v>43983</x:v>
      </x:c>
      <x:c r="E34" s="95" t="n">
        <x:v>4118000</x:v>
      </x:c>
    </x:row>
    <x:row r="35">
      <x:c r="A35" s="75" t="str">
        <x:v>EMP-0030</x:v>
      </x:c>
      <x:c r="B35" s="58" t="str">
        <x:v>직원30</x:v>
      </x:c>
      <x:c r="C35" s="58" t="str">
        <x:v>재무</x:v>
      </x:c>
      <x:c r="D35" s="89" t="n">
        <x:v>44378</x:v>
      </x:c>
      <x:c r="E35" s="95" t="n">
        <x:v>4160000</x:v>
      </x:c>
    </x:row>
    <x:row r="36">
      <x:c r="A36" s="75" t="str">
        <x:v>EMP-0031</x:v>
      </x:c>
      <x:c r="B36" s="58" t="str">
        <x:v>직원31</x:v>
      </x:c>
      <x:c r="C36" s="58" t="str">
        <x:v>영업</x:v>
      </x:c>
      <x:c r="D36" s="89" t="n">
        <x:v>44774</x:v>
      </x:c>
      <x:c r="E36" s="95" t="n">
        <x:v>4202000</x:v>
      </x:c>
    </x:row>
    <x:row r="37">
      <x:c r="A37" s="75" t="str">
        <x:v>EMP-0032</x:v>
      </x:c>
      <x:c r="B37" s="58" t="str">
        <x:v>직원32</x:v>
      </x:c>
      <x:c r="C37" s="58" t="str">
        <x:v>생산</x:v>
      </x:c>
      <x:c r="D37" s="89" t="n">
        <x:v>45170</x:v>
      </x:c>
      <x:c r="E37" s="95" t="n">
        <x:v>4244000</x:v>
      </x:c>
    </x:row>
    <x:row r="38">
      <x:c r="A38" s="75" t="str">
        <x:v>EMP-0033</x:v>
      </x:c>
      <x:c r="B38" s="58" t="str">
        <x:v>직원33</x:v>
      </x:c>
      <x:c r="C38" s="58" t="str">
        <x:v>IT</x:v>
      </x:c>
      <x:c r="D38" s="89" t="n">
        <x:v>45566</x:v>
      </x:c>
      <x:c r="E38" s="95" t="n">
        <x:v>4286000</x:v>
      </x:c>
    </x:row>
    <x:row r="39">
      <x:c r="A39" s="75" t="str">
        <x:v>EMP-0034</x:v>
      </x:c>
      <x:c r="B39" s="58" t="str">
        <x:v>직원34</x:v>
      </x:c>
      <x:c r="C39" s="58" t="str">
        <x:v>관리</x:v>
      </x:c>
      <x:c r="D39" s="89" t="n">
        <x:v>45962</x:v>
      </x:c>
      <x:c r="E39" s="95" t="n">
        <x:v>4328000</x:v>
      </x:c>
    </x:row>
    <x:row r="40">
      <x:c r="A40" s="75" t="str">
        <x:v>EMP-0035</x:v>
      </x:c>
      <x:c r="B40" s="58" t="str">
        <x:v>직원35</x:v>
      </x:c>
      <x:c r="C40" s="58" t="str">
        <x:v>재무</x:v>
      </x:c>
      <x:c r="D40" s="89" t="n">
        <x:v>43800</x:v>
      </x:c>
      <x:c r="E40" s="95" t="n">
        <x:v>4370000</x:v>
      </x:c>
    </x:row>
    <x:row r="41">
      <x:c r="A41" s="75" t="str">
        <x:v>EMP-0036</x:v>
      </x:c>
      <x:c r="B41" s="58" t="str">
        <x:v>직원36</x:v>
      </x:c>
      <x:c r="C41" s="58" t="str">
        <x:v>영업</x:v>
      </x:c>
      <x:c r="D41" s="89" t="n">
        <x:v>43831</x:v>
      </x:c>
      <x:c r="E41" s="95" t="n">
        <x:v>4412000</x:v>
      </x:c>
    </x:row>
    <x:row r="42">
      <x:c r="A42" s="75" t="str">
        <x:v>EMP-0037</x:v>
      </x:c>
      <x:c r="B42" s="58" t="str">
        <x:v>직원37</x:v>
      </x:c>
      <x:c r="C42" s="58" t="str">
        <x:v>생산</x:v>
      </x:c>
      <x:c r="D42" s="89" t="n">
        <x:v>44228</x:v>
      </x:c>
      <x:c r="E42" s="95" t="n">
        <x:v>4454000</x:v>
      </x:c>
    </x:row>
    <x:row r="43">
      <x:c r="A43" s="75" t="str">
        <x:v>EMP-0038</x:v>
      </x:c>
      <x:c r="B43" s="58" t="str">
        <x:v>직원38</x:v>
      </x:c>
      <x:c r="C43" s="58" t="str">
        <x:v>IT</x:v>
      </x:c>
      <x:c r="D43" s="89" t="n">
        <x:v>44621</x:v>
      </x:c>
      <x:c r="E43" s="95" t="n">
        <x:v>4496000</x:v>
      </x:c>
    </x:row>
    <x:row r="44">
      <x:c r="A44" s="75" t="str">
        <x:v>EMP-0039</x:v>
      </x:c>
      <x:c r="B44" s="58" t="str">
        <x:v>직원39</x:v>
      </x:c>
      <x:c r="C44" s="58" t="str">
        <x:v>관리</x:v>
      </x:c>
      <x:c r="D44" s="89" t="n">
        <x:v>45017</x:v>
      </x:c>
      <x:c r="E44" s="95" t="n">
        <x:v>4538000</x:v>
      </x:c>
    </x:row>
    <x:row r="45">
      <x:c r="A45" s="75" t="str">
        <x:v>EMP-0040</x:v>
      </x:c>
      <x:c r="B45" s="58" t="str">
        <x:v>직원40</x:v>
      </x:c>
      <x:c r="C45" s="58" t="str">
        <x:v>재무</x:v>
      </x:c>
      <x:c r="D45" s="89" t="n">
        <x:v>45413</x:v>
      </x:c>
      <x:c r="E45" s="95" t="n">
        <x:v>4580000</x:v>
      </x:c>
    </x:row>
    <x:row r="46">
      <x:c r="A46" s="75" t="str">
        <x:v>EMP-0041</x:v>
      </x:c>
      <x:c r="B46" s="58" t="str">
        <x:v>직원41</x:v>
      </x:c>
      <x:c r="C46" s="58" t="str">
        <x:v>영업</x:v>
      </x:c>
      <x:c r="D46" s="89" t="n">
        <x:v>45809</x:v>
      </x:c>
      <x:c r="E46" s="95" t="n">
        <x:v>4622000</x:v>
      </x:c>
    </x:row>
    <x:row r="47">
      <x:c r="A47" s="75" t="str">
        <x:v>EMP-0042</x:v>
      </x:c>
      <x:c r="B47" s="58" t="str">
        <x:v>직원42</x:v>
      </x:c>
      <x:c r="C47" s="58" t="str">
        <x:v>생산</x:v>
      </x:c>
      <x:c r="D47" s="89" t="n">
        <x:v>43647</x:v>
      </x:c>
      <x:c r="E47" s="95" t="n">
        <x:v>4664000</x:v>
      </x:c>
    </x:row>
    <x:row r="48">
      <x:c r="A48" s="75" t="str">
        <x:v>EMP-0043</x:v>
      </x:c>
      <x:c r="B48" s="58" t="str">
        <x:v>직원43</x:v>
      </x:c>
      <x:c r="C48" s="58" t="str">
        <x:v>IT</x:v>
      </x:c>
      <x:c r="D48" s="89" t="n">
        <x:v>44044</x:v>
      </x:c>
      <x:c r="E48" s="95" t="n">
        <x:v>4706000</x:v>
      </x:c>
    </x:row>
    <x:row r="49">
      <x:c r="A49" s="75" t="str">
        <x:v>EMP-0044</x:v>
      </x:c>
      <x:c r="B49" s="58" t="str">
        <x:v>직원44</x:v>
      </x:c>
      <x:c r="C49" s="58" t="str">
        <x:v>관리</x:v>
      </x:c>
      <x:c r="D49" s="89" t="n">
        <x:v>44440</x:v>
      </x:c>
      <x:c r="E49" s="95" t="n">
        <x:v>4748000</x:v>
      </x:c>
    </x:row>
    <x:row r="50">
      <x:c r="A50" s="77" t="str">
        <x:v>EMP-0045</x:v>
      </x:c>
      <x:c r="B50" s="78" t="str">
        <x:v>직원45</x:v>
      </x:c>
      <x:c r="C50" s="78" t="str">
        <x:v>재무</x:v>
      </x:c>
      <x:c r="D50" s="90" t="n">
        <x:v>44835</x:v>
      </x:c>
      <x:c r="E50" s="96" t="n">
        <x:v>4790000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2" hidden="0" customWidth="1"/>
    <x:col min="4" max="4" width="10" hidden="0" customWidth="1"/>
    <x:col min="5" max="5" width="10" hidden="0" customWidth="1"/>
    <x:col min="6" max="6" width="22" hidden="0" customWidth="1"/>
  </x:cols>
  <x:sheetData>
    <x:row r="1" ht="30" customHeight="1">
      <x:c r="A1" s="5" t="str">
        <x:v>근태 내역</x:v>
      </x:c>
      <x:c r="B1" s="5"/>
      <x:c r="C1" s="5"/>
      <x:c r="D1" s="5"/>
      <x:c r="E1" s="5"/>
      <x:c r="F1" s="5"/>
    </x:row>
    <x:row r="2" ht="24" customHeight="1">
      <x:c r="A2" s="12" t="str">
        <x:v>합성 연차·초과근무 입력 데이터</x:v>
      </x:c>
      <x:c r="B2" s="12"/>
      <x:c r="C2" s="12"/>
      <x:c r="D2" s="12"/>
      <x:c r="E2" s="12"/>
      <x:c r="F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</x:row>
    <x:row r="5" ht="28" customHeight="1">
      <x:c r="A5" s="30" t="str">
        <x:v>일자</x:v>
      </x:c>
      <x:c r="B5" s="67" t="str">
        <x:v>사번</x:v>
      </x:c>
      <x:c r="C5" s="67" t="str">
        <x:v>구분</x:v>
      </x:c>
      <x:c r="D5" s="67" t="str">
        <x:v>수량</x:v>
      </x:c>
      <x:c r="E5" s="67" t="str">
        <x:v>단위</x:v>
      </x:c>
      <x:c r="F5" s="31" t="str">
        <x:v>사유</x:v>
      </x:c>
    </x:row>
    <x:row r="6">
      <x:c r="A6" s="100" t="n">
        <x:v>46023</x:v>
      </x:c>
      <x:c r="B6" s="73" t="str">
        <x:v>EMP-0001</x:v>
      </x:c>
      <x:c r="C6" s="73" t="str">
        <x:v>연차</x:v>
      </x:c>
      <x:c r="D6" s="106" t="n">
        <x:v>0.8</x:v>
      </x:c>
      <x:c r="E6" s="73" t="str">
        <x:v>일</x:v>
      </x:c>
      <x:c r="F6" s="74" t="str"/>
    </x:row>
    <x:row r="7">
      <x:c r="A7" s="101" t="n">
        <x:v>46024</x:v>
      </x:c>
      <x:c r="B7" s="58" t="str">
        <x:v>EMP-0002</x:v>
      </x:c>
      <x:c r="C7" s="58" t="str">
        <x:v>초과근무</x:v>
      </x:c>
      <x:c r="D7" s="107" t="n">
        <x:v>1.4</x:v>
      </x:c>
      <x:c r="E7" s="58" t="str">
        <x:v>시간</x:v>
      </x:c>
      <x:c r="F7" s="76" t="str"/>
    </x:row>
    <x:row r="8">
      <x:c r="A8" s="101" t="n">
        <x:v>46025</x:v>
      </x:c>
      <x:c r="B8" s="58" t="str">
        <x:v>EMP-0003</x:v>
      </x:c>
      <x:c r="C8" s="58" t="str">
        <x:v>초과근무</x:v>
      </x:c>
      <x:c r="D8" s="107" t="n">
        <x:v>2.7</x:v>
      </x:c>
      <x:c r="E8" s="58" t="str">
        <x:v>시간</x:v>
      </x:c>
      <x:c r="F8" s="76" t="str"/>
    </x:row>
    <x:row r="9">
      <x:c r="A9" s="101" t="n">
        <x:v>46026</x:v>
      </x:c>
      <x:c r="B9" s="58" t="str">
        <x:v>EMP-0004</x:v>
      </x:c>
      <x:c r="C9" s="58" t="str">
        <x:v>초과근무</x:v>
      </x:c>
      <x:c r="D9" s="107" t="n">
        <x:v>1.5</x:v>
      </x:c>
      <x:c r="E9" s="58" t="str">
        <x:v>시간</x:v>
      </x:c>
      <x:c r="F9" s="76" t="str"/>
    </x:row>
    <x:row r="10">
      <x:c r="A10" s="101" t="n">
        <x:v>46027</x:v>
      </x:c>
      <x:c r="B10" s="58" t="str">
        <x:v>EMP-0005</x:v>
      </x:c>
      <x:c r="C10" s="58" t="str">
        <x:v>연차</x:v>
      </x:c>
      <x:c r="D10" s="107" t="n">
        <x:v>0.7</x:v>
      </x:c>
      <x:c r="E10" s="58" t="str">
        <x:v>일</x:v>
      </x:c>
      <x:c r="F10" s="76" t="str"/>
    </x:row>
    <x:row r="11">
      <x:c r="A11" s="101" t="n">
        <x:v>46028</x:v>
      </x:c>
      <x:c r="B11" s="58" t="str">
        <x:v>EMP-0006</x:v>
      </x:c>
      <x:c r="C11" s="58" t="str">
        <x:v>초과근무</x:v>
      </x:c>
      <x:c r="D11" s="107" t="n">
        <x:v>2</x:v>
      </x:c>
      <x:c r="E11" s="58" t="str">
        <x:v>시간</x:v>
      </x:c>
      <x:c r="F11" s="76" t="str"/>
    </x:row>
    <x:row r="12">
      <x:c r="A12" s="101" t="n">
        <x:v>46029</x:v>
      </x:c>
      <x:c r="B12" s="58" t="str">
        <x:v>EMP-0007</x:v>
      </x:c>
      <x:c r="C12" s="58" t="str">
        <x:v>초과근무</x:v>
      </x:c>
      <x:c r="D12" s="107" t="n">
        <x:v>2.4</x:v>
      </x:c>
      <x:c r="E12" s="58" t="str">
        <x:v>시간</x:v>
      </x:c>
      <x:c r="F12" s="76" t="str"/>
    </x:row>
    <x:row r="13">
      <x:c r="A13" s="101" t="n">
        <x:v>46030</x:v>
      </x:c>
      <x:c r="B13" s="58" t="str">
        <x:v>EMP-0008</x:v>
      </x:c>
      <x:c r="C13" s="58" t="str">
        <x:v>초과근무</x:v>
      </x:c>
      <x:c r="D13" s="107" t="n">
        <x:v>3.1</x:v>
      </x:c>
      <x:c r="E13" s="58" t="str">
        <x:v>시간</x:v>
      </x:c>
      <x:c r="F13" s="76" t="str"/>
    </x:row>
    <x:row r="14">
      <x:c r="A14" s="101" t="n">
        <x:v>46031</x:v>
      </x:c>
      <x:c r="B14" s="58" t="str">
        <x:v>EMP-0009</x:v>
      </x:c>
      <x:c r="C14" s="58" t="str">
        <x:v>연차</x:v>
      </x:c>
      <x:c r="D14" s="107" t="n">
        <x:v>1</x:v>
      </x:c>
      <x:c r="E14" s="58" t="str">
        <x:v>일</x:v>
      </x:c>
      <x:c r="F14" s="76" t="str"/>
    </x:row>
    <x:row r="15">
      <x:c r="A15" s="101" t="n">
        <x:v>46032</x:v>
      </x:c>
      <x:c r="B15" s="58" t="str">
        <x:v>EMP-0010</x:v>
      </x:c>
      <x:c r="C15" s="58" t="str">
        <x:v>초과근무</x:v>
      </x:c>
      <x:c r="D15" s="107" t="n">
        <x:v>1.6</x:v>
      </x:c>
      <x:c r="E15" s="58" t="str">
        <x:v>시간</x:v>
      </x:c>
      <x:c r="F15" s="76" t="str"/>
    </x:row>
    <x:row r="16">
      <x:c r="A16" s="101" t="n">
        <x:v>46033</x:v>
      </x:c>
      <x:c r="B16" s="58" t="str">
        <x:v>EMP-0011</x:v>
      </x:c>
      <x:c r="C16" s="58" t="str">
        <x:v>초과근무</x:v>
      </x:c>
      <x:c r="D16" s="107" t="n">
        <x:v>2.4</x:v>
      </x:c>
      <x:c r="E16" s="58" t="str">
        <x:v>시간</x:v>
      </x:c>
      <x:c r="F16" s="76" t="str"/>
    </x:row>
    <x:row r="17">
      <x:c r="A17" s="101" t="n">
        <x:v>46034</x:v>
      </x:c>
      <x:c r="B17" s="58" t="str">
        <x:v>EMP-0012</x:v>
      </x:c>
      <x:c r="C17" s="58" t="str">
        <x:v>초과근무</x:v>
      </x:c>
      <x:c r="D17" s="107" t="n">
        <x:v>2.2</x:v>
      </x:c>
      <x:c r="E17" s="58" t="str">
        <x:v>시간</x:v>
      </x:c>
      <x:c r="F17" s="76" t="str"/>
    </x:row>
    <x:row r="18">
      <x:c r="A18" s="101" t="n">
        <x:v>46035</x:v>
      </x:c>
      <x:c r="B18" s="58" t="str">
        <x:v>EMP-0013</x:v>
      </x:c>
      <x:c r="C18" s="58" t="str">
        <x:v>연차</x:v>
      </x:c>
      <x:c r="D18" s="107" t="n">
        <x:v>0.7</x:v>
      </x:c>
      <x:c r="E18" s="58" t="str">
        <x:v>일</x:v>
      </x:c>
      <x:c r="F18" s="76" t="str"/>
    </x:row>
    <x:row r="19">
      <x:c r="A19" s="101" t="n">
        <x:v>46036</x:v>
      </x:c>
      <x:c r="B19" s="58" t="str">
        <x:v>EMP-0014</x:v>
      </x:c>
      <x:c r="C19" s="58" t="str">
        <x:v>초과근무</x:v>
      </x:c>
      <x:c r="D19" s="107" t="n">
        <x:v>2.7</x:v>
      </x:c>
      <x:c r="E19" s="58" t="str">
        <x:v>시간</x:v>
      </x:c>
      <x:c r="F19" s="76" t="str"/>
    </x:row>
    <x:row r="20">
      <x:c r="A20" s="101" t="n">
        <x:v>46037</x:v>
      </x:c>
      <x:c r="B20" s="58" t="str">
        <x:v>EMP-0015</x:v>
      </x:c>
      <x:c r="C20" s="58" t="str">
        <x:v>초과근무</x:v>
      </x:c>
      <x:c r="D20" s="107" t="n">
        <x:v>2.7</x:v>
      </x:c>
      <x:c r="E20" s="58" t="str">
        <x:v>시간</x:v>
      </x:c>
      <x:c r="F20" s="76" t="str"/>
    </x:row>
    <x:row r="21">
      <x:c r="A21" s="101" t="n">
        <x:v>46038</x:v>
      </x:c>
      <x:c r="B21" s="58" t="str">
        <x:v>EMP-0016</x:v>
      </x:c>
      <x:c r="C21" s="58" t="str">
        <x:v>초과근무</x:v>
      </x:c>
      <x:c r="D21" s="107" t="n">
        <x:v>3.1</x:v>
      </x:c>
      <x:c r="E21" s="58" t="str">
        <x:v>시간</x:v>
      </x:c>
      <x:c r="F21" s="76" t="str"/>
    </x:row>
    <x:row r="22">
      <x:c r="A22" s="101" t="n">
        <x:v>46039</x:v>
      </x:c>
      <x:c r="B22" s="58" t="str">
        <x:v>EMP-0017</x:v>
      </x:c>
      <x:c r="C22" s="58" t="str">
        <x:v>연차</x:v>
      </x:c>
      <x:c r="D22" s="107" t="n">
        <x:v>1</x:v>
      </x:c>
      <x:c r="E22" s="58" t="str">
        <x:v>일</x:v>
      </x:c>
      <x:c r="F22" s="76" t="str"/>
    </x:row>
    <x:row r="23">
      <x:c r="A23" s="101" t="n">
        <x:v>46040</x:v>
      </x:c>
      <x:c r="B23" s="58" t="str">
        <x:v>EMP-0018</x:v>
      </x:c>
      <x:c r="C23" s="58" t="str">
        <x:v>초과근무</x:v>
      </x:c>
      <x:c r="D23" s="107" t="n">
        <x:v>2.8</x:v>
      </x:c>
      <x:c r="E23" s="58" t="str">
        <x:v>시간</x:v>
      </x:c>
      <x:c r="F23" s="76" t="str"/>
    </x:row>
    <x:row r="24">
      <x:c r="A24" s="101" t="n">
        <x:v>46041</x:v>
      </x:c>
      <x:c r="B24" s="58" t="str">
        <x:v>EMP-0019</x:v>
      </x:c>
      <x:c r="C24" s="58" t="str">
        <x:v>초과근무</x:v>
      </x:c>
      <x:c r="D24" s="107" t="n">
        <x:v>1.7</x:v>
      </x:c>
      <x:c r="E24" s="58" t="str">
        <x:v>시간</x:v>
      </x:c>
      <x:c r="F24" s="76" t="str"/>
    </x:row>
    <x:row r="25">
      <x:c r="A25" s="101" t="n">
        <x:v>46042</x:v>
      </x:c>
      <x:c r="B25" s="58" t="str">
        <x:v>EMP-0020</x:v>
      </x:c>
      <x:c r="C25" s="58" t="str">
        <x:v>초과근무</x:v>
      </x:c>
      <x:c r="D25" s="107" t="n">
        <x:v>3.1</x:v>
      </x:c>
      <x:c r="E25" s="58" t="str">
        <x:v>시간</x:v>
      </x:c>
      <x:c r="F25" s="76" t="str"/>
    </x:row>
    <x:row r="26">
      <x:c r="A26" s="101" t="n">
        <x:v>46043</x:v>
      </x:c>
      <x:c r="B26" s="58" t="str">
        <x:v>EMP-0021</x:v>
      </x:c>
      <x:c r="C26" s="58" t="str">
        <x:v>연차</x:v>
      </x:c>
      <x:c r="D26" s="107" t="n">
        <x:v>0.7</x:v>
      </x:c>
      <x:c r="E26" s="58" t="str">
        <x:v>일</x:v>
      </x:c>
      <x:c r="F26" s="76" t="str"/>
    </x:row>
    <x:row r="27">
      <x:c r="A27" s="101" t="n">
        <x:v>46044</x:v>
      </x:c>
      <x:c r="B27" s="58" t="str">
        <x:v>EMP-0022</x:v>
      </x:c>
      <x:c r="C27" s="58" t="str">
        <x:v>초과근무</x:v>
      </x:c>
      <x:c r="D27" s="107" t="n">
        <x:v>2.2</x:v>
      </x:c>
      <x:c r="E27" s="58" t="str">
        <x:v>시간</x:v>
      </x:c>
      <x:c r="F27" s="76" t="str"/>
    </x:row>
    <x:row r="28">
      <x:c r="A28" s="101" t="n">
        <x:v>46045</x:v>
      </x:c>
      <x:c r="B28" s="58" t="str">
        <x:v>EMP-0023</x:v>
      </x:c>
      <x:c r="C28" s="58" t="str">
        <x:v>초과근무</x:v>
      </x:c>
      <x:c r="D28" s="107" t="n">
        <x:v>3.3</x:v>
      </x:c>
      <x:c r="E28" s="58" t="str">
        <x:v>시간</x:v>
      </x:c>
      <x:c r="F28" s="76" t="str"/>
    </x:row>
    <x:row r="29">
      <x:c r="A29" s="101" t="n">
        <x:v>46046</x:v>
      </x:c>
      <x:c r="B29" s="58" t="str">
        <x:v>EMP-0024</x:v>
      </x:c>
      <x:c r="C29" s="58" t="str">
        <x:v>초과근무</x:v>
      </x:c>
      <x:c r="D29" s="107" t="n">
        <x:v>2.5</x:v>
      </x:c>
      <x:c r="E29" s="58" t="str">
        <x:v>시간</x:v>
      </x:c>
      <x:c r="F29" s="76" t="str"/>
    </x:row>
    <x:row r="30">
      <x:c r="A30" s="101" t="n">
        <x:v>46047</x:v>
      </x:c>
      <x:c r="B30" s="58" t="str">
        <x:v>EMP-0025</x:v>
      </x:c>
      <x:c r="C30" s="58" t="str">
        <x:v>연차</x:v>
      </x:c>
      <x:c r="D30" s="107" t="n">
        <x:v>0.6</x:v>
      </x:c>
      <x:c r="E30" s="58" t="str">
        <x:v>일</x:v>
      </x:c>
      <x:c r="F30" s="76" t="str"/>
    </x:row>
    <x:row r="31">
      <x:c r="A31" s="101" t="n">
        <x:v>46048</x:v>
      </x:c>
      <x:c r="B31" s="58" t="str">
        <x:v>EMP-0026</x:v>
      </x:c>
      <x:c r="C31" s="58" t="str">
        <x:v>초과근무</x:v>
      </x:c>
      <x:c r="D31" s="107" t="n">
        <x:v>1.7</x:v>
      </x:c>
      <x:c r="E31" s="58" t="str">
        <x:v>시간</x:v>
      </x:c>
      <x:c r="F31" s="76" t="str"/>
    </x:row>
    <x:row r="32">
      <x:c r="A32" s="101" t="n">
        <x:v>46049</x:v>
      </x:c>
      <x:c r="B32" s="58" t="str">
        <x:v>EMP-0027</x:v>
      </x:c>
      <x:c r="C32" s="58" t="str">
        <x:v>초과근무</x:v>
      </x:c>
      <x:c r="D32" s="107" t="n">
        <x:v>1.9</x:v>
      </x:c>
      <x:c r="E32" s="58" t="str">
        <x:v>시간</x:v>
      </x:c>
      <x:c r="F32" s="76" t="str"/>
    </x:row>
    <x:row r="33">
      <x:c r="A33" s="101" t="n">
        <x:v>46050</x:v>
      </x:c>
      <x:c r="B33" s="58" t="str">
        <x:v>EMP-0028</x:v>
      </x:c>
      <x:c r="C33" s="58" t="str">
        <x:v>초과근무</x:v>
      </x:c>
      <x:c r="D33" s="107" t="n">
        <x:v>2.2</x:v>
      </x:c>
      <x:c r="E33" s="58" t="str">
        <x:v>시간</x:v>
      </x:c>
      <x:c r="F33" s="76" t="str"/>
    </x:row>
    <x:row r="34">
      <x:c r="A34" s="101" t="n">
        <x:v>46051</x:v>
      </x:c>
      <x:c r="B34" s="58" t="str">
        <x:v>EMP-0029</x:v>
      </x:c>
      <x:c r="C34" s="58" t="str">
        <x:v>연차</x:v>
      </x:c>
      <x:c r="D34" s="107" t="n">
        <x:v>0.5</x:v>
      </x:c>
      <x:c r="E34" s="58" t="str">
        <x:v>일</x:v>
      </x:c>
      <x:c r="F34" s="76" t="str"/>
    </x:row>
    <x:row r="35">
      <x:c r="A35" s="101" t="n">
        <x:v>46052</x:v>
      </x:c>
      <x:c r="B35" s="58" t="str">
        <x:v>EMP-0030</x:v>
      </x:c>
      <x:c r="C35" s="58" t="str">
        <x:v>초과근무</x:v>
      </x:c>
      <x:c r="D35" s="107" t="n">
        <x:v>1.1</x:v>
      </x:c>
      <x:c r="E35" s="58" t="str">
        <x:v>시간</x:v>
      </x:c>
      <x:c r="F35" s="76" t="str"/>
    </x:row>
    <x:row r="36">
      <x:c r="A36" s="101" t="n">
        <x:v>46053</x:v>
      </x:c>
      <x:c r="B36" s="58" t="str">
        <x:v>EMP-0031</x:v>
      </x:c>
      <x:c r="C36" s="58" t="str">
        <x:v>초과근무</x:v>
      </x:c>
      <x:c r="D36" s="107" t="n">
        <x:v>1.2</x:v>
      </x:c>
      <x:c r="E36" s="58" t="str">
        <x:v>시간</x:v>
      </x:c>
      <x:c r="F36" s="76" t="str"/>
    </x:row>
    <x:row r="37">
      <x:c r="A37" s="101" t="n">
        <x:v>46054</x:v>
      </x:c>
      <x:c r="B37" s="58" t="str">
        <x:v>EMP-0032</x:v>
      </x:c>
      <x:c r="C37" s="58" t="str">
        <x:v>초과근무</x:v>
      </x:c>
      <x:c r="D37" s="107" t="n">
        <x:v>2.1</x:v>
      </x:c>
      <x:c r="E37" s="58" t="str">
        <x:v>시간</x:v>
      </x:c>
      <x:c r="F37" s="76" t="str"/>
    </x:row>
    <x:row r="38">
      <x:c r="A38" s="101" t="n">
        <x:v>46055</x:v>
      </x:c>
      <x:c r="B38" s="58" t="str">
        <x:v>EMP-0033</x:v>
      </x:c>
      <x:c r="C38" s="58" t="str">
        <x:v>연차</x:v>
      </x:c>
      <x:c r="D38" s="107" t="n">
        <x:v>0.5</x:v>
      </x:c>
      <x:c r="E38" s="58" t="str">
        <x:v>일</x:v>
      </x:c>
      <x:c r="F38" s="76" t="str"/>
    </x:row>
    <x:row r="39">
      <x:c r="A39" s="101" t="n">
        <x:v>46056</x:v>
      </x:c>
      <x:c r="B39" s="58" t="str">
        <x:v>EMP-0034</x:v>
      </x:c>
      <x:c r="C39" s="58" t="str">
        <x:v>초과근무</x:v>
      </x:c>
      <x:c r="D39" s="107" t="n">
        <x:v>2.5</x:v>
      </x:c>
      <x:c r="E39" s="58" t="str">
        <x:v>시간</x:v>
      </x:c>
      <x:c r="F39" s="76" t="str"/>
    </x:row>
    <x:row r="40">
      <x:c r="A40" s="101" t="n">
        <x:v>46057</x:v>
      </x:c>
      <x:c r="B40" s="58" t="str">
        <x:v>EMP-0035</x:v>
      </x:c>
      <x:c r="C40" s="58" t="str">
        <x:v>초과근무</x:v>
      </x:c>
      <x:c r="D40" s="107" t="n">
        <x:v>2</x:v>
      </x:c>
      <x:c r="E40" s="58" t="str">
        <x:v>시간</x:v>
      </x:c>
      <x:c r="F40" s="76" t="str"/>
    </x:row>
    <x:row r="41">
      <x:c r="A41" s="101" t="n">
        <x:v>46058</x:v>
      </x:c>
      <x:c r="B41" s="58" t="str">
        <x:v>EMP-0036</x:v>
      </x:c>
      <x:c r="C41" s="58" t="str">
        <x:v>초과근무</x:v>
      </x:c>
      <x:c r="D41" s="107" t="n">
        <x:v>1.3</x:v>
      </x:c>
      <x:c r="E41" s="58" t="str">
        <x:v>시간</x:v>
      </x:c>
      <x:c r="F41" s="76" t="str"/>
    </x:row>
    <x:row r="42">
      <x:c r="A42" s="101" t="n">
        <x:v>46059</x:v>
      </x:c>
      <x:c r="B42" s="58" t="str">
        <x:v>EMP-0037</x:v>
      </x:c>
      <x:c r="C42" s="58" t="str">
        <x:v>연차</x:v>
      </x:c>
      <x:c r="D42" s="107" t="n">
        <x:v>0.7</x:v>
      </x:c>
      <x:c r="E42" s="58" t="str">
        <x:v>일</x:v>
      </x:c>
      <x:c r="F42" s="76" t="str"/>
    </x:row>
    <x:row r="43">
      <x:c r="A43" s="101" t="n">
        <x:v>46060</x:v>
      </x:c>
      <x:c r="B43" s="58" t="str">
        <x:v>EMP-0038</x:v>
      </x:c>
      <x:c r="C43" s="58" t="str">
        <x:v>초과근무</x:v>
      </x:c>
      <x:c r="D43" s="107" t="n">
        <x:v>1.5</x:v>
      </x:c>
      <x:c r="E43" s="58" t="str">
        <x:v>시간</x:v>
      </x:c>
      <x:c r="F43" s="76" t="str"/>
    </x:row>
    <x:row r="44">
      <x:c r="A44" s="101" t="n">
        <x:v>46061</x:v>
      </x:c>
      <x:c r="B44" s="58" t="str">
        <x:v>EMP-0039</x:v>
      </x:c>
      <x:c r="C44" s="58" t="str">
        <x:v>초과근무</x:v>
      </x:c>
      <x:c r="D44" s="107" t="n">
        <x:v>2.3</x:v>
      </x:c>
      <x:c r="E44" s="58" t="str">
        <x:v>시간</x:v>
      </x:c>
      <x:c r="F44" s="76" t="str"/>
    </x:row>
    <x:row r="45">
      <x:c r="A45" s="101" t="n">
        <x:v>46062</x:v>
      </x:c>
      <x:c r="B45" s="58" t="str">
        <x:v>EMP-0040</x:v>
      </x:c>
      <x:c r="C45" s="58" t="str">
        <x:v>초과근무</x:v>
      </x:c>
      <x:c r="D45" s="107" t="n">
        <x:v>3.4</x:v>
      </x:c>
      <x:c r="E45" s="58" t="str">
        <x:v>시간</x:v>
      </x:c>
      <x:c r="F45" s="76" t="str"/>
    </x:row>
    <x:row r="46">
      <x:c r="A46" s="101" t="n">
        <x:v>46063</x:v>
      </x:c>
      <x:c r="B46" s="58" t="str">
        <x:v>EMP-0041</x:v>
      </x:c>
      <x:c r="C46" s="58" t="str">
        <x:v>연차</x:v>
      </x:c>
      <x:c r="D46" s="107" t="n">
        <x:v>0.6</x:v>
      </x:c>
      <x:c r="E46" s="58" t="str">
        <x:v>일</x:v>
      </x:c>
      <x:c r="F46" s="76" t="str"/>
    </x:row>
    <x:row r="47">
      <x:c r="A47" s="101" t="n">
        <x:v>46064</x:v>
      </x:c>
      <x:c r="B47" s="58" t="str">
        <x:v>EMP-0042</x:v>
      </x:c>
      <x:c r="C47" s="58" t="str">
        <x:v>초과근무</x:v>
      </x:c>
      <x:c r="D47" s="107" t="n">
        <x:v>3.1</x:v>
      </x:c>
      <x:c r="E47" s="58" t="str">
        <x:v>시간</x:v>
      </x:c>
      <x:c r="F47" s="76" t="str"/>
    </x:row>
    <x:row r="48">
      <x:c r="A48" s="101" t="n">
        <x:v>46065</x:v>
      </x:c>
      <x:c r="B48" s="58" t="str">
        <x:v>EMP-0043</x:v>
      </x:c>
      <x:c r="C48" s="58" t="str">
        <x:v>초과근무</x:v>
      </x:c>
      <x:c r="D48" s="107" t="n">
        <x:v>1.7</x:v>
      </x:c>
      <x:c r="E48" s="58" t="str">
        <x:v>시간</x:v>
      </x:c>
      <x:c r="F48" s="76" t="str"/>
    </x:row>
    <x:row r="49">
      <x:c r="A49" s="101" t="n">
        <x:v>46066</x:v>
      </x:c>
      <x:c r="B49" s="58" t="str">
        <x:v>EMP-0044</x:v>
      </x:c>
      <x:c r="C49" s="58" t="str">
        <x:v>초과근무</x:v>
      </x:c>
      <x:c r="D49" s="107" t="n">
        <x:v>2.2</x:v>
      </x:c>
      <x:c r="E49" s="58" t="str">
        <x:v>시간</x:v>
      </x:c>
      <x:c r="F49" s="76" t="str"/>
    </x:row>
    <x:row r="50">
      <x:c r="A50" s="101" t="n">
        <x:v>46067</x:v>
      </x:c>
      <x:c r="B50" s="58" t="str">
        <x:v>EMP-0045</x:v>
      </x:c>
      <x:c r="C50" s="58" t="str">
        <x:v>연차</x:v>
      </x:c>
      <x:c r="D50" s="107" t="n">
        <x:v>0.7</x:v>
      </x:c>
      <x:c r="E50" s="58" t="str">
        <x:v>일</x:v>
      </x:c>
      <x:c r="F50" s="76" t="str"/>
    </x:row>
    <x:row r="51">
      <x:c r="A51" s="101" t="n">
        <x:v>46068</x:v>
      </x:c>
      <x:c r="B51" s="58" t="str">
        <x:v>EMP-0001</x:v>
      </x:c>
      <x:c r="C51" s="58" t="str">
        <x:v>초과근무</x:v>
      </x:c>
      <x:c r="D51" s="107" t="n">
        <x:v>3.1</x:v>
      </x:c>
      <x:c r="E51" s="58" t="str">
        <x:v>시간</x:v>
      </x:c>
      <x:c r="F51" s="76" t="str"/>
    </x:row>
    <x:row r="52">
      <x:c r="A52" s="101" t="n">
        <x:v>46069</x:v>
      </x:c>
      <x:c r="B52" s="58" t="str">
        <x:v>EMP-0002</x:v>
      </x:c>
      <x:c r="C52" s="58" t="str">
        <x:v>초과근무</x:v>
      </x:c>
      <x:c r="D52" s="107" t="n">
        <x:v>2.1</x:v>
      </x:c>
      <x:c r="E52" s="58" t="str">
        <x:v>시간</x:v>
      </x:c>
      <x:c r="F52" s="76" t="str"/>
    </x:row>
    <x:row r="53">
      <x:c r="A53" s="101" t="n">
        <x:v>46070</x:v>
      </x:c>
      <x:c r="B53" s="58" t="str">
        <x:v>EMP-0003</x:v>
      </x:c>
      <x:c r="C53" s="58" t="str">
        <x:v>초과근무</x:v>
      </x:c>
      <x:c r="D53" s="107" t="n">
        <x:v>3.6</x:v>
      </x:c>
      <x:c r="E53" s="58" t="str">
        <x:v>시간</x:v>
      </x:c>
      <x:c r="F53" s="76" t="str"/>
    </x:row>
    <x:row r="54">
      <x:c r="A54" s="101" t="n">
        <x:v>46071</x:v>
      </x:c>
      <x:c r="B54" s="58" t="str">
        <x:v>EMP-0004</x:v>
      </x:c>
      <x:c r="C54" s="58" t="str">
        <x:v>연차</x:v>
      </x:c>
      <x:c r="D54" s="107" t="n">
        <x:v>1</x:v>
      </x:c>
      <x:c r="E54" s="58" t="str">
        <x:v>일</x:v>
      </x:c>
      <x:c r="F54" s="76" t="str"/>
    </x:row>
    <x:row r="55">
      <x:c r="A55" s="101" t="n">
        <x:v>46072</x:v>
      </x:c>
      <x:c r="B55" s="58" t="str">
        <x:v>EMP-0005</x:v>
      </x:c>
      <x:c r="C55" s="58" t="str">
        <x:v>초과근무</x:v>
      </x:c>
      <x:c r="D55" s="107" t="n">
        <x:v>1.8</x:v>
      </x:c>
      <x:c r="E55" s="58" t="str">
        <x:v>시간</x:v>
      </x:c>
      <x:c r="F55" s="76" t="str"/>
    </x:row>
    <x:row r="56">
      <x:c r="A56" s="101" t="n">
        <x:v>46073</x:v>
      </x:c>
      <x:c r="B56" s="58" t="str">
        <x:v>EMP-0006</x:v>
      </x:c>
      <x:c r="C56" s="58" t="str">
        <x:v>초과근무</x:v>
      </x:c>
      <x:c r="D56" s="107" t="n">
        <x:v>1.5</x:v>
      </x:c>
      <x:c r="E56" s="58" t="str">
        <x:v>시간</x:v>
      </x:c>
      <x:c r="F56" s="76" t="str"/>
    </x:row>
    <x:row r="57">
      <x:c r="A57" s="101" t="n">
        <x:v>46074</x:v>
      </x:c>
      <x:c r="B57" s="58" t="str">
        <x:v>EMP-0007</x:v>
      </x:c>
      <x:c r="C57" s="58" t="str">
        <x:v>초과근무</x:v>
      </x:c>
      <x:c r="D57" s="107" t="n">
        <x:v>3.1</x:v>
      </x:c>
      <x:c r="E57" s="58" t="str">
        <x:v>시간</x:v>
      </x:c>
      <x:c r="F57" s="76" t="str"/>
    </x:row>
    <x:row r="58">
      <x:c r="A58" s="101" t="n">
        <x:v>46075</x:v>
      </x:c>
      <x:c r="B58" s="58" t="str">
        <x:v>EMP-0008</x:v>
      </x:c>
      <x:c r="C58" s="58" t="str">
        <x:v>연차</x:v>
      </x:c>
      <x:c r="D58" s="107" t="n">
        <x:v>0.7</x:v>
      </x:c>
      <x:c r="E58" s="58" t="str">
        <x:v>일</x:v>
      </x:c>
      <x:c r="F58" s="76" t="str"/>
    </x:row>
    <x:row r="59">
      <x:c r="A59" s="101" t="n">
        <x:v>46076</x:v>
      </x:c>
      <x:c r="B59" s="58" t="str">
        <x:v>EMP-0009</x:v>
      </x:c>
      <x:c r="C59" s="58" t="str">
        <x:v>초과근무</x:v>
      </x:c>
      <x:c r="D59" s="107" t="n">
        <x:v>2.1</x:v>
      </x:c>
      <x:c r="E59" s="58" t="str">
        <x:v>시간</x:v>
      </x:c>
      <x:c r="F59" s="76" t="str"/>
    </x:row>
    <x:row r="60">
      <x:c r="A60" s="101" t="n">
        <x:v>46077</x:v>
      </x:c>
      <x:c r="B60" s="58" t="str">
        <x:v>EMP-0010</x:v>
      </x:c>
      <x:c r="C60" s="58" t="str">
        <x:v>초과근무</x:v>
      </x:c>
      <x:c r="D60" s="107" t="n">
        <x:v>3.1</x:v>
      </x:c>
      <x:c r="E60" s="58" t="str">
        <x:v>시간</x:v>
      </x:c>
      <x:c r="F60" s="76" t="str"/>
    </x:row>
    <x:row r="61">
      <x:c r="A61" s="101" t="n">
        <x:v>46078</x:v>
      </x:c>
      <x:c r="B61" s="58" t="str">
        <x:v>EMP-0011</x:v>
      </x:c>
      <x:c r="C61" s="58" t="str">
        <x:v>초과근무</x:v>
      </x:c>
      <x:c r="D61" s="107" t="n">
        <x:v>3.1</x:v>
      </x:c>
      <x:c r="E61" s="58" t="str">
        <x:v>시간</x:v>
      </x:c>
      <x:c r="F61" s="76" t="str"/>
    </x:row>
    <x:row r="62">
      <x:c r="A62" s="101" t="n">
        <x:v>46079</x:v>
      </x:c>
      <x:c r="B62" s="58" t="str">
        <x:v>EMP-0012</x:v>
      </x:c>
      <x:c r="C62" s="58" t="str">
        <x:v>연차</x:v>
      </x:c>
      <x:c r="D62" s="107" t="n">
        <x:v>0.6</x:v>
      </x:c>
      <x:c r="E62" s="58" t="str">
        <x:v>일</x:v>
      </x:c>
      <x:c r="F62" s="76" t="str"/>
    </x:row>
    <x:row r="63">
      <x:c r="A63" s="101" t="n">
        <x:v>46080</x:v>
      </x:c>
      <x:c r="B63" s="58" t="str">
        <x:v>EMP-0013</x:v>
      </x:c>
      <x:c r="C63" s="58" t="str">
        <x:v>초과근무</x:v>
      </x:c>
      <x:c r="D63" s="107" t="n">
        <x:v>2</x:v>
      </x:c>
      <x:c r="E63" s="58" t="str">
        <x:v>시간</x:v>
      </x:c>
      <x:c r="F63" s="76" t="str"/>
    </x:row>
    <x:row r="64">
      <x:c r="A64" s="101" t="n">
        <x:v>46081</x:v>
      </x:c>
      <x:c r="B64" s="58" t="str">
        <x:v>EMP-0014</x:v>
      </x:c>
      <x:c r="C64" s="58" t="str">
        <x:v>초과근무</x:v>
      </x:c>
      <x:c r="D64" s="107" t="n">
        <x:v>2.7</x:v>
      </x:c>
      <x:c r="E64" s="58" t="str">
        <x:v>시간</x:v>
      </x:c>
      <x:c r="F64" s="76" t="str"/>
    </x:row>
    <x:row r="65">
      <x:c r="A65" s="101" t="n">
        <x:v>46082</x:v>
      </x:c>
      <x:c r="B65" s="58" t="str">
        <x:v>EMP-0015</x:v>
      </x:c>
      <x:c r="C65" s="58" t="str">
        <x:v>초과근무</x:v>
      </x:c>
      <x:c r="D65" s="107" t="n">
        <x:v>2.2</x:v>
      </x:c>
      <x:c r="E65" s="58" t="str">
        <x:v>시간</x:v>
      </x:c>
      <x:c r="F65" s="76" t="str"/>
    </x:row>
    <x:row r="66">
      <x:c r="A66" s="101" t="n">
        <x:v>46083</x:v>
      </x:c>
      <x:c r="B66" s="58" t="str">
        <x:v>EMP-0016</x:v>
      </x:c>
      <x:c r="C66" s="58" t="str">
        <x:v>연차</x:v>
      </x:c>
      <x:c r="D66" s="107" t="n">
        <x:v>0.7</x:v>
      </x:c>
      <x:c r="E66" s="58" t="str">
        <x:v>일</x:v>
      </x:c>
      <x:c r="F66" s="76" t="str"/>
    </x:row>
    <x:row r="67">
      <x:c r="A67" s="101" t="n">
        <x:v>46084</x:v>
      </x:c>
      <x:c r="B67" s="58" t="str">
        <x:v>EMP-0017</x:v>
      </x:c>
      <x:c r="C67" s="58" t="str">
        <x:v>초과근무</x:v>
      </x:c>
      <x:c r="D67" s="107" t="n">
        <x:v>2.1</x:v>
      </x:c>
      <x:c r="E67" s="58" t="str">
        <x:v>시간</x:v>
      </x:c>
      <x:c r="F67" s="76" t="str"/>
    </x:row>
    <x:row r="68">
      <x:c r="A68" s="101" t="n">
        <x:v>46085</x:v>
      </x:c>
      <x:c r="B68" s="58" t="str">
        <x:v>EMP-0018</x:v>
      </x:c>
      <x:c r="C68" s="58" t="str">
        <x:v>초과근무</x:v>
      </x:c>
      <x:c r="D68" s="107" t="n">
        <x:v>3.2</x:v>
      </x:c>
      <x:c r="E68" s="58" t="str">
        <x:v>시간</x:v>
      </x:c>
      <x:c r="F68" s="76" t="str"/>
    </x:row>
    <x:row r="69">
      <x:c r="A69" s="101" t="n">
        <x:v>46086</x:v>
      </x:c>
      <x:c r="B69" s="58" t="str">
        <x:v>EMP-0019</x:v>
      </x:c>
      <x:c r="C69" s="58" t="str">
        <x:v>초과근무</x:v>
      </x:c>
      <x:c r="D69" s="107" t="n">
        <x:v>2.6</x:v>
      </x:c>
      <x:c r="E69" s="58" t="str">
        <x:v>시간</x:v>
      </x:c>
      <x:c r="F69" s="76" t="str"/>
    </x:row>
    <x:row r="70">
      <x:c r="A70" s="101" t="n">
        <x:v>46087</x:v>
      </x:c>
      <x:c r="B70" s="58" t="str">
        <x:v>EMP-0020</x:v>
      </x:c>
      <x:c r="C70" s="58" t="str">
        <x:v>연차</x:v>
      </x:c>
      <x:c r="D70" s="107" t="n">
        <x:v>0.9</x:v>
      </x:c>
      <x:c r="E70" s="58" t="str">
        <x:v>일</x:v>
      </x:c>
      <x:c r="F70" s="76" t="str"/>
    </x:row>
    <x:row r="71">
      <x:c r="A71" s="101" t="n">
        <x:v>46088</x:v>
      </x:c>
      <x:c r="B71" s="58" t="str">
        <x:v>EMP-0021</x:v>
      </x:c>
      <x:c r="C71" s="58" t="str">
        <x:v>초과근무</x:v>
      </x:c>
      <x:c r="D71" s="107" t="n">
        <x:v>3.9</x:v>
      </x:c>
      <x:c r="E71" s="58" t="str">
        <x:v>시간</x:v>
      </x:c>
      <x:c r="F71" s="76" t="str"/>
    </x:row>
    <x:row r="72">
      <x:c r="A72" s="101" t="n">
        <x:v>46089</x:v>
      </x:c>
      <x:c r="B72" s="58" t="str">
        <x:v>EMP-0022</x:v>
      </x:c>
      <x:c r="C72" s="58" t="str">
        <x:v>초과근무</x:v>
      </x:c>
      <x:c r="D72" s="107" t="n">
        <x:v>1.3</x:v>
      </x:c>
      <x:c r="E72" s="58" t="str">
        <x:v>시간</x:v>
      </x:c>
      <x:c r="F72" s="76" t="str"/>
    </x:row>
    <x:row r="73">
      <x:c r="A73" s="101" t="n">
        <x:v>46090</x:v>
      </x:c>
      <x:c r="B73" s="58" t="str">
        <x:v>EMP-0023</x:v>
      </x:c>
      <x:c r="C73" s="58" t="str">
        <x:v>초과근무</x:v>
      </x:c>
      <x:c r="D73" s="107" t="n">
        <x:v>1.3</x:v>
      </x:c>
      <x:c r="E73" s="58" t="str">
        <x:v>시간</x:v>
      </x:c>
      <x:c r="F73" s="76" t="str"/>
    </x:row>
    <x:row r="74">
      <x:c r="A74" s="101" t="n">
        <x:v>46091</x:v>
      </x:c>
      <x:c r="B74" s="58" t="str">
        <x:v>EMP-0024</x:v>
      </x:c>
      <x:c r="C74" s="58" t="str">
        <x:v>연차</x:v>
      </x:c>
      <x:c r="D74" s="107" t="n">
        <x:v>0.9</x:v>
      </x:c>
      <x:c r="E74" s="58" t="str">
        <x:v>일</x:v>
      </x:c>
      <x:c r="F74" s="76" t="str"/>
    </x:row>
    <x:row r="75">
      <x:c r="A75" s="101" t="n">
        <x:v>46092</x:v>
      </x:c>
      <x:c r="B75" s="58" t="str">
        <x:v>EMP-0025</x:v>
      </x:c>
      <x:c r="C75" s="58" t="str">
        <x:v>초과근무</x:v>
      </x:c>
      <x:c r="D75" s="107" t="n">
        <x:v>3.8</x:v>
      </x:c>
      <x:c r="E75" s="58" t="str">
        <x:v>시간</x:v>
      </x:c>
      <x:c r="F75" s="76" t="str"/>
    </x:row>
    <x:row r="76">
      <x:c r="A76" s="101" t="n">
        <x:v>46093</x:v>
      </x:c>
      <x:c r="B76" s="58" t="str">
        <x:v>EMP-0026</x:v>
      </x:c>
      <x:c r="C76" s="58" t="str">
        <x:v>초과근무</x:v>
      </x:c>
      <x:c r="D76" s="107" t="n">
        <x:v>1.4</x:v>
      </x:c>
      <x:c r="E76" s="58" t="str">
        <x:v>시간</x:v>
      </x:c>
      <x:c r="F76" s="76" t="str"/>
    </x:row>
    <x:row r="77">
      <x:c r="A77" s="101" t="n">
        <x:v>46094</x:v>
      </x:c>
      <x:c r="B77" s="58" t="str">
        <x:v>EMP-0027</x:v>
      </x:c>
      <x:c r="C77" s="58" t="str">
        <x:v>초과근무</x:v>
      </x:c>
      <x:c r="D77" s="107" t="n">
        <x:v>2.1</x:v>
      </x:c>
      <x:c r="E77" s="58" t="str">
        <x:v>시간</x:v>
      </x:c>
      <x:c r="F77" s="76" t="str"/>
    </x:row>
    <x:row r="78">
      <x:c r="A78" s="101" t="n">
        <x:v>46095</x:v>
      </x:c>
      <x:c r="B78" s="58" t="str">
        <x:v>EMP-0028</x:v>
      </x:c>
      <x:c r="C78" s="58" t="str">
        <x:v>연차</x:v>
      </x:c>
      <x:c r="D78" s="107" t="n">
        <x:v>0.9</x:v>
      </x:c>
      <x:c r="E78" s="58" t="str">
        <x:v>일</x:v>
      </x:c>
      <x:c r="F78" s="76" t="str"/>
    </x:row>
    <x:row r="79">
      <x:c r="A79" s="101" t="n">
        <x:v>46096</x:v>
      </x:c>
      <x:c r="B79" s="58" t="str">
        <x:v>EMP-0029</x:v>
      </x:c>
      <x:c r="C79" s="58" t="str">
        <x:v>초과근무</x:v>
      </x:c>
      <x:c r="D79" s="107" t="n">
        <x:v>3.6</x:v>
      </x:c>
      <x:c r="E79" s="58" t="str">
        <x:v>시간</x:v>
      </x:c>
      <x:c r="F79" s="76" t="str"/>
    </x:row>
    <x:row r="80">
      <x:c r="A80" s="101" t="n">
        <x:v>46097</x:v>
      </x:c>
      <x:c r="B80" s="58" t="str">
        <x:v>EMP-0030</x:v>
      </x:c>
      <x:c r="C80" s="58" t="str">
        <x:v>초과근무</x:v>
      </x:c>
      <x:c r="D80" s="107" t="n">
        <x:v>2</x:v>
      </x:c>
      <x:c r="E80" s="58" t="str">
        <x:v>시간</x:v>
      </x:c>
      <x:c r="F80" s="76" t="str"/>
    </x:row>
    <x:row r="81">
      <x:c r="A81" s="101" t="n">
        <x:v>46098</x:v>
      </x:c>
      <x:c r="B81" s="58" t="str">
        <x:v>EMP-0031</x:v>
      </x:c>
      <x:c r="C81" s="58" t="str">
        <x:v>초과근무</x:v>
      </x:c>
      <x:c r="D81" s="107" t="n">
        <x:v>3.9</x:v>
      </x:c>
      <x:c r="E81" s="58" t="str">
        <x:v>시간</x:v>
      </x:c>
      <x:c r="F81" s="76" t="str"/>
    </x:row>
    <x:row r="82">
      <x:c r="A82" s="101" t="n">
        <x:v>46099</x:v>
      </x:c>
      <x:c r="B82" s="58" t="str">
        <x:v>EMP-0032</x:v>
      </x:c>
      <x:c r="C82" s="58" t="str">
        <x:v>연차</x:v>
      </x:c>
      <x:c r="D82" s="107" t="n">
        <x:v>0.8</x:v>
      </x:c>
      <x:c r="E82" s="58" t="str">
        <x:v>일</x:v>
      </x:c>
      <x:c r="F82" s="76" t="str"/>
    </x:row>
    <x:row r="83">
      <x:c r="A83" s="101" t="n">
        <x:v>46100</x:v>
      </x:c>
      <x:c r="B83" s="58" t="str">
        <x:v>EMP-0033</x:v>
      </x:c>
      <x:c r="C83" s="58" t="str">
        <x:v>초과근무</x:v>
      </x:c>
      <x:c r="D83" s="107" t="n">
        <x:v>3.2</x:v>
      </x:c>
      <x:c r="E83" s="58" t="str">
        <x:v>시간</x:v>
      </x:c>
      <x:c r="F83" s="76" t="str"/>
    </x:row>
    <x:row r="84">
      <x:c r="A84" s="101" t="n">
        <x:v>46101</x:v>
      </x:c>
      <x:c r="B84" s="58" t="str">
        <x:v>EMP-0034</x:v>
      </x:c>
      <x:c r="C84" s="58" t="str">
        <x:v>초과근무</x:v>
      </x:c>
      <x:c r="D84" s="107" t="n">
        <x:v>2.7</x:v>
      </x:c>
      <x:c r="E84" s="58" t="str">
        <x:v>시간</x:v>
      </x:c>
      <x:c r="F84" s="76" t="str"/>
    </x:row>
    <x:row r="85">
      <x:c r="A85" s="101" t="n">
        <x:v>46102</x:v>
      </x:c>
      <x:c r="B85" s="58" t="str">
        <x:v>EMP-0035</x:v>
      </x:c>
      <x:c r="C85" s="58" t="str">
        <x:v>초과근무</x:v>
      </x:c>
      <x:c r="D85" s="107" t="n">
        <x:v>2.7</x:v>
      </x:c>
      <x:c r="E85" s="58" t="str">
        <x:v>시간</x:v>
      </x:c>
      <x:c r="F85" s="76" t="str"/>
    </x:row>
    <x:row r="86">
      <x:c r="A86" s="101" t="n">
        <x:v>46103</x:v>
      </x:c>
      <x:c r="B86" s="58" t="str">
        <x:v>EMP-0036</x:v>
      </x:c>
      <x:c r="C86" s="58" t="str">
        <x:v>연차</x:v>
      </x:c>
      <x:c r="D86" s="107" t="n">
        <x:v>0.8</x:v>
      </x:c>
      <x:c r="E86" s="58" t="str">
        <x:v>일</x:v>
      </x:c>
      <x:c r="F86" s="76" t="str"/>
    </x:row>
    <x:row r="87">
      <x:c r="A87" s="101" t="n">
        <x:v>46104</x:v>
      </x:c>
      <x:c r="B87" s="58" t="str">
        <x:v>EMP-0037</x:v>
      </x:c>
      <x:c r="C87" s="58" t="str">
        <x:v>초과근무</x:v>
      </x:c>
      <x:c r="D87" s="107" t="n">
        <x:v>2.2</x:v>
      </x:c>
      <x:c r="E87" s="58" t="str">
        <x:v>시간</x:v>
      </x:c>
      <x:c r="F87" s="76" t="str"/>
    </x:row>
    <x:row r="88">
      <x:c r="A88" s="101" t="n">
        <x:v>46105</x:v>
      </x:c>
      <x:c r="B88" s="58" t="str">
        <x:v>EMP-0038</x:v>
      </x:c>
      <x:c r="C88" s="58" t="str">
        <x:v>초과근무</x:v>
      </x:c>
      <x:c r="D88" s="107" t="n">
        <x:v>3.9</x:v>
      </x:c>
      <x:c r="E88" s="58" t="str">
        <x:v>시간</x:v>
      </x:c>
      <x:c r="F88" s="76" t="str"/>
    </x:row>
    <x:row r="89">
      <x:c r="A89" s="101" t="n">
        <x:v>46106</x:v>
      </x:c>
      <x:c r="B89" s="58" t="str">
        <x:v>EMP-0039</x:v>
      </x:c>
      <x:c r="C89" s="58" t="str">
        <x:v>초과근무</x:v>
      </x:c>
      <x:c r="D89" s="107" t="n">
        <x:v>3.7</x:v>
      </x:c>
      <x:c r="E89" s="58" t="str">
        <x:v>시간</x:v>
      </x:c>
      <x:c r="F89" s="76" t="str"/>
    </x:row>
    <x:row r="90">
      <x:c r="A90" s="101" t="n">
        <x:v>46107</x:v>
      </x:c>
      <x:c r="B90" s="58" t="str">
        <x:v>EMP-0040</x:v>
      </x:c>
      <x:c r="C90" s="58" t="str">
        <x:v>연차</x:v>
      </x:c>
      <x:c r="D90" s="107" t="n">
        <x:v>1</x:v>
      </x:c>
      <x:c r="E90" s="58" t="str">
        <x:v>일</x:v>
      </x:c>
      <x:c r="F90" s="76" t="str"/>
    </x:row>
    <x:row r="91">
      <x:c r="A91" s="101" t="n">
        <x:v>46108</x:v>
      </x:c>
      <x:c r="B91" s="58" t="str">
        <x:v>EMP-0041</x:v>
      </x:c>
      <x:c r="C91" s="58" t="str">
        <x:v>초과근무</x:v>
      </x:c>
      <x:c r="D91" s="107" t="n">
        <x:v>1.1</x:v>
      </x:c>
      <x:c r="E91" s="58" t="str">
        <x:v>시간</x:v>
      </x:c>
      <x:c r="F91" s="76" t="str"/>
    </x:row>
    <x:row r="92">
      <x:c r="A92" s="101" t="n">
        <x:v>46109</x:v>
      </x:c>
      <x:c r="B92" s="58" t="str">
        <x:v>EMP-0042</x:v>
      </x:c>
      <x:c r="C92" s="58" t="str">
        <x:v>초과근무</x:v>
      </x:c>
      <x:c r="D92" s="107" t="n">
        <x:v>3.2</x:v>
      </x:c>
      <x:c r="E92" s="58" t="str">
        <x:v>시간</x:v>
      </x:c>
      <x:c r="F92" s="76" t="str"/>
    </x:row>
    <x:row r="93">
      <x:c r="A93" s="101" t="n">
        <x:v>46110</x:v>
      </x:c>
      <x:c r="B93" s="58" t="str">
        <x:v>EMP-0043</x:v>
      </x:c>
      <x:c r="C93" s="58" t="str">
        <x:v>초과근무</x:v>
      </x:c>
      <x:c r="D93" s="107" t="n">
        <x:v>2.8</x:v>
      </x:c>
      <x:c r="E93" s="58" t="str">
        <x:v>시간</x:v>
      </x:c>
      <x:c r="F93" s="76" t="str"/>
    </x:row>
    <x:row r="94">
      <x:c r="A94" s="101" t="n">
        <x:v>46111</x:v>
      </x:c>
      <x:c r="B94" s="58" t="str">
        <x:v>EMP-0044</x:v>
      </x:c>
      <x:c r="C94" s="58" t="str">
        <x:v>연차</x:v>
      </x:c>
      <x:c r="D94" s="107" t="n">
        <x:v>0.9</x:v>
      </x:c>
      <x:c r="E94" s="58" t="str">
        <x:v>일</x:v>
      </x:c>
      <x:c r="F94" s="76" t="str"/>
    </x:row>
    <x:row r="95">
      <x:c r="A95" s="101" t="n">
        <x:v>46112</x:v>
      </x:c>
      <x:c r="B95" s="58" t="str">
        <x:v>EMP-0045</x:v>
      </x:c>
      <x:c r="C95" s="58" t="str">
        <x:v>초과근무</x:v>
      </x:c>
      <x:c r="D95" s="107" t="n">
        <x:v>1.6</x:v>
      </x:c>
      <x:c r="E95" s="58" t="str">
        <x:v>시간</x:v>
      </x:c>
      <x:c r="F95" s="76" t="str"/>
    </x:row>
    <x:row r="96">
      <x:c r="A96" s="101" t="n">
        <x:v>46113</x:v>
      </x:c>
      <x:c r="B96" s="58" t="str">
        <x:v>EMP-0001</x:v>
      </x:c>
      <x:c r="C96" s="58" t="str">
        <x:v>초과근무</x:v>
      </x:c>
      <x:c r="D96" s="107" t="n">
        <x:v>1.8</x:v>
      </x:c>
      <x:c r="E96" s="58" t="str">
        <x:v>시간</x:v>
      </x:c>
      <x:c r="F96" s="76" t="str"/>
    </x:row>
    <x:row r="97">
      <x:c r="A97" s="101" t="n">
        <x:v>46114</x:v>
      </x:c>
      <x:c r="B97" s="58" t="str">
        <x:v>EMP-0002</x:v>
      </x:c>
      <x:c r="C97" s="58" t="str">
        <x:v>초과근무</x:v>
      </x:c>
      <x:c r="D97" s="107" t="n">
        <x:v>2.2</x:v>
      </x:c>
      <x:c r="E97" s="58" t="str">
        <x:v>시간</x:v>
      </x:c>
      <x:c r="F97" s="76" t="str"/>
    </x:row>
    <x:row r="98">
      <x:c r="A98" s="101" t="n">
        <x:v>46115</x:v>
      </x:c>
      <x:c r="B98" s="58" t="str">
        <x:v>EMP-0003</x:v>
      </x:c>
      <x:c r="C98" s="58" t="str">
        <x:v>연차</x:v>
      </x:c>
      <x:c r="D98" s="107" t="n">
        <x:v>0.9</x:v>
      </x:c>
      <x:c r="E98" s="58" t="str">
        <x:v>일</x:v>
      </x:c>
      <x:c r="F98" s="76" t="str"/>
    </x:row>
    <x:row r="99">
      <x:c r="A99" s="101" t="n">
        <x:v>46116</x:v>
      </x:c>
      <x:c r="B99" s="58" t="str">
        <x:v>EMP-0004</x:v>
      </x:c>
      <x:c r="C99" s="58" t="str">
        <x:v>초과근무</x:v>
      </x:c>
      <x:c r="D99" s="107" t="n">
        <x:v>3.4</x:v>
      </x:c>
      <x:c r="E99" s="58" t="str">
        <x:v>시간</x:v>
      </x:c>
      <x:c r="F99" s="76" t="str"/>
    </x:row>
    <x:row r="100">
      <x:c r="A100" s="101" t="n">
        <x:v>46117</x:v>
      </x:c>
      <x:c r="B100" s="58" t="str">
        <x:v>EMP-0005</x:v>
      </x:c>
      <x:c r="C100" s="58" t="str">
        <x:v>초과근무</x:v>
      </x:c>
      <x:c r="D100" s="107" t="n">
        <x:v>3.6</x:v>
      </x:c>
      <x:c r="E100" s="58" t="str">
        <x:v>시간</x:v>
      </x:c>
      <x:c r="F100" s="76" t="str"/>
    </x:row>
    <x:row r="101">
      <x:c r="A101" s="101" t="n">
        <x:v>46118</x:v>
      </x:c>
      <x:c r="B101" s="58" t="str">
        <x:v>EMP-0006</x:v>
      </x:c>
      <x:c r="C101" s="58" t="str">
        <x:v>초과근무</x:v>
      </x:c>
      <x:c r="D101" s="107" t="n">
        <x:v>3.2</x:v>
      </x:c>
      <x:c r="E101" s="58" t="str">
        <x:v>시간</x:v>
      </x:c>
      <x:c r="F101" s="76" t="str"/>
    </x:row>
    <x:row r="102">
      <x:c r="A102" s="101" t="n">
        <x:v>46119</x:v>
      </x:c>
      <x:c r="B102" s="58" t="str">
        <x:v>EMP-0007</x:v>
      </x:c>
      <x:c r="C102" s="58" t="str">
        <x:v>연차</x:v>
      </x:c>
      <x:c r="D102" s="107" t="n">
        <x:v>0.8</x:v>
      </x:c>
      <x:c r="E102" s="58" t="str">
        <x:v>일</x:v>
      </x:c>
      <x:c r="F102" s="76" t="str"/>
    </x:row>
    <x:row r="103">
      <x:c r="A103" s="101" t="n">
        <x:v>46120</x:v>
      </x:c>
      <x:c r="B103" s="58" t="str">
        <x:v>EMP-0008</x:v>
      </x:c>
      <x:c r="C103" s="58" t="str">
        <x:v>초과근무</x:v>
      </x:c>
      <x:c r="D103" s="107" t="n">
        <x:v>1.8</x:v>
      </x:c>
      <x:c r="E103" s="58" t="str">
        <x:v>시간</x:v>
      </x:c>
      <x:c r="F103" s="76" t="str"/>
    </x:row>
    <x:row r="104">
      <x:c r="A104" s="101" t="n">
        <x:v>46121</x:v>
      </x:c>
      <x:c r="B104" s="58" t="str">
        <x:v>EMP-0009</x:v>
      </x:c>
      <x:c r="C104" s="58" t="str">
        <x:v>초과근무</x:v>
      </x:c>
      <x:c r="D104" s="107" t="n">
        <x:v>2.3</x:v>
      </x:c>
      <x:c r="E104" s="58" t="str">
        <x:v>시간</x:v>
      </x:c>
      <x:c r="F104" s="76" t="str"/>
    </x:row>
    <x:row r="105">
      <x:c r="A105" s="101" t="n">
        <x:v>46122</x:v>
      </x:c>
      <x:c r="B105" s="58" t="str">
        <x:v>EMP-0010</x:v>
      </x:c>
      <x:c r="C105" s="58" t="str">
        <x:v>초과근무</x:v>
      </x:c>
      <x:c r="D105" s="107" t="n">
        <x:v>3</x:v>
      </x:c>
      <x:c r="E105" s="58" t="str">
        <x:v>시간</x:v>
      </x:c>
      <x:c r="F105" s="76" t="str"/>
    </x:row>
    <x:row r="106">
      <x:c r="A106" s="101" t="n">
        <x:v>46123</x:v>
      </x:c>
      <x:c r="B106" s="58" t="str">
        <x:v>EMP-0011</x:v>
      </x:c>
      <x:c r="C106" s="58" t="str">
        <x:v>연차</x:v>
      </x:c>
      <x:c r="D106" s="107" t="n">
        <x:v>0.8</x:v>
      </x:c>
      <x:c r="E106" s="58" t="str">
        <x:v>일</x:v>
      </x:c>
      <x:c r="F106" s="76" t="str"/>
    </x:row>
    <x:row r="107">
      <x:c r="A107" s="101" t="n">
        <x:v>46124</x:v>
      </x:c>
      <x:c r="B107" s="58" t="str">
        <x:v>EMP-0012</x:v>
      </x:c>
      <x:c r="C107" s="58" t="str">
        <x:v>초과근무</x:v>
      </x:c>
      <x:c r="D107" s="107" t="n">
        <x:v>3</x:v>
      </x:c>
      <x:c r="E107" s="58" t="str">
        <x:v>시간</x:v>
      </x:c>
      <x:c r="F107" s="76" t="str"/>
    </x:row>
    <x:row r="108">
      <x:c r="A108" s="101" t="n">
        <x:v>46125</x:v>
      </x:c>
      <x:c r="B108" s="58" t="str">
        <x:v>EMP-0013</x:v>
      </x:c>
      <x:c r="C108" s="58" t="str">
        <x:v>초과근무</x:v>
      </x:c>
      <x:c r="D108" s="107" t="n">
        <x:v>3.3</x:v>
      </x:c>
      <x:c r="E108" s="58" t="str">
        <x:v>시간</x:v>
      </x:c>
      <x:c r="F108" s="76" t="str"/>
    </x:row>
    <x:row r="109">
      <x:c r="A109" s="101" t="n">
        <x:v>46126</x:v>
      </x:c>
      <x:c r="B109" s="58" t="str">
        <x:v>EMP-0014</x:v>
      </x:c>
      <x:c r="C109" s="58" t="str">
        <x:v>초과근무</x:v>
      </x:c>
      <x:c r="D109" s="107" t="n">
        <x:v>1.4</x:v>
      </x:c>
      <x:c r="E109" s="58" t="str">
        <x:v>시간</x:v>
      </x:c>
      <x:c r="F109" s="76" t="str"/>
    </x:row>
    <x:row r="110">
      <x:c r="A110" s="101" t="n">
        <x:v>46127</x:v>
      </x:c>
      <x:c r="B110" s="58" t="str">
        <x:v>EMP-0015</x:v>
      </x:c>
      <x:c r="C110" s="58" t="str">
        <x:v>연차</x:v>
      </x:c>
      <x:c r="D110" s="107" t="n">
        <x:v>0.5</x:v>
      </x:c>
      <x:c r="E110" s="58" t="str">
        <x:v>일</x:v>
      </x:c>
      <x:c r="F110" s="76" t="str"/>
    </x:row>
    <x:row r="111">
      <x:c r="A111" s="101" t="n">
        <x:v>46128</x:v>
      </x:c>
      <x:c r="B111" s="58" t="str">
        <x:v>EMP-0016</x:v>
      </x:c>
      <x:c r="C111" s="58" t="str">
        <x:v>초과근무</x:v>
      </x:c>
      <x:c r="D111" s="107" t="n">
        <x:v>3.1</x:v>
      </x:c>
      <x:c r="E111" s="58" t="str">
        <x:v>시간</x:v>
      </x:c>
      <x:c r="F111" s="76" t="str"/>
    </x:row>
    <x:row r="112">
      <x:c r="A112" s="101" t="n">
        <x:v>46129</x:v>
      </x:c>
      <x:c r="B112" s="58" t="str">
        <x:v>EMP-0017</x:v>
      </x:c>
      <x:c r="C112" s="58" t="str">
        <x:v>초과근무</x:v>
      </x:c>
      <x:c r="D112" s="107" t="n">
        <x:v>2.5</x:v>
      </x:c>
      <x:c r="E112" s="58" t="str">
        <x:v>시간</x:v>
      </x:c>
      <x:c r="F112" s="76" t="str"/>
    </x:row>
    <x:row r="113">
      <x:c r="A113" s="101" t="n">
        <x:v>46130</x:v>
      </x:c>
      <x:c r="B113" s="58" t="str">
        <x:v>EMP-0018</x:v>
      </x:c>
      <x:c r="C113" s="58" t="str">
        <x:v>초과근무</x:v>
      </x:c>
      <x:c r="D113" s="107" t="n">
        <x:v>2.7</x:v>
      </x:c>
      <x:c r="E113" s="58" t="str">
        <x:v>시간</x:v>
      </x:c>
      <x:c r="F113" s="76" t="str"/>
    </x:row>
    <x:row r="114">
      <x:c r="A114" s="101" t="n">
        <x:v>46131</x:v>
      </x:c>
      <x:c r="B114" s="58" t="str">
        <x:v>EMP-0019</x:v>
      </x:c>
      <x:c r="C114" s="58" t="str">
        <x:v>연차</x:v>
      </x:c>
      <x:c r="D114" s="107" t="n">
        <x:v>0.8</x:v>
      </x:c>
      <x:c r="E114" s="58" t="str">
        <x:v>일</x:v>
      </x:c>
      <x:c r="F114" s="76" t="str"/>
    </x:row>
    <x:row r="115">
      <x:c r="A115" s="101" t="n">
        <x:v>46132</x:v>
      </x:c>
      <x:c r="B115" s="58" t="str">
        <x:v>EMP-0020</x:v>
      </x:c>
      <x:c r="C115" s="58" t="str">
        <x:v>초과근무</x:v>
      </x:c>
      <x:c r="D115" s="107" t="n">
        <x:v>1.2</x:v>
      </x:c>
      <x:c r="E115" s="58" t="str">
        <x:v>시간</x:v>
      </x:c>
      <x:c r="F115" s="76" t="str"/>
    </x:row>
    <x:row r="116">
      <x:c r="A116" s="101" t="n">
        <x:v>46133</x:v>
      </x:c>
      <x:c r="B116" s="58" t="str">
        <x:v>EMP-0021</x:v>
      </x:c>
      <x:c r="C116" s="58" t="str">
        <x:v>초과근무</x:v>
      </x:c>
      <x:c r="D116" s="107" t="n">
        <x:v>3.4</x:v>
      </x:c>
      <x:c r="E116" s="58" t="str">
        <x:v>시간</x:v>
      </x:c>
      <x:c r="F116" s="76" t="str"/>
    </x:row>
    <x:row r="117">
      <x:c r="A117" s="101" t="n">
        <x:v>46134</x:v>
      </x:c>
      <x:c r="B117" s="58" t="str">
        <x:v>EMP-0022</x:v>
      </x:c>
      <x:c r="C117" s="58" t="str">
        <x:v>초과근무</x:v>
      </x:c>
      <x:c r="D117" s="107" t="n">
        <x:v>2.4</x:v>
      </x:c>
      <x:c r="E117" s="58" t="str">
        <x:v>시간</x:v>
      </x:c>
      <x:c r="F117" s="76" t="str"/>
    </x:row>
    <x:row r="118">
      <x:c r="A118" s="101" t="n">
        <x:v>46135</x:v>
      </x:c>
      <x:c r="B118" s="58" t="str">
        <x:v>EMP-0023</x:v>
      </x:c>
      <x:c r="C118" s="58" t="str">
        <x:v>연차</x:v>
      </x:c>
      <x:c r="D118" s="107" t="n">
        <x:v>0.7</x:v>
      </x:c>
      <x:c r="E118" s="58" t="str">
        <x:v>일</x:v>
      </x:c>
      <x:c r="F118" s="76" t="str"/>
    </x:row>
    <x:row r="119">
      <x:c r="A119" s="101" t="n">
        <x:v>46136</x:v>
      </x:c>
      <x:c r="B119" s="58" t="str">
        <x:v>EMP-0024</x:v>
      </x:c>
      <x:c r="C119" s="58" t="str">
        <x:v>초과근무</x:v>
      </x:c>
      <x:c r="D119" s="107" t="n">
        <x:v>3.7</x:v>
      </x:c>
      <x:c r="E119" s="58" t="str">
        <x:v>시간</x:v>
      </x:c>
      <x:c r="F119" s="76" t="str"/>
    </x:row>
    <x:row r="120">
      <x:c r="A120" s="101" t="n">
        <x:v>46137</x:v>
      </x:c>
      <x:c r="B120" s="58" t="str">
        <x:v>EMP-0025</x:v>
      </x:c>
      <x:c r="C120" s="58" t="str">
        <x:v>초과근무</x:v>
      </x:c>
      <x:c r="D120" s="107" t="n">
        <x:v>2.4</x:v>
      </x:c>
      <x:c r="E120" s="58" t="str">
        <x:v>시간</x:v>
      </x:c>
      <x:c r="F120" s="76" t="str"/>
    </x:row>
    <x:row r="121">
      <x:c r="A121" s="101" t="n">
        <x:v>46138</x:v>
      </x:c>
      <x:c r="B121" s="58" t="str">
        <x:v>EMP-0026</x:v>
      </x:c>
      <x:c r="C121" s="58" t="str">
        <x:v>초과근무</x:v>
      </x:c>
      <x:c r="D121" s="107" t="n">
        <x:v>3.1</x:v>
      </x:c>
      <x:c r="E121" s="58" t="str">
        <x:v>시간</x:v>
      </x:c>
      <x:c r="F121" s="76" t="str"/>
    </x:row>
    <x:row r="122">
      <x:c r="A122" s="101" t="n">
        <x:v>46139</x:v>
      </x:c>
      <x:c r="B122" s="58" t="str">
        <x:v>EMP-0027</x:v>
      </x:c>
      <x:c r="C122" s="58" t="str">
        <x:v>연차</x:v>
      </x:c>
      <x:c r="D122" s="107" t="n">
        <x:v>1</x:v>
      </x:c>
      <x:c r="E122" s="58" t="str">
        <x:v>일</x:v>
      </x:c>
      <x:c r="F122" s="76" t="str"/>
    </x:row>
    <x:row r="123">
      <x:c r="A123" s="101" t="n">
        <x:v>46140</x:v>
      </x:c>
      <x:c r="B123" s="58" t="str">
        <x:v>EMP-0028</x:v>
      </x:c>
      <x:c r="C123" s="58" t="str">
        <x:v>초과근무</x:v>
      </x:c>
      <x:c r="D123" s="107" t="n">
        <x:v>2.1</x:v>
      </x:c>
      <x:c r="E123" s="58" t="str">
        <x:v>시간</x:v>
      </x:c>
      <x:c r="F123" s="76" t="str"/>
    </x:row>
    <x:row r="124">
      <x:c r="A124" s="101" t="n">
        <x:v>46141</x:v>
      </x:c>
      <x:c r="B124" s="58" t="str">
        <x:v>EMP-0029</x:v>
      </x:c>
      <x:c r="C124" s="58" t="str">
        <x:v>초과근무</x:v>
      </x:c>
      <x:c r="D124" s="107" t="n">
        <x:v>1.7</x:v>
      </x:c>
      <x:c r="E124" s="58" t="str">
        <x:v>시간</x:v>
      </x:c>
      <x:c r="F124" s="76" t="str"/>
    </x:row>
    <x:row r="125">
      <x:c r="A125" s="101" t="n">
        <x:v>46142</x:v>
      </x:c>
      <x:c r="B125" s="58" t="str">
        <x:v>EMP-0030</x:v>
      </x:c>
      <x:c r="C125" s="58" t="str">
        <x:v>초과근무</x:v>
      </x:c>
      <x:c r="D125" s="107" t="n">
        <x:v>3.8</x:v>
      </x:c>
      <x:c r="E125" s="58" t="str">
        <x:v>시간</x:v>
      </x:c>
      <x:c r="F125" s="76" t="str"/>
    </x:row>
    <x:row r="126">
      <x:c r="A126" s="101" t="n">
        <x:v>46143</x:v>
      </x:c>
      <x:c r="B126" s="58" t="str">
        <x:v>EMP-0031</x:v>
      </x:c>
      <x:c r="C126" s="58" t="str">
        <x:v>연차</x:v>
      </x:c>
      <x:c r="D126" s="107" t="n">
        <x:v>0.8</x:v>
      </x:c>
      <x:c r="E126" s="58" t="str">
        <x:v>일</x:v>
      </x:c>
      <x:c r="F126" s="76" t="str"/>
    </x:row>
    <x:row r="127">
      <x:c r="A127" s="101" t="n">
        <x:v>46144</x:v>
      </x:c>
      <x:c r="B127" s="58" t="str">
        <x:v>EMP-0032</x:v>
      </x:c>
      <x:c r="C127" s="58" t="str">
        <x:v>초과근무</x:v>
      </x:c>
      <x:c r="D127" s="107" t="n">
        <x:v>3.1</x:v>
      </x:c>
      <x:c r="E127" s="58" t="str">
        <x:v>시간</x:v>
      </x:c>
      <x:c r="F127" s="76" t="str"/>
    </x:row>
    <x:row r="128">
      <x:c r="A128" s="101" t="n">
        <x:v>46145</x:v>
      </x:c>
      <x:c r="B128" s="58" t="str">
        <x:v>EMP-0033</x:v>
      </x:c>
      <x:c r="C128" s="58" t="str">
        <x:v>초과근무</x:v>
      </x:c>
      <x:c r="D128" s="107" t="n">
        <x:v>2.2</x:v>
      </x:c>
      <x:c r="E128" s="58" t="str">
        <x:v>시간</x:v>
      </x:c>
      <x:c r="F128" s="76" t="str"/>
    </x:row>
    <x:row r="129">
      <x:c r="A129" s="101" t="n">
        <x:v>46146</x:v>
      </x:c>
      <x:c r="B129" s="58" t="str">
        <x:v>EMP-0034</x:v>
      </x:c>
      <x:c r="C129" s="58" t="str">
        <x:v>초과근무</x:v>
      </x:c>
      <x:c r="D129" s="107" t="n">
        <x:v>2.5</x:v>
      </x:c>
      <x:c r="E129" s="58" t="str">
        <x:v>시간</x:v>
      </x:c>
      <x:c r="F129" s="76" t="str"/>
    </x:row>
    <x:row r="130">
      <x:c r="A130" s="101" t="n">
        <x:v>46147</x:v>
      </x:c>
      <x:c r="B130" s="58" t="str">
        <x:v>EMP-0035</x:v>
      </x:c>
      <x:c r="C130" s="58" t="str">
        <x:v>연차</x:v>
      </x:c>
      <x:c r="D130" s="107" t="n">
        <x:v>0.8</x:v>
      </x:c>
      <x:c r="E130" s="58" t="str">
        <x:v>일</x:v>
      </x:c>
      <x:c r="F130" s="76" t="str"/>
    </x:row>
    <x:row r="131">
      <x:c r="A131" s="101" t="n">
        <x:v>46148</x:v>
      </x:c>
      <x:c r="B131" s="58" t="str">
        <x:v>EMP-0036</x:v>
      </x:c>
      <x:c r="C131" s="58" t="str">
        <x:v>초과근무</x:v>
      </x:c>
      <x:c r="D131" s="107" t="n">
        <x:v>2</x:v>
      </x:c>
      <x:c r="E131" s="58" t="str">
        <x:v>시간</x:v>
      </x:c>
      <x:c r="F131" s="76" t="str"/>
    </x:row>
    <x:row r="132">
      <x:c r="A132" s="101" t="n">
        <x:v>46149</x:v>
      </x:c>
      <x:c r="B132" s="58" t="str">
        <x:v>EMP-0037</x:v>
      </x:c>
      <x:c r="C132" s="58" t="str">
        <x:v>초과근무</x:v>
      </x:c>
      <x:c r="D132" s="107" t="n">
        <x:v>1.6</x:v>
      </x:c>
      <x:c r="E132" s="58" t="str">
        <x:v>시간</x:v>
      </x:c>
      <x:c r="F132" s="76" t="str"/>
    </x:row>
    <x:row r="133">
      <x:c r="A133" s="101" t="n">
        <x:v>46150</x:v>
      </x:c>
      <x:c r="B133" s="58" t="str">
        <x:v>EMP-0038</x:v>
      </x:c>
      <x:c r="C133" s="58" t="str">
        <x:v>초과근무</x:v>
      </x:c>
      <x:c r="D133" s="107" t="n">
        <x:v>3.4</x:v>
      </x:c>
      <x:c r="E133" s="58" t="str">
        <x:v>시간</x:v>
      </x:c>
      <x:c r="F133" s="76" t="str"/>
    </x:row>
    <x:row r="134">
      <x:c r="A134" s="101" t="n">
        <x:v>46151</x:v>
      </x:c>
      <x:c r="B134" s="58" t="str">
        <x:v>EMP-0039</x:v>
      </x:c>
      <x:c r="C134" s="58" t="str">
        <x:v>연차</x:v>
      </x:c>
      <x:c r="D134" s="107" t="n">
        <x:v>1</x:v>
      </x:c>
      <x:c r="E134" s="58" t="str">
        <x:v>일</x:v>
      </x:c>
      <x:c r="F134" s="76" t="str"/>
    </x:row>
    <x:row r="135">
      <x:c r="A135" s="101" t="n">
        <x:v>46152</x:v>
      </x:c>
      <x:c r="B135" s="58" t="str">
        <x:v>EMP-0040</x:v>
      </x:c>
      <x:c r="C135" s="58" t="str">
        <x:v>초과근무</x:v>
      </x:c>
      <x:c r="D135" s="107" t="n">
        <x:v>3.9</x:v>
      </x:c>
      <x:c r="E135" s="58" t="str">
        <x:v>시간</x:v>
      </x:c>
      <x:c r="F135" s="76" t="str"/>
    </x:row>
    <x:row r="136">
      <x:c r="A136" s="101" t="n">
        <x:v>46153</x:v>
      </x:c>
      <x:c r="B136" s="58" t="str">
        <x:v>EMP-0041</x:v>
      </x:c>
      <x:c r="C136" s="58" t="str">
        <x:v>초과근무</x:v>
      </x:c>
      <x:c r="D136" s="107" t="n">
        <x:v>2.4</x:v>
      </x:c>
      <x:c r="E136" s="58" t="str">
        <x:v>시간</x:v>
      </x:c>
      <x:c r="F136" s="76" t="str"/>
    </x:row>
    <x:row r="137">
      <x:c r="A137" s="101" t="n">
        <x:v>46154</x:v>
      </x:c>
      <x:c r="B137" s="58" t="str">
        <x:v>EMP-0042</x:v>
      </x:c>
      <x:c r="C137" s="58" t="str">
        <x:v>초과근무</x:v>
      </x:c>
      <x:c r="D137" s="107" t="n">
        <x:v>1.1</x:v>
      </x:c>
      <x:c r="E137" s="58" t="str">
        <x:v>시간</x:v>
      </x:c>
      <x:c r="F137" s="76" t="str"/>
    </x:row>
    <x:row r="138">
      <x:c r="A138" s="101" t="n">
        <x:v>46155</x:v>
      </x:c>
      <x:c r="B138" s="58" t="str">
        <x:v>EMP-0043</x:v>
      </x:c>
      <x:c r="C138" s="58" t="str">
        <x:v>연차</x:v>
      </x:c>
      <x:c r="D138" s="107" t="n">
        <x:v>0.8</x:v>
      </x:c>
      <x:c r="E138" s="58" t="str">
        <x:v>일</x:v>
      </x:c>
      <x:c r="F138" s="76" t="str"/>
    </x:row>
    <x:row r="139">
      <x:c r="A139" s="101" t="n">
        <x:v>46156</x:v>
      </x:c>
      <x:c r="B139" s="58" t="str">
        <x:v>EMP-0044</x:v>
      </x:c>
      <x:c r="C139" s="58" t="str">
        <x:v>초과근무</x:v>
      </x:c>
      <x:c r="D139" s="107" t="n">
        <x:v>3.4</x:v>
      </x:c>
      <x:c r="E139" s="58" t="str">
        <x:v>시간</x:v>
      </x:c>
      <x:c r="F139" s="76" t="str"/>
    </x:row>
    <x:row r="140">
      <x:c r="A140" s="101" t="n">
        <x:v>46157</x:v>
      </x:c>
      <x:c r="B140" s="58" t="str">
        <x:v>EMP-0045</x:v>
      </x:c>
      <x:c r="C140" s="58" t="str">
        <x:v>초과근무</x:v>
      </x:c>
      <x:c r="D140" s="107" t="n">
        <x:v>2.9</x:v>
      </x:c>
      <x:c r="E140" s="58" t="str">
        <x:v>시간</x:v>
      </x:c>
      <x:c r="F140" s="76" t="str"/>
    </x:row>
    <x:row r="141">
      <x:c r="A141" s="101" t="n">
        <x:v>46158</x:v>
      </x:c>
      <x:c r="B141" s="58" t="str">
        <x:v>EMP-0001</x:v>
      </x:c>
      <x:c r="C141" s="58" t="str">
        <x:v>초과근무</x:v>
      </x:c>
      <x:c r="D141" s="107" t="n">
        <x:v>1.1</x:v>
      </x:c>
      <x:c r="E141" s="58" t="str">
        <x:v>시간</x:v>
      </x:c>
      <x:c r="F141" s="76" t="str"/>
    </x:row>
    <x:row r="142">
      <x:c r="A142" s="101" t="n">
        <x:v>46159</x:v>
      </x:c>
      <x:c r="B142" s="58" t="str">
        <x:v>EMP-0002</x:v>
      </x:c>
      <x:c r="C142" s="58" t="str">
        <x:v>연차</x:v>
      </x:c>
      <x:c r="D142" s="107" t="n">
        <x:v>0.7</x:v>
      </x:c>
      <x:c r="E142" s="58" t="str">
        <x:v>일</x:v>
      </x:c>
      <x:c r="F142" s="76" t="str"/>
    </x:row>
    <x:row r="143">
      <x:c r="A143" s="101" t="n">
        <x:v>46160</x:v>
      </x:c>
      <x:c r="B143" s="58" t="str">
        <x:v>EMP-0003</x:v>
      </x:c>
      <x:c r="C143" s="58" t="str">
        <x:v>초과근무</x:v>
      </x:c>
      <x:c r="D143" s="107" t="n">
        <x:v>2.1</x:v>
      </x:c>
      <x:c r="E143" s="58" t="str">
        <x:v>시간</x:v>
      </x:c>
      <x:c r="F143" s="76" t="str"/>
    </x:row>
    <x:row r="144">
      <x:c r="A144" s="101" t="n">
        <x:v>46161</x:v>
      </x:c>
      <x:c r="B144" s="58" t="str">
        <x:v>EMP-0004</x:v>
      </x:c>
      <x:c r="C144" s="58" t="str">
        <x:v>초과근무</x:v>
      </x:c>
      <x:c r="D144" s="107" t="n">
        <x:v>2.2</x:v>
      </x:c>
      <x:c r="E144" s="58" t="str">
        <x:v>시간</x:v>
      </x:c>
      <x:c r="F144" s="76" t="str"/>
    </x:row>
    <x:row r="145">
      <x:c r="A145" s="101" t="n">
        <x:v>46162</x:v>
      </x:c>
      <x:c r="B145" s="58" t="str">
        <x:v>EMP-0005</x:v>
      </x:c>
      <x:c r="C145" s="58" t="str">
        <x:v>초과근무</x:v>
      </x:c>
      <x:c r="D145" s="107" t="n">
        <x:v>4</x:v>
      </x:c>
      <x:c r="E145" s="58" t="str">
        <x:v>시간</x:v>
      </x:c>
      <x:c r="F145" s="76" t="str"/>
    </x:row>
    <x:row r="146">
      <x:c r="A146" s="101" t="n">
        <x:v>46163</x:v>
      </x:c>
      <x:c r="B146" s="58" t="str">
        <x:v>EMP-0006</x:v>
      </x:c>
      <x:c r="C146" s="58" t="str">
        <x:v>연차</x:v>
      </x:c>
      <x:c r="D146" s="107" t="n">
        <x:v>0.8</x:v>
      </x:c>
      <x:c r="E146" s="58" t="str">
        <x:v>일</x:v>
      </x:c>
      <x:c r="F146" s="76" t="str"/>
    </x:row>
    <x:row r="147">
      <x:c r="A147" s="101" t="n">
        <x:v>46164</x:v>
      </x:c>
      <x:c r="B147" s="58" t="str">
        <x:v>EMP-0007</x:v>
      </x:c>
      <x:c r="C147" s="58" t="str">
        <x:v>초과근무</x:v>
      </x:c>
      <x:c r="D147" s="107" t="n">
        <x:v>2.1</x:v>
      </x:c>
      <x:c r="E147" s="58" t="str">
        <x:v>시간</x:v>
      </x:c>
      <x:c r="F147" s="76" t="str"/>
    </x:row>
    <x:row r="148">
      <x:c r="A148" s="101" t="n">
        <x:v>46165</x:v>
      </x:c>
      <x:c r="B148" s="58" t="str">
        <x:v>EMP-0008</x:v>
      </x:c>
      <x:c r="C148" s="58" t="str">
        <x:v>초과근무</x:v>
      </x:c>
      <x:c r="D148" s="107" t="n">
        <x:v>1.1</x:v>
      </x:c>
      <x:c r="E148" s="58" t="str">
        <x:v>시간</x:v>
      </x:c>
      <x:c r="F148" s="76" t="str"/>
    </x:row>
    <x:row r="149">
      <x:c r="A149" s="101" t="n">
        <x:v>46166</x:v>
      </x:c>
      <x:c r="B149" s="58" t="str">
        <x:v>EMP-0009</x:v>
      </x:c>
      <x:c r="C149" s="58" t="str">
        <x:v>초과근무</x:v>
      </x:c>
      <x:c r="D149" s="107" t="n">
        <x:v>2.1</x:v>
      </x:c>
      <x:c r="E149" s="58" t="str">
        <x:v>시간</x:v>
      </x:c>
      <x:c r="F149" s="76" t="str"/>
    </x:row>
    <x:row r="150">
      <x:c r="A150" s="101" t="n">
        <x:v>46167</x:v>
      </x:c>
      <x:c r="B150" s="58" t="str">
        <x:v>EMP-0010</x:v>
      </x:c>
      <x:c r="C150" s="58" t="str">
        <x:v>연차</x:v>
      </x:c>
      <x:c r="D150" s="107" t="n">
        <x:v>0.8</x:v>
      </x:c>
      <x:c r="E150" s="58" t="str">
        <x:v>일</x:v>
      </x:c>
      <x:c r="F150" s="76" t="str"/>
    </x:row>
    <x:row r="151">
      <x:c r="A151" s="101" t="n">
        <x:v>46168</x:v>
      </x:c>
      <x:c r="B151" s="58" t="str">
        <x:v>EMP-0011</x:v>
      </x:c>
      <x:c r="C151" s="58" t="str">
        <x:v>초과근무</x:v>
      </x:c>
      <x:c r="D151" s="107" t="n">
        <x:v>1.3</x:v>
      </x:c>
      <x:c r="E151" s="58" t="str">
        <x:v>시간</x:v>
      </x:c>
      <x:c r="F151" s="76" t="str"/>
    </x:row>
    <x:row r="152">
      <x:c r="A152" s="101" t="n">
        <x:v>46169</x:v>
      </x:c>
      <x:c r="B152" s="58" t="str">
        <x:v>EMP-0012</x:v>
      </x:c>
      <x:c r="C152" s="58" t="str">
        <x:v>초과근무</x:v>
      </x:c>
      <x:c r="D152" s="107" t="n">
        <x:v>1.8</x:v>
      </x:c>
      <x:c r="E152" s="58" t="str">
        <x:v>시간</x:v>
      </x:c>
      <x:c r="F152" s="76" t="str"/>
    </x:row>
    <x:row r="153">
      <x:c r="A153" s="101" t="n">
        <x:v>46170</x:v>
      </x:c>
      <x:c r="B153" s="58" t="str">
        <x:v>EMP-0013</x:v>
      </x:c>
      <x:c r="C153" s="58" t="str">
        <x:v>초과근무</x:v>
      </x:c>
      <x:c r="D153" s="107" t="n">
        <x:v>1.8</x:v>
      </x:c>
      <x:c r="E153" s="58" t="str">
        <x:v>시간</x:v>
      </x:c>
      <x:c r="F153" s="76" t="str"/>
    </x:row>
    <x:row r="154">
      <x:c r="A154" s="101" t="n">
        <x:v>46171</x:v>
      </x:c>
      <x:c r="B154" s="58" t="str">
        <x:v>EMP-0014</x:v>
      </x:c>
      <x:c r="C154" s="58" t="str">
        <x:v>연차</x:v>
      </x:c>
      <x:c r="D154" s="107" t="n">
        <x:v>1</x:v>
      </x:c>
      <x:c r="E154" s="58" t="str">
        <x:v>일</x:v>
      </x:c>
      <x:c r="F154" s="76" t="str"/>
    </x:row>
    <x:row r="155">
      <x:c r="A155" s="101" t="n">
        <x:v>46172</x:v>
      </x:c>
      <x:c r="B155" s="58" t="str">
        <x:v>EMP-0015</x:v>
      </x:c>
      <x:c r="C155" s="58" t="str">
        <x:v>초과근무</x:v>
      </x:c>
      <x:c r="D155" s="107" t="n">
        <x:v>2</x:v>
      </x:c>
      <x:c r="E155" s="58" t="str">
        <x:v>시간</x:v>
      </x:c>
      <x:c r="F155" s="76" t="str"/>
    </x:row>
    <x:row r="156">
      <x:c r="A156" s="101" t="n">
        <x:v>46173</x:v>
      </x:c>
      <x:c r="B156" s="58" t="str">
        <x:v>EMP-0016</x:v>
      </x:c>
      <x:c r="C156" s="58" t="str">
        <x:v>초과근무</x:v>
      </x:c>
      <x:c r="D156" s="107" t="n">
        <x:v>3.7</x:v>
      </x:c>
      <x:c r="E156" s="58" t="str">
        <x:v>시간</x:v>
      </x:c>
      <x:c r="F156" s="76" t="str"/>
    </x:row>
    <x:row r="157">
      <x:c r="A157" s="101" t="n">
        <x:v>46174</x:v>
      </x:c>
      <x:c r="B157" s="58" t="str">
        <x:v>EMP-0017</x:v>
      </x:c>
      <x:c r="C157" s="58" t="str">
        <x:v>초과근무</x:v>
      </x:c>
      <x:c r="D157" s="107" t="n">
        <x:v>3.9</x:v>
      </x:c>
      <x:c r="E157" s="58" t="str">
        <x:v>시간</x:v>
      </x:c>
      <x:c r="F157" s="76" t="str"/>
    </x:row>
    <x:row r="158">
      <x:c r="A158" s="101" t="n">
        <x:v>46175</x:v>
      </x:c>
      <x:c r="B158" s="58" t="str">
        <x:v>EMP-0018</x:v>
      </x:c>
      <x:c r="C158" s="58" t="str">
        <x:v>연차</x:v>
      </x:c>
      <x:c r="D158" s="107" t="n">
        <x:v>0.8</x:v>
      </x:c>
      <x:c r="E158" s="58" t="str">
        <x:v>일</x:v>
      </x:c>
      <x:c r="F158" s="76" t="str"/>
    </x:row>
    <x:row r="159">
      <x:c r="A159" s="101" t="n">
        <x:v>46176</x:v>
      </x:c>
      <x:c r="B159" s="58" t="str">
        <x:v>EMP-0019</x:v>
      </x:c>
      <x:c r="C159" s="58" t="str">
        <x:v>초과근무</x:v>
      </x:c>
      <x:c r="D159" s="107" t="n">
        <x:v>2.9</x:v>
      </x:c>
      <x:c r="E159" s="58" t="str">
        <x:v>시간</x:v>
      </x:c>
      <x:c r="F159" s="76" t="str"/>
    </x:row>
    <x:row r="160">
      <x:c r="A160" s="101" t="n">
        <x:v>46177</x:v>
      </x:c>
      <x:c r="B160" s="58" t="str">
        <x:v>EMP-0020</x:v>
      </x:c>
      <x:c r="C160" s="58" t="str">
        <x:v>초과근무</x:v>
      </x:c>
      <x:c r="D160" s="107" t="n">
        <x:v>1.1</x:v>
      </x:c>
      <x:c r="E160" s="58" t="str">
        <x:v>시간</x:v>
      </x:c>
      <x:c r="F160" s="76" t="str"/>
    </x:row>
    <x:row r="161">
      <x:c r="A161" s="101" t="n">
        <x:v>46178</x:v>
      </x:c>
      <x:c r="B161" s="58" t="str">
        <x:v>EMP-0021</x:v>
      </x:c>
      <x:c r="C161" s="58" t="str">
        <x:v>초과근무</x:v>
      </x:c>
      <x:c r="D161" s="107" t="n">
        <x:v>2.8</x:v>
      </x:c>
      <x:c r="E161" s="58" t="str">
        <x:v>시간</x:v>
      </x:c>
      <x:c r="F161" s="76" t="str"/>
    </x:row>
    <x:row r="162">
      <x:c r="A162" s="101" t="n">
        <x:v>46179</x:v>
      </x:c>
      <x:c r="B162" s="58" t="str">
        <x:v>EMP-0022</x:v>
      </x:c>
      <x:c r="C162" s="58" t="str">
        <x:v>연차</x:v>
      </x:c>
      <x:c r="D162" s="107" t="n">
        <x:v>0.5</x:v>
      </x:c>
      <x:c r="E162" s="58" t="str">
        <x:v>일</x:v>
      </x:c>
      <x:c r="F162" s="76" t="str"/>
    </x:row>
    <x:row r="163">
      <x:c r="A163" s="101" t="n">
        <x:v>46180</x:v>
      </x:c>
      <x:c r="B163" s="58" t="str">
        <x:v>EMP-0023</x:v>
      </x:c>
      <x:c r="C163" s="58" t="str">
        <x:v>초과근무</x:v>
      </x:c>
      <x:c r="D163" s="107" t="n">
        <x:v>1.2</x:v>
      </x:c>
      <x:c r="E163" s="58" t="str">
        <x:v>시간</x:v>
      </x:c>
      <x:c r="F163" s="76" t="str"/>
    </x:row>
    <x:row r="164">
      <x:c r="A164" s="101" t="n">
        <x:v>46181</x:v>
      </x:c>
      <x:c r="B164" s="58" t="str">
        <x:v>EMP-0024</x:v>
      </x:c>
      <x:c r="C164" s="58" t="str">
        <x:v>초과근무</x:v>
      </x:c>
      <x:c r="D164" s="107" t="n">
        <x:v>2.8</x:v>
      </x:c>
      <x:c r="E164" s="58" t="str">
        <x:v>시간</x:v>
      </x:c>
      <x:c r="F164" s="76" t="str"/>
    </x:row>
    <x:row r="165">
      <x:c r="A165" s="101" t="n">
        <x:v>46182</x:v>
      </x:c>
      <x:c r="B165" s="58" t="str">
        <x:v>EMP-0025</x:v>
      </x:c>
      <x:c r="C165" s="58" t="str">
        <x:v>초과근무</x:v>
      </x:c>
      <x:c r="D165" s="107" t="n">
        <x:v>2.5</x:v>
      </x:c>
      <x:c r="E165" s="58" t="str">
        <x:v>시간</x:v>
      </x:c>
      <x:c r="F165" s="76" t="str"/>
    </x:row>
    <x:row r="166">
      <x:c r="A166" s="101" t="n">
        <x:v>46183</x:v>
      </x:c>
      <x:c r="B166" s="58" t="str">
        <x:v>EMP-0026</x:v>
      </x:c>
      <x:c r="C166" s="58" t="str">
        <x:v>연차</x:v>
      </x:c>
      <x:c r="D166" s="107" t="n">
        <x:v>0.7</x:v>
      </x:c>
      <x:c r="E166" s="58" t="str">
        <x:v>일</x:v>
      </x:c>
      <x:c r="F166" s="76" t="str"/>
    </x:row>
    <x:row r="167">
      <x:c r="A167" s="101" t="n">
        <x:v>46184</x:v>
      </x:c>
      <x:c r="B167" s="58" t="str">
        <x:v>EMP-0027</x:v>
      </x:c>
      <x:c r="C167" s="58" t="str">
        <x:v>초과근무</x:v>
      </x:c>
      <x:c r="D167" s="107" t="n">
        <x:v>2.3</x:v>
      </x:c>
      <x:c r="E167" s="58" t="str">
        <x:v>시간</x:v>
      </x:c>
      <x:c r="F167" s="76" t="str"/>
    </x:row>
    <x:row r="168">
      <x:c r="A168" s="101" t="n">
        <x:v>46185</x:v>
      </x:c>
      <x:c r="B168" s="58" t="str">
        <x:v>EMP-0028</x:v>
      </x:c>
      <x:c r="C168" s="58" t="str">
        <x:v>초과근무</x:v>
      </x:c>
      <x:c r="D168" s="107" t="n">
        <x:v>3.2</x:v>
      </x:c>
      <x:c r="E168" s="58" t="str">
        <x:v>시간</x:v>
      </x:c>
      <x:c r="F168" s="76" t="str"/>
    </x:row>
    <x:row r="169">
      <x:c r="A169" s="101" t="n">
        <x:v>46186</x:v>
      </x:c>
      <x:c r="B169" s="58" t="str">
        <x:v>EMP-0029</x:v>
      </x:c>
      <x:c r="C169" s="58" t="str">
        <x:v>초과근무</x:v>
      </x:c>
      <x:c r="D169" s="107" t="n">
        <x:v>1.4</x:v>
      </x:c>
      <x:c r="E169" s="58" t="str">
        <x:v>시간</x:v>
      </x:c>
      <x:c r="F169" s="76" t="str"/>
    </x:row>
    <x:row r="170">
      <x:c r="A170" s="101" t="n">
        <x:v>46187</x:v>
      </x:c>
      <x:c r="B170" s="58" t="str">
        <x:v>EMP-0030</x:v>
      </x:c>
      <x:c r="C170" s="58" t="str">
        <x:v>연차</x:v>
      </x:c>
      <x:c r="D170" s="107" t="n">
        <x:v>0.9</x:v>
      </x:c>
      <x:c r="E170" s="58" t="str">
        <x:v>일</x:v>
      </x:c>
      <x:c r="F170" s="76" t="str"/>
    </x:row>
    <x:row r="171">
      <x:c r="A171" s="101" t="n">
        <x:v>46188</x:v>
      </x:c>
      <x:c r="B171" s="58" t="str">
        <x:v>EMP-0031</x:v>
      </x:c>
      <x:c r="C171" s="58" t="str">
        <x:v>초과근무</x:v>
      </x:c>
      <x:c r="D171" s="107" t="n">
        <x:v>1.1</x:v>
      </x:c>
      <x:c r="E171" s="58" t="str">
        <x:v>시간</x:v>
      </x:c>
      <x:c r="F171" s="76" t="str"/>
    </x:row>
    <x:row r="172">
      <x:c r="A172" s="101" t="n">
        <x:v>46189</x:v>
      </x:c>
      <x:c r="B172" s="58" t="str">
        <x:v>EMP-0032</x:v>
      </x:c>
      <x:c r="C172" s="58" t="str">
        <x:v>초과근무</x:v>
      </x:c>
      <x:c r="D172" s="107" t="n">
        <x:v>1.9</x:v>
      </x:c>
      <x:c r="E172" s="58" t="str">
        <x:v>시간</x:v>
      </x:c>
      <x:c r="F172" s="76" t="str"/>
    </x:row>
    <x:row r="173">
      <x:c r="A173" s="101" t="n">
        <x:v>46190</x:v>
      </x:c>
      <x:c r="B173" s="58" t="str">
        <x:v>EMP-0033</x:v>
      </x:c>
      <x:c r="C173" s="58" t="str">
        <x:v>초과근무</x:v>
      </x:c>
      <x:c r="D173" s="107" t="n">
        <x:v>2.8</x:v>
      </x:c>
      <x:c r="E173" s="58" t="str">
        <x:v>시간</x:v>
      </x:c>
      <x:c r="F173" s="76" t="str"/>
    </x:row>
    <x:row r="174">
      <x:c r="A174" s="101" t="n">
        <x:v>46191</x:v>
      </x:c>
      <x:c r="B174" s="58" t="str">
        <x:v>EMP-0034</x:v>
      </x:c>
      <x:c r="C174" s="58" t="str">
        <x:v>연차</x:v>
      </x:c>
      <x:c r="D174" s="107" t="n">
        <x:v>0.5</x:v>
      </x:c>
      <x:c r="E174" s="58" t="str">
        <x:v>일</x:v>
      </x:c>
      <x:c r="F174" s="76" t="str"/>
    </x:row>
    <x:row r="175">
      <x:c r="A175" s="101" t="n">
        <x:v>46192</x:v>
      </x:c>
      <x:c r="B175" s="58" t="str">
        <x:v>EMP-0035</x:v>
      </x:c>
      <x:c r="C175" s="58" t="str">
        <x:v>초과근무</x:v>
      </x:c>
      <x:c r="D175" s="107" t="n">
        <x:v>2.4</x:v>
      </x:c>
      <x:c r="E175" s="58" t="str">
        <x:v>시간</x:v>
      </x:c>
      <x:c r="F175" s="76" t="str"/>
    </x:row>
    <x:row r="176">
      <x:c r="A176" s="101" t="n">
        <x:v>46193</x:v>
      </x:c>
      <x:c r="B176" s="58" t="str">
        <x:v>EMP-0036</x:v>
      </x:c>
      <x:c r="C176" s="58" t="str">
        <x:v>초과근무</x:v>
      </x:c>
      <x:c r="D176" s="107" t="n">
        <x:v>3.4</x:v>
      </x:c>
      <x:c r="E176" s="58" t="str">
        <x:v>시간</x:v>
      </x:c>
      <x:c r="F176" s="76" t="str"/>
    </x:row>
    <x:row r="177">
      <x:c r="A177" s="101" t="n">
        <x:v>46194</x:v>
      </x:c>
      <x:c r="B177" s="58" t="str">
        <x:v>EMP-0037</x:v>
      </x:c>
      <x:c r="C177" s="58" t="str">
        <x:v>초과근무</x:v>
      </x:c>
      <x:c r="D177" s="107" t="n">
        <x:v>3.6</x:v>
      </x:c>
      <x:c r="E177" s="58" t="str">
        <x:v>시간</x:v>
      </x:c>
      <x:c r="F177" s="76" t="str"/>
    </x:row>
    <x:row r="178">
      <x:c r="A178" s="101" t="n">
        <x:v>46195</x:v>
      </x:c>
      <x:c r="B178" s="58" t="str">
        <x:v>EMP-0038</x:v>
      </x:c>
      <x:c r="C178" s="58" t="str">
        <x:v>연차</x:v>
      </x:c>
      <x:c r="D178" s="107" t="n">
        <x:v>0.8</x:v>
      </x:c>
      <x:c r="E178" s="58" t="str">
        <x:v>일</x:v>
      </x:c>
      <x:c r="F178" s="76" t="str"/>
    </x:row>
    <x:row r="179">
      <x:c r="A179" s="101" t="n">
        <x:v>46196</x:v>
      </x:c>
      <x:c r="B179" s="58" t="str">
        <x:v>EMP-0039</x:v>
      </x:c>
      <x:c r="C179" s="58" t="str">
        <x:v>초과근무</x:v>
      </x:c>
      <x:c r="D179" s="107" t="n">
        <x:v>1.4</x:v>
      </x:c>
      <x:c r="E179" s="58" t="str">
        <x:v>시간</x:v>
      </x:c>
      <x:c r="F179" s="76" t="str"/>
    </x:row>
    <x:row r="180">
      <x:c r="A180" s="101" t="n">
        <x:v>46197</x:v>
      </x:c>
      <x:c r="B180" s="58" t="str">
        <x:v>EMP-0040</x:v>
      </x:c>
      <x:c r="C180" s="58" t="str">
        <x:v>초과근무</x:v>
      </x:c>
      <x:c r="D180" s="107" t="n">
        <x:v>1.3</x:v>
      </x:c>
      <x:c r="E180" s="58" t="str">
        <x:v>시간</x:v>
      </x:c>
      <x:c r="F180" s="76" t="str"/>
    </x:row>
    <x:row r="181">
      <x:c r="A181" s="101" t="n">
        <x:v>46198</x:v>
      </x:c>
      <x:c r="B181" s="58" t="str">
        <x:v>EMP-0041</x:v>
      </x:c>
      <x:c r="C181" s="58" t="str">
        <x:v>초과근무</x:v>
      </x:c>
      <x:c r="D181" s="107" t="n">
        <x:v>2.8</x:v>
      </x:c>
      <x:c r="E181" s="58" t="str">
        <x:v>시간</x:v>
      </x:c>
      <x:c r="F181" s="76" t="str"/>
    </x:row>
    <x:row r="182">
      <x:c r="A182" s="101" t="n">
        <x:v>46199</x:v>
      </x:c>
      <x:c r="B182" s="58" t="str">
        <x:v>EMP-0042</x:v>
      </x:c>
      <x:c r="C182" s="58" t="str">
        <x:v>연차</x:v>
      </x:c>
      <x:c r="D182" s="107" t="n">
        <x:v>0.9</x:v>
      </x:c>
      <x:c r="E182" s="58" t="str">
        <x:v>일</x:v>
      </x:c>
      <x:c r="F182" s="76" t="str"/>
    </x:row>
    <x:row r="183">
      <x:c r="A183" s="101" t="n">
        <x:v>46200</x:v>
      </x:c>
      <x:c r="B183" s="58" t="str">
        <x:v>EMP-0043</x:v>
      </x:c>
      <x:c r="C183" s="58" t="str">
        <x:v>초과근무</x:v>
      </x:c>
      <x:c r="D183" s="107" t="n">
        <x:v>2.1</x:v>
      </x:c>
      <x:c r="E183" s="58" t="str">
        <x:v>시간</x:v>
      </x:c>
      <x:c r="F183" s="76" t="str"/>
    </x:row>
    <x:row r="184">
      <x:c r="A184" s="101" t="n">
        <x:v>46201</x:v>
      </x:c>
      <x:c r="B184" s="58" t="str">
        <x:v>EMP-0044</x:v>
      </x:c>
      <x:c r="C184" s="58" t="str">
        <x:v>초과근무</x:v>
      </x:c>
      <x:c r="D184" s="107" t="n">
        <x:v>2.7</x:v>
      </x:c>
      <x:c r="E184" s="58" t="str">
        <x:v>시간</x:v>
      </x:c>
      <x:c r="F184" s="76" t="str"/>
    </x:row>
    <x:row r="185">
      <x:c r="A185" s="101" t="n">
        <x:v>46202</x:v>
      </x:c>
      <x:c r="B185" s="58" t="str">
        <x:v>EMP-0045</x:v>
      </x:c>
      <x:c r="C185" s="58" t="str">
        <x:v>초과근무</x:v>
      </x:c>
      <x:c r="D185" s="107" t="n">
        <x:v>2.4</x:v>
      </x:c>
      <x:c r="E185" s="58" t="str">
        <x:v>시간</x:v>
      </x:c>
      <x:c r="F185" s="76" t="str"/>
    </x:row>
    <x:row r="186">
      <x:c r="A186" s="101" t="n">
        <x:v>46203</x:v>
      </x:c>
      <x:c r="B186" s="58" t="str">
        <x:v>EMP-0001</x:v>
      </x:c>
      <x:c r="C186" s="58" t="str">
        <x:v>연차</x:v>
      </x:c>
      <x:c r="D186" s="107" t="n">
        <x:v>0.8</x:v>
      </x:c>
      <x:c r="E186" s="58" t="str">
        <x:v>일</x:v>
      </x:c>
      <x:c r="F186" s="76" t="str"/>
    </x:row>
    <x:row r="187">
      <x:c r="A187" s="101" t="n">
        <x:v>46204</x:v>
      </x:c>
      <x:c r="B187" s="58" t="str">
        <x:v>EMP-0002</x:v>
      </x:c>
      <x:c r="C187" s="58" t="str">
        <x:v>초과근무</x:v>
      </x:c>
      <x:c r="D187" s="107" t="n">
        <x:v>2.5</x:v>
      </x:c>
      <x:c r="E187" s="58" t="str">
        <x:v>시간</x:v>
      </x:c>
      <x:c r="F187" s="76" t="str"/>
    </x:row>
    <x:row r="188">
      <x:c r="A188" s="101" t="n">
        <x:v>46205</x:v>
      </x:c>
      <x:c r="B188" s="58" t="str">
        <x:v>EMP-0003</x:v>
      </x:c>
      <x:c r="C188" s="58" t="str">
        <x:v>초과근무</x:v>
      </x:c>
      <x:c r="D188" s="107" t="n">
        <x:v>1.9</x:v>
      </x:c>
      <x:c r="E188" s="58" t="str">
        <x:v>시간</x:v>
      </x:c>
      <x:c r="F188" s="76" t="str"/>
    </x:row>
    <x:row r="189">
      <x:c r="A189" s="101" t="n">
        <x:v>46206</x:v>
      </x:c>
      <x:c r="B189" s="58" t="str">
        <x:v>EMP-0004</x:v>
      </x:c>
      <x:c r="C189" s="58" t="str">
        <x:v>초과근무</x:v>
      </x:c>
      <x:c r="D189" s="107" t="n">
        <x:v>2.9</x:v>
      </x:c>
      <x:c r="E189" s="58" t="str">
        <x:v>시간</x:v>
      </x:c>
      <x:c r="F189" s="76" t="str"/>
    </x:row>
    <x:row r="190">
      <x:c r="A190" s="101" t="n">
        <x:v>46207</x:v>
      </x:c>
      <x:c r="B190" s="58" t="str">
        <x:v>EMP-0005</x:v>
      </x:c>
      <x:c r="C190" s="58" t="str">
        <x:v>연차</x:v>
      </x:c>
      <x:c r="D190" s="107" t="n">
        <x:v>0.5</x:v>
      </x:c>
      <x:c r="E190" s="58" t="str">
        <x:v>일</x:v>
      </x:c>
      <x:c r="F190" s="76" t="str"/>
    </x:row>
    <x:row r="191">
      <x:c r="A191" s="101" t="n">
        <x:v>46208</x:v>
      </x:c>
      <x:c r="B191" s="58" t="str">
        <x:v>EMP-0006</x:v>
      </x:c>
      <x:c r="C191" s="58" t="str">
        <x:v>초과근무</x:v>
      </x:c>
      <x:c r="D191" s="107" t="n">
        <x:v>2.6</x:v>
      </x:c>
      <x:c r="E191" s="58" t="str">
        <x:v>시간</x:v>
      </x:c>
      <x:c r="F191" s="76" t="str"/>
    </x:row>
    <x:row r="192">
      <x:c r="A192" s="101" t="n">
        <x:v>46209</x:v>
      </x:c>
      <x:c r="B192" s="58" t="str">
        <x:v>EMP-0007</x:v>
      </x:c>
      <x:c r="C192" s="58" t="str">
        <x:v>초과근무</x:v>
      </x:c>
      <x:c r="D192" s="107" t="n">
        <x:v>3.7</x:v>
      </x:c>
      <x:c r="E192" s="58" t="str">
        <x:v>시간</x:v>
      </x:c>
      <x:c r="F192" s="76" t="str"/>
    </x:row>
    <x:row r="193">
      <x:c r="A193" s="101" t="n">
        <x:v>46210</x:v>
      </x:c>
      <x:c r="B193" s="58" t="str">
        <x:v>EMP-0008</x:v>
      </x:c>
      <x:c r="C193" s="58" t="str">
        <x:v>초과근무</x:v>
      </x:c>
      <x:c r="D193" s="107" t="n">
        <x:v>1.9</x:v>
      </x:c>
      <x:c r="E193" s="58" t="str">
        <x:v>시간</x:v>
      </x:c>
      <x:c r="F193" s="76" t="str"/>
    </x:row>
    <x:row r="194">
      <x:c r="A194" s="101" t="n">
        <x:v>46211</x:v>
      </x:c>
      <x:c r="B194" s="58" t="str">
        <x:v>EMP-0009</x:v>
      </x:c>
      <x:c r="C194" s="58" t="str">
        <x:v>연차</x:v>
      </x:c>
      <x:c r="D194" s="107" t="n">
        <x:v>0.8</x:v>
      </x:c>
      <x:c r="E194" s="58" t="str">
        <x:v>일</x:v>
      </x:c>
      <x:c r="F194" s="76" t="str"/>
    </x:row>
    <x:row r="195">
      <x:c r="A195" s="101" t="n">
        <x:v>46212</x:v>
      </x:c>
      <x:c r="B195" s="58" t="str">
        <x:v>EMP-0010</x:v>
      </x:c>
      <x:c r="C195" s="58" t="str">
        <x:v>초과근무</x:v>
      </x:c>
      <x:c r="D195" s="107" t="n">
        <x:v>2</x:v>
      </x:c>
      <x:c r="E195" s="58" t="str">
        <x:v>시간</x:v>
      </x:c>
      <x:c r="F195" s="76" t="str"/>
    </x:row>
    <x:row r="196">
      <x:c r="A196" s="101" t="n">
        <x:v>46213</x:v>
      </x:c>
      <x:c r="B196" s="58" t="str">
        <x:v>EMP-0011</x:v>
      </x:c>
      <x:c r="C196" s="58" t="str">
        <x:v>초과근무</x:v>
      </x:c>
      <x:c r="D196" s="107" t="n">
        <x:v>2.5</x:v>
      </x:c>
      <x:c r="E196" s="58" t="str">
        <x:v>시간</x:v>
      </x:c>
      <x:c r="F196" s="76" t="str"/>
    </x:row>
    <x:row r="197">
      <x:c r="A197" s="101" t="n">
        <x:v>46214</x:v>
      </x:c>
      <x:c r="B197" s="58" t="str">
        <x:v>EMP-0012</x:v>
      </x:c>
      <x:c r="C197" s="58" t="str">
        <x:v>초과근무</x:v>
      </x:c>
      <x:c r="D197" s="107" t="n">
        <x:v>3.9</x:v>
      </x:c>
      <x:c r="E197" s="58" t="str">
        <x:v>시간</x:v>
      </x:c>
      <x:c r="F197" s="76" t="str"/>
    </x:row>
    <x:row r="198">
      <x:c r="A198" s="101" t="n">
        <x:v>46215</x:v>
      </x:c>
      <x:c r="B198" s="58" t="str">
        <x:v>EMP-0013</x:v>
      </x:c>
      <x:c r="C198" s="58" t="str">
        <x:v>연차</x:v>
      </x:c>
      <x:c r="D198" s="107" t="n">
        <x:v>0.7</x:v>
      </x:c>
      <x:c r="E198" s="58" t="str">
        <x:v>일</x:v>
      </x:c>
      <x:c r="F198" s="76" t="str"/>
    </x:row>
    <x:row r="199">
      <x:c r="A199" s="101" t="n">
        <x:v>46216</x:v>
      </x:c>
      <x:c r="B199" s="58" t="str">
        <x:v>EMP-0014</x:v>
      </x:c>
      <x:c r="C199" s="58" t="str">
        <x:v>초과근무</x:v>
      </x:c>
      <x:c r="D199" s="107" t="n">
        <x:v>1.9</x:v>
      </x:c>
      <x:c r="E199" s="58" t="str">
        <x:v>시간</x:v>
      </x:c>
      <x:c r="F199" s="76" t="str"/>
    </x:row>
    <x:row r="200">
      <x:c r="A200" s="101" t="n">
        <x:v>46217</x:v>
      </x:c>
      <x:c r="B200" s="58" t="str">
        <x:v>EMP-0015</x:v>
      </x:c>
      <x:c r="C200" s="58" t="str">
        <x:v>초과근무</x:v>
      </x:c>
      <x:c r="D200" s="107" t="n">
        <x:v>3.1</x:v>
      </x:c>
      <x:c r="E200" s="58" t="str">
        <x:v>시간</x:v>
      </x:c>
      <x:c r="F200" s="76" t="str"/>
    </x:row>
    <x:row r="201">
      <x:c r="A201" s="101" t="n">
        <x:v>46218</x:v>
      </x:c>
      <x:c r="B201" s="58" t="str">
        <x:v>EMP-0016</x:v>
      </x:c>
      <x:c r="C201" s="58" t="str">
        <x:v>초과근무</x:v>
      </x:c>
      <x:c r="D201" s="107" t="n">
        <x:v>1</x:v>
      </x:c>
      <x:c r="E201" s="58" t="str">
        <x:v>시간</x:v>
      </x:c>
      <x:c r="F201" s="76" t="str"/>
    </x:row>
    <x:row r="202">
      <x:c r="A202" s="101" t="n">
        <x:v>46219</x:v>
      </x:c>
      <x:c r="B202" s="58" t="str">
        <x:v>EMP-0017</x:v>
      </x:c>
      <x:c r="C202" s="58" t="str">
        <x:v>연차</x:v>
      </x:c>
      <x:c r="D202" s="107" t="n">
        <x:v>1</x:v>
      </x:c>
      <x:c r="E202" s="58" t="str">
        <x:v>일</x:v>
      </x:c>
      <x:c r="F202" s="76" t="str"/>
    </x:row>
    <x:row r="203">
      <x:c r="A203" s="101" t="n">
        <x:v>46220</x:v>
      </x:c>
      <x:c r="B203" s="58" t="str">
        <x:v>EMP-0018</x:v>
      </x:c>
      <x:c r="C203" s="58" t="str">
        <x:v>초과근무</x:v>
      </x:c>
      <x:c r="D203" s="107" t="n">
        <x:v>1.1</x:v>
      </x:c>
      <x:c r="E203" s="58" t="str">
        <x:v>시간</x:v>
      </x:c>
      <x:c r="F203" s="76" t="str"/>
    </x:row>
    <x:row r="204">
      <x:c r="A204" s="101" t="n">
        <x:v>46221</x:v>
      </x:c>
      <x:c r="B204" s="58" t="str">
        <x:v>EMP-0019</x:v>
      </x:c>
      <x:c r="C204" s="58" t="str">
        <x:v>초과근무</x:v>
      </x:c>
      <x:c r="D204" s="107" t="n">
        <x:v>2.3</x:v>
      </x:c>
      <x:c r="E204" s="58" t="str">
        <x:v>시간</x:v>
      </x:c>
      <x:c r="F204" s="76" t="str"/>
    </x:row>
    <x:row r="205">
      <x:c r="A205" s="101" t="n">
        <x:v>46222</x:v>
      </x:c>
      <x:c r="B205" s="58" t="str">
        <x:v>EMP-0020</x:v>
      </x:c>
      <x:c r="C205" s="58" t="str">
        <x:v>초과근무</x:v>
      </x:c>
      <x:c r="D205" s="107" t="n">
        <x:v>3.9</x:v>
      </x:c>
      <x:c r="E205" s="58" t="str">
        <x:v>시간</x:v>
      </x:c>
      <x:c r="F205" s="76" t="str"/>
    </x:row>
    <x:row r="206">
      <x:c r="A206" s="101" t="n">
        <x:v>46223</x:v>
      </x:c>
      <x:c r="B206" s="58" t="str">
        <x:v>EMP-0021</x:v>
      </x:c>
      <x:c r="C206" s="58" t="str">
        <x:v>연차</x:v>
      </x:c>
      <x:c r="D206" s="107" t="n">
        <x:v>0.5</x:v>
      </x:c>
      <x:c r="E206" s="58" t="str">
        <x:v>일</x:v>
      </x:c>
      <x:c r="F206" s="76" t="str"/>
    </x:row>
    <x:row r="207">
      <x:c r="A207" s="101" t="n">
        <x:v>46224</x:v>
      </x:c>
      <x:c r="B207" s="58" t="str">
        <x:v>EMP-0022</x:v>
      </x:c>
      <x:c r="C207" s="58" t="str">
        <x:v>초과근무</x:v>
      </x:c>
      <x:c r="D207" s="107" t="n">
        <x:v>1.2</x:v>
      </x:c>
      <x:c r="E207" s="58" t="str">
        <x:v>시간</x:v>
      </x:c>
      <x:c r="F207" s="76" t="str"/>
    </x:row>
    <x:row r="208">
      <x:c r="A208" s="101" t="n">
        <x:v>46225</x:v>
      </x:c>
      <x:c r="B208" s="58" t="str">
        <x:v>EMP-0023</x:v>
      </x:c>
      <x:c r="C208" s="58" t="str">
        <x:v>초과근무</x:v>
      </x:c>
      <x:c r="D208" s="107" t="n">
        <x:v>2</x:v>
      </x:c>
      <x:c r="E208" s="58" t="str">
        <x:v>시간</x:v>
      </x:c>
      <x:c r="F208" s="76" t="str"/>
    </x:row>
    <x:row r="209">
      <x:c r="A209" s="101" t="n">
        <x:v>46226</x:v>
      </x:c>
      <x:c r="B209" s="58" t="str">
        <x:v>EMP-0024</x:v>
      </x:c>
      <x:c r="C209" s="58" t="str">
        <x:v>초과근무</x:v>
      </x:c>
      <x:c r="D209" s="107" t="n">
        <x:v>3</x:v>
      </x:c>
      <x:c r="E209" s="58" t="str">
        <x:v>시간</x:v>
      </x:c>
      <x:c r="F209" s="76" t="str"/>
    </x:row>
    <x:row r="210">
      <x:c r="A210" s="101" t="n">
        <x:v>46227</x:v>
      </x:c>
      <x:c r="B210" s="58" t="str">
        <x:v>EMP-0025</x:v>
      </x:c>
      <x:c r="C210" s="58" t="str">
        <x:v>연차</x:v>
      </x:c>
      <x:c r="D210" s="107" t="n">
        <x:v>0.6</x:v>
      </x:c>
      <x:c r="E210" s="58" t="str">
        <x:v>일</x:v>
      </x:c>
      <x:c r="F210" s="76" t="str"/>
    </x:row>
    <x:row r="211">
      <x:c r="A211" s="101" t="n">
        <x:v>46228</x:v>
      </x:c>
      <x:c r="B211" s="58" t="str">
        <x:v>EMP-0026</x:v>
      </x:c>
      <x:c r="C211" s="58" t="str">
        <x:v>초과근무</x:v>
      </x:c>
      <x:c r="D211" s="107" t="n">
        <x:v>3.5</x:v>
      </x:c>
      <x:c r="E211" s="58" t="str">
        <x:v>시간</x:v>
      </x:c>
      <x:c r="F211" s="76" t="str"/>
    </x:row>
    <x:row r="212">
      <x:c r="A212" s="101" t="n">
        <x:v>46229</x:v>
      </x:c>
      <x:c r="B212" s="58" t="str">
        <x:v>EMP-0027</x:v>
      </x:c>
      <x:c r="C212" s="58" t="str">
        <x:v>초과근무</x:v>
      </x:c>
      <x:c r="D212" s="107" t="n">
        <x:v>3.2</x:v>
      </x:c>
      <x:c r="E212" s="58" t="str">
        <x:v>시간</x:v>
      </x:c>
      <x:c r="F212" s="76" t="str"/>
    </x:row>
    <x:row r="213">
      <x:c r="A213" s="101" t="n">
        <x:v>46230</x:v>
      </x:c>
      <x:c r="B213" s="58" t="str">
        <x:v>EMP-0028</x:v>
      </x:c>
      <x:c r="C213" s="58" t="str">
        <x:v>초과근무</x:v>
      </x:c>
      <x:c r="D213" s="107" t="n">
        <x:v>1.9</x:v>
      </x:c>
      <x:c r="E213" s="58" t="str">
        <x:v>시간</x:v>
      </x:c>
      <x:c r="F213" s="76" t="str"/>
    </x:row>
    <x:row r="214">
      <x:c r="A214" s="101" t="n">
        <x:v>46231</x:v>
      </x:c>
      <x:c r="B214" s="58" t="str">
        <x:v>EMP-0029</x:v>
      </x:c>
      <x:c r="C214" s="58" t="str">
        <x:v>연차</x:v>
      </x:c>
      <x:c r="D214" s="107" t="n">
        <x:v>0.6</x:v>
      </x:c>
      <x:c r="E214" s="58" t="str">
        <x:v>일</x:v>
      </x:c>
      <x:c r="F214" s="76" t="str"/>
    </x:row>
    <x:row r="215">
      <x:c r="A215" s="101" t="n">
        <x:v>46232</x:v>
      </x:c>
      <x:c r="B215" s="58" t="str">
        <x:v>EMP-0030</x:v>
      </x:c>
      <x:c r="C215" s="58" t="str">
        <x:v>초과근무</x:v>
      </x:c>
      <x:c r="D215" s="107" t="n">
        <x:v>2.1</x:v>
      </x:c>
      <x:c r="E215" s="58" t="str">
        <x:v>시간</x:v>
      </x:c>
      <x:c r="F215" s="76" t="str"/>
    </x:row>
    <x:row r="216">
      <x:c r="A216" s="101" t="n">
        <x:v>46233</x:v>
      </x:c>
      <x:c r="B216" s="58" t="str">
        <x:v>EMP-0031</x:v>
      </x:c>
      <x:c r="C216" s="58" t="str">
        <x:v>초과근무</x:v>
      </x:c>
      <x:c r="D216" s="107" t="n">
        <x:v>2.2</x:v>
      </x:c>
      <x:c r="E216" s="58" t="str">
        <x:v>시간</x:v>
      </x:c>
      <x:c r="F216" s="76" t="str"/>
    </x:row>
    <x:row r="217">
      <x:c r="A217" s="101" t="n">
        <x:v>46234</x:v>
      </x:c>
      <x:c r="B217" s="58" t="str">
        <x:v>EMP-0032</x:v>
      </x:c>
      <x:c r="C217" s="58" t="str">
        <x:v>초과근무</x:v>
      </x:c>
      <x:c r="D217" s="107" t="n">
        <x:v>1.5</x:v>
      </x:c>
      <x:c r="E217" s="58" t="str">
        <x:v>시간</x:v>
      </x:c>
      <x:c r="F217" s="76" t="str"/>
    </x:row>
    <x:row r="218">
      <x:c r="A218" s="101" t="n">
        <x:v>46235</x:v>
      </x:c>
      <x:c r="B218" s="58" t="str">
        <x:v>EMP-0033</x:v>
      </x:c>
      <x:c r="C218" s="58" t="str">
        <x:v>연차</x:v>
      </x:c>
      <x:c r="D218" s="107" t="n">
        <x:v>0.8</x:v>
      </x:c>
      <x:c r="E218" s="58" t="str">
        <x:v>일</x:v>
      </x:c>
      <x:c r="F218" s="76" t="str"/>
    </x:row>
    <x:row r="219">
      <x:c r="A219" s="101" t="n">
        <x:v>46236</x:v>
      </x:c>
      <x:c r="B219" s="58" t="str">
        <x:v>EMP-0034</x:v>
      </x:c>
      <x:c r="C219" s="58" t="str">
        <x:v>초과근무</x:v>
      </x:c>
      <x:c r="D219" s="107" t="n">
        <x:v>3.8</x:v>
      </x:c>
      <x:c r="E219" s="58" t="str">
        <x:v>시간</x:v>
      </x:c>
      <x:c r="F219" s="76" t="str"/>
    </x:row>
    <x:row r="220">
      <x:c r="A220" s="101" t="n">
        <x:v>46237</x:v>
      </x:c>
      <x:c r="B220" s="58" t="str">
        <x:v>EMP-0035</x:v>
      </x:c>
      <x:c r="C220" s="58" t="str">
        <x:v>초과근무</x:v>
      </x:c>
      <x:c r="D220" s="107" t="n">
        <x:v>1.7</x:v>
      </x:c>
      <x:c r="E220" s="58" t="str">
        <x:v>시간</x:v>
      </x:c>
      <x:c r="F220" s="76" t="str"/>
    </x:row>
    <x:row r="221">
      <x:c r="A221" s="101" t="n">
        <x:v>46238</x:v>
      </x:c>
      <x:c r="B221" s="58" t="str">
        <x:v>EMP-0036</x:v>
      </x:c>
      <x:c r="C221" s="58" t="str">
        <x:v>초과근무</x:v>
      </x:c>
      <x:c r="D221" s="107" t="n">
        <x:v>2.5</x:v>
      </x:c>
      <x:c r="E221" s="58" t="str">
        <x:v>시간</x:v>
      </x:c>
      <x:c r="F221" s="76" t="str"/>
    </x:row>
    <x:row r="222">
      <x:c r="A222" s="101" t="n">
        <x:v>46239</x:v>
      </x:c>
      <x:c r="B222" s="58" t="str">
        <x:v>EMP-0037</x:v>
      </x:c>
      <x:c r="C222" s="58" t="str">
        <x:v>연차</x:v>
      </x:c>
      <x:c r="D222" s="107" t="n">
        <x:v>0.6</x:v>
      </x:c>
      <x:c r="E222" s="58" t="str">
        <x:v>일</x:v>
      </x:c>
      <x:c r="F222" s="76" t="str"/>
    </x:row>
    <x:row r="223">
      <x:c r="A223" s="101" t="n">
        <x:v>46240</x:v>
      </x:c>
      <x:c r="B223" s="58" t="str">
        <x:v>EMP-0038</x:v>
      </x:c>
      <x:c r="C223" s="58" t="str">
        <x:v>초과근무</x:v>
      </x:c>
      <x:c r="D223" s="107" t="n">
        <x:v>1.4</x:v>
      </x:c>
      <x:c r="E223" s="58" t="str">
        <x:v>시간</x:v>
      </x:c>
      <x:c r="F223" s="76" t="str"/>
    </x:row>
    <x:row r="224">
      <x:c r="A224" s="101" t="n">
        <x:v>46241</x:v>
      </x:c>
      <x:c r="B224" s="58" t="str">
        <x:v>EMP-0039</x:v>
      </x:c>
      <x:c r="C224" s="58" t="str">
        <x:v>초과근무</x:v>
      </x:c>
      <x:c r="D224" s="107" t="n">
        <x:v>2.3</x:v>
      </x:c>
      <x:c r="E224" s="58" t="str">
        <x:v>시간</x:v>
      </x:c>
      <x:c r="F224" s="76" t="str"/>
    </x:row>
    <x:row r="225">
      <x:c r="A225" s="101" t="n">
        <x:v>46242</x:v>
      </x:c>
      <x:c r="B225" s="58" t="str">
        <x:v>EMP-0040</x:v>
      </x:c>
      <x:c r="C225" s="58" t="str">
        <x:v>초과근무</x:v>
      </x:c>
      <x:c r="D225" s="107" t="n">
        <x:v>3.4</x:v>
      </x:c>
      <x:c r="E225" s="58" t="str">
        <x:v>시간</x:v>
      </x:c>
      <x:c r="F225" s="76" t="str"/>
    </x:row>
    <x:row r="226">
      <x:c r="A226" s="101" t="n">
        <x:v>46243</x:v>
      </x:c>
      <x:c r="B226" s="58" t="str">
        <x:v>EMP-0041</x:v>
      </x:c>
      <x:c r="C226" s="58" t="str">
        <x:v>연차</x:v>
      </x:c>
      <x:c r="D226" s="107" t="n">
        <x:v>0.6</x:v>
      </x:c>
      <x:c r="E226" s="58" t="str">
        <x:v>일</x:v>
      </x:c>
      <x:c r="F226" s="76" t="str"/>
    </x:row>
    <x:row r="227">
      <x:c r="A227" s="101" t="n">
        <x:v>46244</x:v>
      </x:c>
      <x:c r="B227" s="58" t="str">
        <x:v>EMP-0042</x:v>
      </x:c>
      <x:c r="C227" s="58" t="str">
        <x:v>초과근무</x:v>
      </x:c>
      <x:c r="D227" s="107" t="n">
        <x:v>2.6</x:v>
      </x:c>
      <x:c r="E227" s="58" t="str">
        <x:v>시간</x:v>
      </x:c>
      <x:c r="F227" s="76" t="str"/>
    </x:row>
    <x:row r="228">
      <x:c r="A228" s="101" t="n">
        <x:v>46245</x:v>
      </x:c>
      <x:c r="B228" s="58" t="str">
        <x:v>EMP-0043</x:v>
      </x:c>
      <x:c r="C228" s="58" t="str">
        <x:v>초과근무</x:v>
      </x:c>
      <x:c r="D228" s="107" t="n">
        <x:v>1.3</x:v>
      </x:c>
      <x:c r="E228" s="58" t="str">
        <x:v>시간</x:v>
      </x:c>
      <x:c r="F228" s="76" t="str"/>
    </x:row>
    <x:row r="229">
      <x:c r="A229" s="101" t="n">
        <x:v>46246</x:v>
      </x:c>
      <x:c r="B229" s="58" t="str">
        <x:v>EMP-0044</x:v>
      </x:c>
      <x:c r="C229" s="58" t="str">
        <x:v>초과근무</x:v>
      </x:c>
      <x:c r="D229" s="107" t="n">
        <x:v>2.6</x:v>
      </x:c>
      <x:c r="E229" s="58" t="str">
        <x:v>시간</x:v>
      </x:c>
      <x:c r="F229" s="76" t="str"/>
    </x:row>
    <x:row r="230">
      <x:c r="A230" s="102" t="n">
        <x:v>46247</x:v>
      </x:c>
      <x:c r="B230" s="78" t="str">
        <x:v>EMP-0045</x:v>
      </x:c>
      <x:c r="C230" s="78" t="str">
        <x:v>연차</x:v>
      </x:c>
      <x:c r="D230" s="108" t="n">
        <x:v>0.6</x:v>
      </x:c>
      <x:c r="E230" s="78" t="str">
        <x:v>일</x:v>
      </x:c>
      <x:c r="F230" s="79" t="str"/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14" hidden="0" customWidth="1"/>
    <x:col min="9" max="9" width="16" hidden="0" customWidth="1"/>
    <x:col min="10" max="10" width="17" hidden="0" customWidth="1"/>
    <x:col min="11" max="11" width="16" hidden="0" customWidth="1"/>
  </x:cols>
  <x:sheetData>
    <x:row r="1" ht="30" customHeight="1">
      <x:c r="A1" s="5" t="str">
        <x:v>직원별 근태·연차 정산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4" customHeight="1">
      <x:c r="A2" s="12" t="str">
        <x:v>연차 잔여와 초과근무수당·미사용연차수당을 계산합니다.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5" ht="28" customHeight="1">
      <x:c r="A5" s="30" t="str">
        <x:v>사번</x:v>
      </x:c>
      <x:c r="B5" s="67" t="str">
        <x:v>입사일</x:v>
      </x:c>
      <x:c r="C5" s="67" t="str">
        <x:v>기본급</x:v>
      </x:c>
      <x:c r="D5" s="67" t="str">
        <x:v>발생연차</x:v>
      </x:c>
      <x:c r="E5" s="67" t="str">
        <x:v>사용연차</x:v>
      </x:c>
      <x:c r="F5" s="67" t="str">
        <x:v>잔여연차</x:v>
      </x:c>
      <x:c r="G5" s="67" t="str">
        <x:v>초과근무시간</x:v>
      </x:c>
      <x:c r="H5" s="67" t="str">
        <x:v>시간당수당</x:v>
      </x:c>
      <x:c r="I5" s="67" t="str">
        <x:v>초과근무수당</x:v>
      </x:c>
      <x:c r="J5" s="67" t="str">
        <x:v>미사용연차수당</x:v>
      </x:c>
      <x:c r="K5" s="31" t="str">
        <x:v>총지급액</x:v>
      </x:c>
    </x:row>
    <x:row r="6">
      <x:c r="A6" s="72" t="str">
        <x:v>EMP-0001</x:v>
      </x:c>
      <x:c r="B6" s="88" t="n">
        <x:v>43862</x:v>
      </x:c>
      <x:c r="C6" s="94" t="n">
        <x:v>2942000</x:v>
      </x:c>
      <x:c r="D6" s="130" t="n">
        <x:f>IF(DATEDIF(B6,'설정'!$B$6,"y")&gt;=1,15,ROUND(DATEDIF(B6,'설정'!$B$6,"m")/12*15,1))</x:f>
        <x:v>15</x:v>
      </x:c>
      <x:c r="E6" s="131" t="n">
        <x:f>SUMIFS('근태내역'!$D$6:$D$230,'근태내역'!$B$6:$B$230,A6,'근태내역'!$C$6:$C$230,"연차")</x:f>
        <x:v>1.6</x:v>
      </x:c>
      <x:c r="F6" s="131" t="n">
        <x:f>MAX(0,D6-E6)</x:f>
        <x:v>13.4</x:v>
      </x:c>
      <x:c r="G6" s="131" t="n">
        <x:f>SUMIFS('근태내역'!$D$6:$D$230,'근태내역'!$B$6:$B$230,A6,'근태내역'!$C$6:$C$230,"초과근무")</x:f>
        <x:v>6</x:v>
      </x:c>
      <x:c r="H6" s="142" t="n">
        <x:f>C6/209*1.5</x:f>
        <x:v>21114.83253588517</x:v>
      </x:c>
      <x:c r="I6" s="142" t="n">
        <x:f>G6*H6</x:f>
        <x:v>126688.995215311</x:v>
      </x:c>
      <x:c r="J6" s="142" t="n">
        <x:f>MAX(0,F6-5)*H6*8</x:f>
        <x:v>1418916.7464114835</x:v>
      </x:c>
      <x:c r="K6" s="143" t="n">
        <x:f>I6+J6</x:f>
        <x:v>1545605.7416267944</x:v>
      </x:c>
    </x:row>
    <x:row r="7">
      <x:c r="A7" s="75" t="str">
        <x:v>EMP-0002</x:v>
      </x:c>
      <x:c r="B7" s="89" t="n">
        <x:v>44256</x:v>
      </x:c>
      <x:c r="C7" s="95" t="n">
        <x:v>2984000</x:v>
      </x:c>
      <x:c r="D7" s="132" t="n">
        <x:f>IF(DATEDIF(B7,'설정'!$B$6,"y")&gt;=1,15,ROUND(DATEDIF(B7,'설정'!$B$6,"m")/12*15,1))</x:f>
        <x:v>15</x:v>
      </x:c>
      <x:c r="E7" s="133" t="n">
        <x:f>SUMIFS('근태내역'!$D$6:$D$230,'근태내역'!$B$6:$B$230,A7,'근태내역'!$C$6:$C$230,"연차")</x:f>
        <x:v>0.7</x:v>
      </x:c>
      <x:c r="F7" s="133" t="n">
        <x:f>MAX(0,D7-E7)</x:f>
        <x:v>14.3</x:v>
      </x:c>
      <x:c r="G7" s="133" t="n">
        <x:f>SUMIFS('근태내역'!$D$6:$D$230,'근태내역'!$B$6:$B$230,A7,'근태내역'!$C$6:$C$230,"초과근무")</x:f>
        <x:v>8.2</x:v>
      </x:c>
      <x:c r="H7" s="144" t="n">
        <x:f>C7/209*1.5</x:f>
        <x:v>21416.267942583734</x:v>
      </x:c>
      <x:c r="I7" s="144" t="n">
        <x:f>G7*H7</x:f>
        <x:v>175613.3971291866</x:v>
      </x:c>
      <x:c r="J7" s="144" t="n">
        <x:f>MAX(0,F7-5)*H7*8</x:f>
        <x:v>1593370.33492823</x:v>
      </x:c>
      <x:c r="K7" s="145" t="n">
        <x:f>I7+J7</x:f>
        <x:v>1768983.7320574166</x:v>
      </x:c>
    </x:row>
    <x:row r="8">
      <x:c r="A8" s="75" t="str">
        <x:v>EMP-0003</x:v>
      </x:c>
      <x:c r="B8" s="89" t="n">
        <x:v>44652</x:v>
      </x:c>
      <x:c r="C8" s="95" t="n">
        <x:v>3026000</x:v>
      </x:c>
      <x:c r="D8" s="132" t="n">
        <x:f>IF(DATEDIF(B8,'설정'!$B$6,"y")&gt;=1,15,ROUND(DATEDIF(B8,'설정'!$B$6,"m")/12*15,1))</x:f>
        <x:v>15</x:v>
      </x:c>
      <x:c r="E8" s="133" t="n">
        <x:f>SUMIFS('근태내역'!$D$6:$D$230,'근태내역'!$B$6:$B$230,A8,'근태내역'!$C$6:$C$230,"연차")</x:f>
        <x:v>0.9</x:v>
      </x:c>
      <x:c r="F8" s="133" t="n">
        <x:f>MAX(0,D8-E8)</x:f>
        <x:v>14.1</x:v>
      </x:c>
      <x:c r="G8" s="133" t="n">
        <x:f>SUMIFS('근태내역'!$D$6:$D$230,'근태내역'!$B$6:$B$230,A8,'근태내역'!$C$6:$C$230,"초과근무")</x:f>
        <x:v>10.3</x:v>
      </x:c>
      <x:c r="H8" s="144" t="n">
        <x:f>C8/209*1.5</x:f>
        <x:v>21717.703349282296</x:v>
      </x:c>
      <x:c r="I8" s="144" t="n">
        <x:f>G8*H8</x:f>
        <x:v>223692.34449760767</x:v>
      </x:c>
      <x:c r="J8" s="144" t="n">
        <x:f>MAX(0,F8-5)*H8*8</x:f>
        <x:v>1581048.803827751</x:v>
      </x:c>
      <x:c r="K8" s="145" t="n">
        <x:f>I8+J8</x:f>
        <x:v>1804741.1483253585</x:v>
      </x:c>
    </x:row>
    <x:row r="9">
      <x:c r="A9" s="75" t="str">
        <x:v>EMP-0004</x:v>
      </x:c>
      <x:c r="B9" s="89" t="n">
        <x:v>45047</x:v>
      </x:c>
      <x:c r="C9" s="95" t="n">
        <x:v>3068000</x:v>
      </x:c>
      <x:c r="D9" s="132" t="n">
        <x:f>IF(DATEDIF(B9,'설정'!$B$6,"y")&gt;=1,15,ROUND(DATEDIF(B9,'설정'!$B$6,"m")/12*15,1))</x:f>
        <x:v>15</x:v>
      </x:c>
      <x:c r="E9" s="133" t="n">
        <x:f>SUMIFS('근태내역'!$D$6:$D$230,'근태내역'!$B$6:$B$230,A9,'근태내역'!$C$6:$C$230,"연차")</x:f>
        <x:v>1</x:v>
      </x:c>
      <x:c r="F9" s="133" t="n">
        <x:f>MAX(0,D9-E9)</x:f>
        <x:v>14</x:v>
      </x:c>
      <x:c r="G9" s="133" t="n">
        <x:f>SUMIFS('근태내역'!$D$6:$D$230,'근태내역'!$B$6:$B$230,A9,'근태내역'!$C$6:$C$230,"초과근무")</x:f>
        <x:v>10</x:v>
      </x:c>
      <x:c r="H9" s="144" t="n">
        <x:f>C9/209*1.5</x:f>
        <x:v>22019.13875598086</x:v>
      </x:c>
      <x:c r="I9" s="144" t="n">
        <x:f>G9*H9</x:f>
        <x:v>220191.38755980862</x:v>
      </x:c>
      <x:c r="J9" s="144" t="n">
        <x:f>MAX(0,F9-5)*H9*8</x:f>
        <x:v>1585377.990430622</x:v>
      </x:c>
      <x:c r="K9" s="145" t="n">
        <x:f>I9+J9</x:f>
        <x:v>1805569.3779904305</x:v>
      </x:c>
    </x:row>
    <x:row r="10">
      <x:c r="A10" s="75" t="str">
        <x:v>EMP-0005</x:v>
      </x:c>
      <x:c r="B10" s="89" t="n">
        <x:v>45444</x:v>
      </x:c>
      <x:c r="C10" s="95" t="n">
        <x:v>3110000</x:v>
      </x:c>
      <x:c r="D10" s="132" t="n">
        <x:f>IF(DATEDIF(B10,'설정'!$B$6,"y")&gt;=1,15,ROUND(DATEDIF(B10,'설정'!$B$6,"m")/12*15,1))</x:f>
        <x:v>15</x:v>
      </x:c>
      <x:c r="E10" s="133" t="n">
        <x:f>SUMIFS('근태내역'!$D$6:$D$230,'근태내역'!$B$6:$B$230,A10,'근태내역'!$C$6:$C$230,"연차")</x:f>
        <x:v>1.2</x:v>
      </x:c>
      <x:c r="F10" s="133" t="n">
        <x:f>MAX(0,D10-E10)</x:f>
        <x:v>13.8</x:v>
      </x:c>
      <x:c r="G10" s="133" t="n">
        <x:f>SUMIFS('근태내역'!$D$6:$D$230,'근태내역'!$B$6:$B$230,A10,'근태내역'!$C$6:$C$230,"초과근무")</x:f>
        <x:v>9.4</x:v>
      </x:c>
      <x:c r="H10" s="144" t="n">
        <x:f>C10/209*1.5</x:f>
        <x:v>22320.574162679426</x:v>
      </x:c>
      <x:c r="I10" s="144" t="n">
        <x:f>G10*H10</x:f>
        <x:v>209813.3971291866</x:v>
      </x:c>
      <x:c r="J10" s="144" t="n">
        <x:f>MAX(0,F10-5)*H10*8</x:f>
        <x:v>1571368.4210526317</x:v>
      </x:c>
      <x:c r="K10" s="145" t="n">
        <x:f>I10+J10</x:f>
        <x:v>1781181.8181818184</x:v>
      </x:c>
    </x:row>
    <x:row r="11">
      <x:c r="A11" s="75" t="str">
        <x:v>EMP-0006</x:v>
      </x:c>
      <x:c r="B11" s="89" t="n">
        <x:v>45839</x:v>
      </x:c>
      <x:c r="C11" s="95" t="n">
        <x:v>3152000</x:v>
      </x:c>
      <x:c r="D11" s="132" t="n">
        <x:f>IF(DATEDIF(B11,'설정'!$B$6,"y")&gt;=1,15,ROUND(DATEDIF(B11,'설정'!$B$6,"m")/12*15,1))</x:f>
        <x:v>15</x:v>
      </x:c>
      <x:c r="E11" s="133" t="n">
        <x:f>SUMIFS('근태내역'!$D$6:$D$230,'근태내역'!$B$6:$B$230,A11,'근태내역'!$C$6:$C$230,"연차")</x:f>
        <x:v>0.8</x:v>
      </x:c>
      <x:c r="F11" s="133" t="n">
        <x:f>MAX(0,D11-E11)</x:f>
        <x:v>14.2</x:v>
      </x:c>
      <x:c r="G11" s="133" t="n">
        <x:f>SUMIFS('근태내역'!$D$6:$D$230,'근태내역'!$B$6:$B$230,A11,'근태내역'!$C$6:$C$230,"초과근무")</x:f>
        <x:v>9.3</x:v>
      </x:c>
      <x:c r="H11" s="144" t="n">
        <x:f>C11/209*1.5</x:f>
        <x:v>22622.009569377988</x:v>
      </x:c>
      <x:c r="I11" s="144" t="n">
        <x:f>G11*H11</x:f>
        <x:v>210384.6889952153</x:v>
      </x:c>
      <x:c r="J11" s="144" t="n">
        <x:f>MAX(0,F11-5)*H11*8</x:f>
        <x:v>1664979.9043062197</x:v>
      </x:c>
      <x:c r="K11" s="145" t="n">
        <x:f>I11+J11</x:f>
        <x:v>1875364.593301435</x:v>
      </x:c>
    </x:row>
    <x:row r="12">
      <x:c r="A12" s="75" t="str">
        <x:v>EMP-0007</x:v>
      </x:c>
      <x:c r="B12" s="89" t="n">
        <x:v>43678</x:v>
      </x:c>
      <x:c r="C12" s="95" t="n">
        <x:v>3194000</x:v>
      </x:c>
      <x:c r="D12" s="132" t="n">
        <x:f>IF(DATEDIF(B12,'설정'!$B$6,"y")&gt;=1,15,ROUND(DATEDIF(B12,'설정'!$B$6,"m")/12*15,1))</x:f>
        <x:v>15</x:v>
      </x:c>
      <x:c r="E12" s="133" t="n">
        <x:f>SUMIFS('근태내역'!$D$6:$D$230,'근태내역'!$B$6:$B$230,A12,'근태내역'!$C$6:$C$230,"연차")</x:f>
        <x:v>0.8</x:v>
      </x:c>
      <x:c r="F12" s="133" t="n">
        <x:f>MAX(0,D12-E12)</x:f>
        <x:v>14.2</x:v>
      </x:c>
      <x:c r="G12" s="133" t="n">
        <x:f>SUMIFS('근태내역'!$D$6:$D$230,'근태내역'!$B$6:$B$230,A12,'근태내역'!$C$6:$C$230,"초과근무")</x:f>
        <x:v>11.3</x:v>
      </x:c>
      <x:c r="H12" s="144" t="n">
        <x:f>C12/209*1.5</x:f>
        <x:v>22923.444976076553</x:v>
      </x:c>
      <x:c r="I12" s="144" t="n">
        <x:f>G12*H12</x:f>
        <x:v>259034.92822966506</x:v>
      </x:c>
      <x:c r="J12" s="144" t="n">
        <x:f>MAX(0,F12-5)*H12*8</x:f>
        <x:v>1687165.5502392342</x:v>
      </x:c>
      <x:c r="K12" s="145" t="n">
        <x:f>I12+J12</x:f>
        <x:v>1946200.4784688994</x:v>
      </x:c>
    </x:row>
    <x:row r="13">
      <x:c r="A13" s="75" t="str">
        <x:v>EMP-0008</x:v>
      </x:c>
      <x:c r="B13" s="89" t="n">
        <x:v>44075</x:v>
      </x:c>
      <x:c r="C13" s="95" t="n">
        <x:v>3236000</x:v>
      </x:c>
      <x:c r="D13" s="132" t="n">
        <x:f>IF(DATEDIF(B13,'설정'!$B$6,"y")&gt;=1,15,ROUND(DATEDIF(B13,'설정'!$B$6,"m")/12*15,1))</x:f>
        <x:v>15</x:v>
      </x:c>
      <x:c r="E13" s="133" t="n">
        <x:f>SUMIFS('근태내역'!$D$6:$D$230,'근태내역'!$B$6:$B$230,A13,'근태내역'!$C$6:$C$230,"연차")</x:f>
        <x:v>0.7</x:v>
      </x:c>
      <x:c r="F13" s="133" t="n">
        <x:f>MAX(0,D13-E13)</x:f>
        <x:v>14.3</x:v>
      </x:c>
      <x:c r="G13" s="133" t="n">
        <x:f>SUMIFS('근태내역'!$D$6:$D$230,'근태내역'!$B$6:$B$230,A13,'근태내역'!$C$6:$C$230,"초과근무")</x:f>
        <x:v>7.9</x:v>
      </x:c>
      <x:c r="H13" s="144" t="n">
        <x:f>C13/209*1.5</x:f>
        <x:v>23224.88038277512</x:v>
      </x:c>
      <x:c r="I13" s="144" t="n">
        <x:f>G13*H13</x:f>
        <x:v>183476.55502392346</x:v>
      </x:c>
      <x:c r="J13" s="144" t="n">
        <x:f>MAX(0,F13-5)*H13*8</x:f>
        <x:v>1727931.1004784692</x:v>
      </x:c>
      <x:c r="K13" s="145" t="n">
        <x:f>I13+J13</x:f>
        <x:v>1911407.6555023927</x:v>
      </x:c>
    </x:row>
    <x:row r="14">
      <x:c r="A14" s="75" t="str">
        <x:v>EMP-0009</x:v>
      </x:c>
      <x:c r="B14" s="89" t="n">
        <x:v>44470</x:v>
      </x:c>
      <x:c r="C14" s="95" t="n">
        <x:v>3278000</x:v>
      </x:c>
      <x:c r="D14" s="132" t="n">
        <x:f>IF(DATEDIF(B14,'설정'!$B$6,"y")&gt;=1,15,ROUND(DATEDIF(B14,'설정'!$B$6,"m")/12*15,1))</x:f>
        <x:v>15</x:v>
      </x:c>
      <x:c r="E14" s="133" t="n">
        <x:f>SUMIFS('근태내역'!$D$6:$D$230,'근태내역'!$B$6:$B$230,A14,'근태내역'!$C$6:$C$230,"연차")</x:f>
        <x:v>1.8</x:v>
      </x:c>
      <x:c r="F14" s="133" t="n">
        <x:f>MAX(0,D14-E14)</x:f>
        <x:v>13.2</x:v>
      </x:c>
      <x:c r="G14" s="133" t="n">
        <x:f>SUMIFS('근태내역'!$D$6:$D$230,'근태내역'!$B$6:$B$230,A14,'근태내역'!$C$6:$C$230,"초과근무")</x:f>
        <x:v>6.5</x:v>
      </x:c>
      <x:c r="H14" s="144" t="n">
        <x:f>C14/209*1.5</x:f>
        <x:v>23526.315789473687</x:v>
      </x:c>
      <x:c r="I14" s="144" t="n">
        <x:f>G14*H14</x:f>
        <x:v>152921.05263157896</x:v>
      </x:c>
      <x:c r="J14" s="144" t="n">
        <x:f>MAX(0,F14-5)*H14*8</x:f>
        <x:v>1543326.3157894737</x:v>
      </x:c>
      <x:c r="K14" s="145" t="n">
        <x:f>I14+J14</x:f>
        <x:v>1696247.3684210526</x:v>
      </x:c>
    </x:row>
    <x:row r="15">
      <x:c r="A15" s="75" t="str">
        <x:v>EMP-0010</x:v>
      </x:c>
      <x:c r="B15" s="89" t="n">
        <x:v>44866</x:v>
      </x:c>
      <x:c r="C15" s="95" t="n">
        <x:v>3320000</x:v>
      </x:c>
      <x:c r="D15" s="132" t="n">
        <x:f>IF(DATEDIF(B15,'설정'!$B$6,"y")&gt;=1,15,ROUND(DATEDIF(B15,'설정'!$B$6,"m")/12*15,1))</x:f>
        <x:v>15</x:v>
      </x:c>
      <x:c r="E15" s="133" t="n">
        <x:f>SUMIFS('근태내역'!$D$6:$D$230,'근태내역'!$B$6:$B$230,A15,'근태내역'!$C$6:$C$230,"연차")</x:f>
        <x:v>0.8</x:v>
      </x:c>
      <x:c r="F15" s="133" t="n">
        <x:f>MAX(0,D15-E15)</x:f>
        <x:v>14.2</x:v>
      </x:c>
      <x:c r="G15" s="133" t="n">
        <x:f>SUMIFS('근태내역'!$D$6:$D$230,'근태내역'!$B$6:$B$230,A15,'근태내역'!$C$6:$C$230,"초과근무")</x:f>
        <x:v>9.7</x:v>
      </x:c>
      <x:c r="H15" s="144" t="n">
        <x:f>C15/209*1.5</x:f>
        <x:v>23827.75119617225</x:v>
      </x:c>
      <x:c r="I15" s="144" t="n">
        <x:f>G15*H15</x:f>
        <x:v>231129.1866028708</x:v>
      </x:c>
      <x:c r="J15" s="144" t="n">
        <x:f>MAX(0,F15-5)*H15*8</x:f>
        <x:v>1753722.4880382773</x:v>
      </x:c>
      <x:c r="K15" s="145" t="n">
        <x:f>I15+J15</x:f>
        <x:v>1984851.674641148</x:v>
      </x:c>
    </x:row>
    <x:row r="16">
      <x:c r="A16" s="75" t="str">
        <x:v>EMP-0011</x:v>
      </x:c>
      <x:c r="B16" s="89" t="n">
        <x:v>45261</x:v>
      </x:c>
      <x:c r="C16" s="95" t="n">
        <x:v>3362000</x:v>
      </x:c>
      <x:c r="D16" s="132" t="n">
        <x:f>IF(DATEDIF(B16,'설정'!$B$6,"y")&gt;=1,15,ROUND(DATEDIF(B16,'설정'!$B$6,"m")/12*15,1))</x:f>
        <x:v>15</x:v>
      </x:c>
      <x:c r="E16" s="133" t="n">
        <x:f>SUMIFS('근태내역'!$D$6:$D$230,'근태내역'!$B$6:$B$230,A16,'근태내역'!$C$6:$C$230,"연차")</x:f>
        <x:v>0.8</x:v>
      </x:c>
      <x:c r="F16" s="133" t="n">
        <x:f>MAX(0,D16-E16)</x:f>
        <x:v>14.2</x:v>
      </x:c>
      <x:c r="G16" s="133" t="n">
        <x:f>SUMIFS('근태내역'!$D$6:$D$230,'근태내역'!$B$6:$B$230,A16,'근태내역'!$C$6:$C$230,"초과근무")</x:f>
        <x:v>9.3</x:v>
      </x:c>
      <x:c r="H16" s="144" t="n">
        <x:f>C16/209*1.5</x:f>
        <x:v>24129.186602870814</x:v>
      </x:c>
      <x:c r="I16" s="144" t="n">
        <x:f>G16*H16</x:f>
        <x:v>224401.43540669858</x:v>
      </x:c>
      <x:c r="J16" s="144" t="n">
        <x:f>MAX(0,F16-5)*H16*8</x:f>
        <x:v>1775908.1339712918</x:v>
      </x:c>
      <x:c r="K16" s="145" t="n">
        <x:f>I16+J16</x:f>
        <x:v>2000309.5693779904</x:v>
      </x:c>
    </x:row>
    <x:row r="17">
      <x:c r="A17" s="75" t="str">
        <x:v>EMP-0012</x:v>
      </x:c>
      <x:c r="B17" s="89" t="n">
        <x:v>45292</x:v>
      </x:c>
      <x:c r="C17" s="95" t="n">
        <x:v>3404000</x:v>
      </x:c>
      <x:c r="D17" s="132" t="n">
        <x:f>IF(DATEDIF(B17,'설정'!$B$6,"y")&gt;=1,15,ROUND(DATEDIF(B17,'설정'!$B$6,"m")/12*15,1))</x:f>
        <x:v>15</x:v>
      </x:c>
      <x:c r="E17" s="133" t="n">
        <x:f>SUMIFS('근태내역'!$D$6:$D$230,'근태내역'!$B$6:$B$230,A17,'근태내역'!$C$6:$C$230,"연차")</x:f>
        <x:v>0.6</x:v>
      </x:c>
      <x:c r="F17" s="133" t="n">
        <x:f>SUM(D17:E17)</x:f>
        <x:v>15.6</x:v>
      </x:c>
      <x:c r="G17" s="133" t="n">
        <x:f>SUMIFS('근태내역'!$D$6:$D$230,'근태내역'!$B$6:$B$230,A17,'근태내역'!$C$6:$C$230,"초과근무")</x:f>
        <x:v>10.9</x:v>
      </x:c>
      <x:c r="H17" s="144" t="n">
        <x:f>C17/209*1.5</x:f>
        <x:v>24430.62200956938</x:v>
      </x:c>
      <x:c r="I17" s="144" t="n">
        <x:f>G17*H17</x:f>
        <x:v>266293.7799043062</x:v>
      </x:c>
      <x:c r="J17" s="144" t="n">
        <x:f>MAX(0,F17-5)*H17*8</x:f>
        <x:v>2071716.7464114833</x:v>
      </x:c>
      <x:c r="K17" s="145" t="n">
        <x:f>I17+J17</x:f>
        <x:v>2338010.5263157897</x:v>
      </x:c>
    </x:row>
    <x:row r="18">
      <x:c r="A18" s="75" t="str">
        <x:v>EMP-0013</x:v>
      </x:c>
      <x:c r="B18" s="89" t="n">
        <x:v>45689</x:v>
      </x:c>
      <x:c r="C18" s="95" t="n">
        <x:v>3446000</x:v>
      </x:c>
      <x:c r="D18" s="132" t="n">
        <x:f>IF(DATEDIF(B18,'설정'!$B$6,"y")&gt;=1,15,ROUND(DATEDIF(B18,'설정'!$B$6,"m")/12*15,1))</x:f>
        <x:v>15</x:v>
      </x:c>
      <x:c r="E18" s="133" t="n">
        <x:f>SUMIFS('근태내역'!$D$6:$D$230,'근태내역'!$B$6:$B$230,A18,'근태내역'!$C$6:$C$230,"연차")</x:f>
        <x:v>1.4</x:v>
      </x:c>
      <x:c r="F18" s="133" t="n">
        <x:f>MAX(0,D18-E18)</x:f>
        <x:v>13.6</x:v>
      </x:c>
      <x:c r="G18" s="133" t="n">
        <x:f>SUMIFS('근태내역'!$D$6:$D$230,'근태내역'!$B$6:$B$230,A18,'근태내역'!$C$6:$C$230,"초과근무")</x:f>
        <x:v>7.1</x:v>
      </x:c>
      <x:c r="H18" s="144" t="n">
        <x:f>C18/209*1.5</x:f>
        <x:v>24732.05741626794</x:v>
      </x:c>
      <x:c r="I18" s="144" t="n">
        <x:f>G18*H18</x:f>
        <x:v>175597.60765550236</x:v>
      </x:c>
      <x:c r="J18" s="144" t="n">
        <x:f>MAX(0,F18-5)*H18*8</x:f>
        <x:v>1701565.5502392342</x:v>
      </x:c>
      <x:c r="K18" s="145" t="n">
        <x:f>I18+J18</x:f>
        <x:v>1877163.1578947366</x:v>
      </x:c>
    </x:row>
    <x:row r="19">
      <x:c r="A19" s="75" t="str">
        <x:v>EMP-0014</x:v>
      </x:c>
      <x:c r="B19" s="89" t="n">
        <x:v>43525</x:v>
      </x:c>
      <x:c r="C19" s="95" t="n">
        <x:v>3488000</x:v>
      </x:c>
      <x:c r="D19" s="132" t="n">
        <x:f>IF(DATEDIF(B19,'설정'!$B$6,"y")&gt;=1,15,ROUND(DATEDIF(B19,'설정'!$B$6,"m")/12*15,1))</x:f>
        <x:v>15</x:v>
      </x:c>
      <x:c r="E19" s="133" t="n">
        <x:f>SUMIFS('근태내역'!$D$6:$D$230,'근태내역'!$B$6:$B$230,A19,'근태내역'!$C$6:$C$230,"연차")</x:f>
        <x:v>1</x:v>
      </x:c>
      <x:c r="F19" s="133" t="n">
        <x:f>MAX(0,D19-E19)</x:f>
        <x:v>14</x:v>
      </x:c>
      <x:c r="G19" s="133" t="n">
        <x:f>SUMIFS('근태내역'!$D$6:$D$230,'근태내역'!$B$6:$B$230,A19,'근태내역'!$C$6:$C$230,"초과근무")</x:f>
        <x:v>8.700000000000001</x:v>
      </x:c>
      <x:c r="H19" s="144" t="n">
        <x:f>C19/209*1.5</x:f>
        <x:v>25033.49282296651</x:v>
      </x:c>
      <x:c r="I19" s="144" t="n">
        <x:f>G19*H19</x:f>
        <x:v>217791.38755980865</x:v>
      </x:c>
      <x:c r="J19" s="144" t="n">
        <x:f>MAX(0,F19-5)*H19*8</x:f>
        <x:v>1802411.4832535887</x:v>
      </x:c>
      <x:c r="K19" s="145" t="n">
        <x:f>I19+J19</x:f>
        <x:v>2020202.8708133972</x:v>
      </x:c>
    </x:row>
    <x:row r="20">
      <x:c r="A20" s="75" t="str">
        <x:v>EMP-0015</x:v>
      </x:c>
      <x:c r="B20" s="89" t="n">
        <x:v>43922</x:v>
      </x:c>
      <x:c r="C20" s="95" t="n">
        <x:v>3530000</x:v>
      </x:c>
      <x:c r="D20" s="132" t="n">
        <x:f>IF(DATEDIF(B20,'설정'!$B$6,"y")&gt;=1,15,ROUND(DATEDIF(B20,'설정'!$B$6,"m")/12*15,1))</x:f>
        <x:v>15</x:v>
      </x:c>
      <x:c r="E20" s="133" t="n">
        <x:f>SUMIFS('근태내역'!$D$6:$D$230,'근태내역'!$B$6:$B$230,A20,'근태내역'!$C$6:$C$230,"연차")</x:f>
        <x:v>0.5</x:v>
      </x:c>
      <x:c r="F20" s="133" t="n">
        <x:f>MAX(0,D20-E20)</x:f>
        <x:v>14.5</x:v>
      </x:c>
      <x:c r="G20" s="133" t="n">
        <x:f>SUMIFS('근태내역'!$D$6:$D$230,'근태내역'!$B$6:$B$230,A20,'근태내역'!$C$6:$C$230,"초과근무")</x:f>
        <x:v>10</x:v>
      </x:c>
      <x:c r="H20" s="144" t="n">
        <x:f>C20/209*1.5</x:f>
        <x:v>25334.92822966507</x:v>
      </x:c>
      <x:c r="I20" s="144" t="n">
        <x:f>G20*H20</x:f>
        <x:v>253349.2822966507</x:v>
      </x:c>
      <x:c r="J20" s="144" t="n">
        <x:f>MAX(0,F20-5)*H20*8</x:f>
        <x:v>1925454.5454545454</x:v>
      </x:c>
      <x:c r="K20" s="145" t="n">
        <x:f>I20+J20</x:f>
        <x:v>2178803.827751196</x:v>
      </x:c>
    </x:row>
    <x:row r="21">
      <x:c r="A21" s="75" t="str">
        <x:v>EMP-0016</x:v>
      </x:c>
      <x:c r="B21" s="89" t="n">
        <x:v>44317</x:v>
      </x:c>
      <x:c r="C21" s="95" t="n">
        <x:v>3572000</x:v>
      </x:c>
      <x:c r="D21" s="132" t="n">
        <x:f>IF(DATEDIF(B21,'설정'!$B$6,"y")&gt;=1,15,ROUND(DATEDIF(B21,'설정'!$B$6,"m")/12*15,1))</x:f>
        <x:v>15</x:v>
      </x:c>
      <x:c r="E21" s="133" t="n">
        <x:f>SUMIFS('근태내역'!$D$6:$D$230,'근태내역'!$B$6:$B$230,A21,'근태내역'!$C$6:$C$230,"연차")</x:f>
        <x:v>0.7</x:v>
      </x:c>
      <x:c r="F21" s="133" t="n">
        <x:f>MAX(0,D21-E21)</x:f>
        <x:v>14.3</x:v>
      </x:c>
      <x:c r="G21" s="133" t="n">
        <x:f>SUMIFS('근태내역'!$D$6:$D$230,'근태내역'!$B$6:$B$230,A21,'근태내역'!$C$6:$C$230,"초과근무")</x:f>
        <x:v>10.9</x:v>
      </x:c>
      <x:c r="H21" s="144" t="n">
        <x:f>C21/209*1.5</x:f>
        <x:v>25636.36363636364</x:v>
      </x:c>
      <x:c r="I21" s="144" t="n">
        <x:f>G21*H21</x:f>
        <x:v>279436.3636363637</x:v>
      </x:c>
      <x:c r="J21" s="144" t="n">
        <x:f>MAX(0,F21-5)*H21*8</x:f>
        <x:v>1907345.454545455</x:v>
      </x:c>
      <x:c r="K21" s="145" t="n">
        <x:f>I21+J21</x:f>
        <x:v>2186781.818181819</x:v>
      </x:c>
    </x:row>
    <x:row r="22">
      <x:c r="A22" s="75" t="str">
        <x:v>EMP-0017</x:v>
      </x:c>
      <x:c r="B22" s="89" t="n">
        <x:v>44713</x:v>
      </x:c>
      <x:c r="C22" s="95" t="n">
        <x:v>3614000</x:v>
      </x:c>
      <x:c r="D22" s="132" t="n">
        <x:f>IF(DATEDIF(B22,'설정'!$B$6,"y")&gt;=1,15,ROUND(DATEDIF(B22,'설정'!$B$6,"m")/12*15,1))</x:f>
        <x:v>15</x:v>
      </x:c>
      <x:c r="E22" s="133" t="n">
        <x:f>SUMIFS('근태내역'!$D$6:$D$230,'근태내역'!$B$6:$B$230,A22,'근태내역'!$C$6:$C$230,"연차")</x:f>
        <x:v>2</x:v>
      </x:c>
      <x:c r="F22" s="133" t="n">
        <x:f>MAX(0,D22-E22)</x:f>
        <x:v>13</x:v>
      </x:c>
      <x:c r="G22" s="133" t="n">
        <x:f>SUMIFS('근태내역'!$D$6:$D$230,'근태내역'!$B$6:$B$230,A22,'근태내역'!$C$6:$C$230,"초과근무")</x:f>
        <x:v>8.5</x:v>
      </x:c>
      <x:c r="H22" s="144" t="n">
        <x:f>C22/209*1.5</x:f>
        <x:v>25937.7990430622</x:v>
      </x:c>
      <x:c r="I22" s="144" t="n">
        <x:f>G22*H22</x:f>
        <x:v>220471.2918660287</x:v>
      </x:c>
      <x:c r="J22" s="144" t="n">
        <x:f>MAX(0,F22-5)*H22*8</x:f>
        <x:v>1660019.1387559809</x:v>
      </x:c>
      <x:c r="K22" s="145" t="n">
        <x:f>I22+J22</x:f>
        <x:v>1880490.4306220096</x:v>
      </x:c>
    </x:row>
    <x:row r="23">
      <x:c r="A23" s="75" t="str">
        <x:v>EMP-0018</x:v>
      </x:c>
      <x:c r="B23" s="89" t="n">
        <x:v>45108</x:v>
      </x:c>
      <x:c r="C23" s="95" t="n">
        <x:v>3656000</x:v>
      </x:c>
      <x:c r="D23" s="132" t="n">
        <x:f>IF(DATEDIF(B23,'설정'!$B$6,"y")&gt;=1,15,ROUND(DATEDIF(B23,'설정'!$B$6,"m")/12*15,1))</x:f>
        <x:v>15</x:v>
      </x:c>
      <x:c r="E23" s="133" t="n">
        <x:f>SUMIFS('근태내역'!$D$6:$D$230,'근태내역'!$B$6:$B$230,A23,'근태내역'!$C$6:$C$230,"연차")</x:f>
        <x:v>0.8</x:v>
      </x:c>
      <x:c r="F23" s="133" t="n">
        <x:f>MAX(0,D23-E23)</x:f>
        <x:v>14.2</x:v>
      </x:c>
      <x:c r="G23" s="133" t="n">
        <x:f>SUMIFS('근태내역'!$D$6:$D$230,'근태내역'!$B$6:$B$230,A23,'근태내역'!$C$6:$C$230,"초과근무")</x:f>
        <x:v>9.799999999999999</x:v>
      </x:c>
      <x:c r="H23" s="144" t="n">
        <x:f>C23/209*1.5</x:f>
        <x:v>26239.234449760766</x:v>
      </x:c>
      <x:c r="I23" s="144" t="n">
        <x:f>G23*H23</x:f>
        <x:v>257144.49760765547</x:v>
      </x:c>
      <x:c r="J23" s="144" t="n">
        <x:f>MAX(0,F23-5)*H23*8</x:f>
        <x:v>1931207.6555023922</x:v>
      </x:c>
      <x:c r="K23" s="145" t="n">
        <x:f>I23+J23</x:f>
        <x:v>2188352.153110048</x:v>
      </x:c>
    </x:row>
    <x:row r="24">
      <x:c r="A24" s="75" t="str">
        <x:v>EMP-0019</x:v>
      </x:c>
      <x:c r="B24" s="89" t="n">
        <x:v>45505</x:v>
      </x:c>
      <x:c r="C24" s="95" t="n">
        <x:v>3698000</x:v>
      </x:c>
      <x:c r="D24" s="132" t="n">
        <x:f>IF(DATEDIF(B24,'설정'!$B$6,"y")&gt;=1,15,ROUND(DATEDIF(B24,'설정'!$B$6,"m")/12*15,1))</x:f>
        <x:v>15</x:v>
      </x:c>
      <x:c r="E24" s="133" t="n">
        <x:f>SUMIFS('근태내역'!$D$6:$D$230,'근태내역'!$B$6:$B$230,A24,'근태내역'!$C$6:$C$230,"연차")</x:f>
        <x:v>0.8</x:v>
      </x:c>
      <x:c r="F24" s="133" t="n">
        <x:f>MAX(0,D24-E24)</x:f>
        <x:v>14.2</x:v>
      </x:c>
      <x:c r="G24" s="133" t="n">
        <x:f>SUMIFS('근태내역'!$D$6:$D$230,'근태내역'!$B$6:$B$230,A24,'근태내역'!$C$6:$C$230,"초과근무")</x:f>
        <x:v>9.5</x:v>
      </x:c>
      <x:c r="H24" s="144" t="n">
        <x:f>C24/209*1.5</x:f>
        <x:v>26540.669856459328</x:v>
      </x:c>
      <x:c r="I24" s="144" t="n">
        <x:f>G24*H24</x:f>
        <x:v>252136.36363636362</x:v>
      </x:c>
      <x:c r="J24" s="144" t="n">
        <x:f>MAX(0,F24-5)*H24*8</x:f>
        <x:v>1953393.3014354063</x:v>
      </x:c>
      <x:c r="K24" s="145" t="n">
        <x:f>I24+J24</x:f>
        <x:v>2205529.66507177</x:v>
      </x:c>
    </x:row>
    <x:row r="25">
      <x:c r="A25" s="75" t="str">
        <x:v>EMP-0020</x:v>
      </x:c>
      <x:c r="B25" s="89" t="n">
        <x:v>45901</x:v>
      </x:c>
      <x:c r="C25" s="95" t="n">
        <x:v>3740000</x:v>
      </x:c>
      <x:c r="D25" s="132" t="n">
        <x:f>IF(DATEDIF(B25,'설정'!$B$6,"y")&gt;=1,15,ROUND(DATEDIF(B25,'설정'!$B$6,"m")/12*15,1))</x:f>
        <x:v>15</x:v>
      </x:c>
      <x:c r="E25" s="133" t="n">
        <x:f>SUMIFS('근태내역'!$D$6:$D$230,'근태내역'!$B$6:$B$230,A25,'근태내역'!$C$6:$C$230,"연차")</x:f>
        <x:v>0.9</x:v>
      </x:c>
      <x:c r="F25" s="133" t="n">
        <x:f>MAX(0,D25-E25)</x:f>
        <x:v>14.1</x:v>
      </x:c>
      <x:c r="G25" s="133" t="n">
        <x:f>SUMIFS('근태내역'!$D$6:$D$230,'근태내역'!$B$6:$B$230,A25,'근태내역'!$C$6:$C$230,"초과근무")</x:f>
        <x:v>9.3</x:v>
      </x:c>
      <x:c r="H25" s="144" t="n">
        <x:f>C25/209*1.5</x:f>
        <x:v>26842.105263157893</x:v>
      </x:c>
      <x:c r="I25" s="144" t="n">
        <x:f>G25*H25</x:f>
        <x:v>249631.57894736843</x:v>
      </x:c>
      <x:c r="J25" s="144" t="n">
        <x:f>MAX(0,F25-5)*H25*8</x:f>
        <x:v>1954105.2631578946</x:v>
      </x:c>
      <x:c r="K25" s="145" t="n">
        <x:f>I25+J25</x:f>
        <x:v>2203736.842105263</x:v>
      </x:c>
    </x:row>
    <x:row r="26">
      <x:c r="A26" s="75" t="str">
        <x:v>EMP-0021</x:v>
      </x:c>
      <x:c r="B26" s="89" t="n">
        <x:v>43739</x:v>
      </x:c>
      <x:c r="C26" s="95" t="n">
        <x:v>3782000</x:v>
      </x:c>
      <x:c r="D26" s="132" t="n">
        <x:f>IF(DATEDIF(B26,'설정'!$B$6,"y")&gt;=1,15,ROUND(DATEDIF(B26,'설정'!$B$6,"m")/12*15,1))</x:f>
        <x:v>15</x:v>
      </x:c>
      <x:c r="E26" s="133" t="n">
        <x:f>SUMIFS('근태내역'!$D$6:$D$230,'근태내역'!$B$6:$B$230,A26,'근태내역'!$C$6:$C$230,"연차")</x:f>
        <x:v>1.2</x:v>
      </x:c>
      <x:c r="F26" s="133" t="n">
        <x:f>MAX(0,D26-E26)</x:f>
        <x:v>13.8</x:v>
      </x:c>
      <x:c r="G26" s="133" t="n">
        <x:f>SUMIFS('근태내역'!$D$6:$D$230,'근태내역'!$B$6:$B$230,A26,'근태내역'!$C$6:$C$230,"초과근무")</x:f>
        <x:v>10.1</x:v>
      </x:c>
      <x:c r="H26" s="144" t="n">
        <x:f>C26/209*1.5</x:f>
        <x:v>27143.540669856462</x:v>
      </x:c>
      <x:c r="I26" s="144" t="n">
        <x:f>G26*H26</x:f>
        <x:v>274149.76076555025</x:v>
      </x:c>
      <x:c r="J26" s="144" t="n">
        <x:f>MAX(0,F26-5)*H26*8</x:f>
        <x:v>1910905.263157895</x:v>
      </x:c>
      <x:c r="K26" s="145" t="n">
        <x:f>I26+J26</x:f>
        <x:v>2185055.0239234455</x:v>
      </x:c>
    </x:row>
    <x:row r="27">
      <x:c r="A27" s="75" t="str">
        <x:v>EMP-0022</x:v>
      </x:c>
      <x:c r="B27" s="89" t="n">
        <x:v>44136</x:v>
      </x:c>
      <x:c r="C27" s="95" t="n">
        <x:v>3824000</x:v>
      </x:c>
      <x:c r="D27" s="132" t="n">
        <x:f>IF(DATEDIF(B27,'설정'!$B$6,"y")&gt;=1,15,ROUND(DATEDIF(B27,'설정'!$B$6,"m")/12*15,1))</x:f>
        <x:v>15</x:v>
      </x:c>
      <x:c r="E27" s="133" t="n">
        <x:f>SUMIFS('근태내역'!$D$6:$D$230,'근태내역'!$B$6:$B$230,A27,'근태내역'!$C$6:$C$230,"연차")</x:f>
        <x:v>0.5</x:v>
      </x:c>
      <x:c r="F27" s="133" t="n">
        <x:f>MAX(0,D27-E27)</x:f>
        <x:v>14.5</x:v>
      </x:c>
      <x:c r="G27" s="133" t="n">
        <x:f>SUMIFS('근태내역'!$D$6:$D$230,'근태내역'!$B$6:$B$230,A27,'근태내역'!$C$6:$C$230,"초과근무")</x:f>
        <x:v>7.1000000000000005</x:v>
      </x:c>
      <x:c r="H27" s="144" t="n">
        <x:f>C27/209*1.5</x:f>
        <x:v>27444.976076555024</x:v>
      </x:c>
      <x:c r="I27" s="144" t="n">
        <x:f>G27*H27</x:f>
        <x:v>194859.3301435407</x:v>
      </x:c>
      <x:c r="J27" s="144" t="n">
        <x:f>MAX(0,F27-5)*H27*8</x:f>
        <x:v>2085818.1818181819</x:v>
      </x:c>
      <x:c r="K27" s="145" t="n">
        <x:f>I27+J27</x:f>
        <x:v>2280677.5119617227</x:v>
      </x:c>
    </x:row>
    <x:row r="28">
      <x:c r="A28" s="75" t="str">
        <x:v>EMP-0023</x:v>
      </x:c>
      <x:c r="B28" s="89" t="n">
        <x:v>44531</x:v>
      </x:c>
      <x:c r="C28" s="95" t="n">
        <x:v>3866000</x:v>
      </x:c>
      <x:c r="D28" s="132" t="n">
        <x:f>IF(DATEDIF(B28,'설정'!$B$6,"y")&gt;=1,15,ROUND(DATEDIF(B28,'설정'!$B$6,"m")/12*15,1))</x:f>
        <x:v>15</x:v>
      </x:c>
      <x:c r="E28" s="133" t="n">
        <x:f>SUMIFS('근태내역'!$D$6:$D$230,'근태내역'!$B$6:$B$230,A28,'근태내역'!$C$6:$C$230,"연차")</x:f>
        <x:v>0.7</x:v>
      </x:c>
      <x:c r="F28" s="133" t="n">
        <x:f>MAX(0,D28-E28)</x:f>
        <x:v>14.3</x:v>
      </x:c>
      <x:c r="G28" s="133" t="n">
        <x:f>SUMIFS('근태내역'!$D$6:$D$230,'근태내역'!$B$6:$B$230,A27,'근태내역'!$C$6:$C$230,"초과근무")</x:f>
        <x:v>7.1000000000000005</x:v>
      </x:c>
      <x:c r="H28" s="144" t="n">
        <x:f>C28/209*1.5</x:f>
        <x:v>27746.411483253592</x:v>
      </x:c>
      <x:c r="I28" s="144" t="n">
        <x:f>G28*H28</x:f>
        <x:v>196999.52153110053</x:v>
      </x:c>
      <x:c r="J28" s="144" t="n">
        <x:f>MAX(0,F28-5)*H28*8</x:f>
        <x:v>2064333.0143540674</x:v>
      </x:c>
      <x:c r="K28" s="145" t="n">
        <x:f>I28+J28</x:f>
        <x:v>2261332.535885168</x:v>
      </x:c>
    </x:row>
    <x:row r="29">
      <x:c r="A29" s="75" t="str">
        <x:v>EMP-0024</x:v>
      </x:c>
      <x:c r="B29" s="89" t="n">
        <x:v>44562</x:v>
      </x:c>
      <x:c r="C29" s="95" t="n">
        <x:v>3908000</x:v>
      </x:c>
      <x:c r="D29" s="132" t="n">
        <x:f>IF(DATEDIF(B29,'설정'!$B$6,"y")&gt;=1,15,ROUND(DATEDIF(B29,'설정'!$B$6,"m")/12*15,1))</x:f>
        <x:v>15</x:v>
      </x:c>
      <x:c r="E29" s="133" t="n">
        <x:f>SUMIFS('근태내역'!$D$6:$D$230,'근태내역'!$B$6:$B$230,A29,'근태내역'!$C$6:$C$230,"연차")</x:f>
        <x:v>0.9</x:v>
      </x:c>
      <x:c r="F29" s="133" t="n">
        <x:f>MAX(0,D29-E29)</x:f>
        <x:v>14.1</x:v>
      </x:c>
      <x:c r="G29" s="133" t="n">
        <x:f>SUMIFS('근태내역'!$D$6:$D$230,'근태내역'!$B$6:$B$230,A29,'근태내역'!$C$6:$C$230,"초과근무")</x:f>
        <x:v>12</x:v>
      </x:c>
      <x:c r="H29" s="144" t="n">
        <x:f>C29/209*1.5</x:f>
        <x:v>28047.846889952154</x:v>
      </x:c>
      <x:c r="I29" s="144" t="n">
        <x:f>G29*H29</x:f>
        <x:v>336574.16267942585</x:v>
      </x:c>
      <x:c r="J29" s="144" t="n">
        <x:f>MAX(0,F29-5)*H29*8</x:f>
        <x:v>2041883.2535885167</x:v>
      </x:c>
      <x:c r="K29" s="145" t="n">
        <x:f>I29+J29</x:f>
        <x:v>2378457.4162679426</x:v>
      </x:c>
    </x:row>
    <x:row r="30">
      <x:c r="A30" s="75" t="str">
        <x:v>EMP-0025</x:v>
      </x:c>
      <x:c r="B30" s="89" t="n">
        <x:v>44958</x:v>
      </x:c>
      <x:c r="C30" s="95" t="n">
        <x:v>3950000</x:v>
      </x:c>
      <x:c r="D30" s="132" t="n">
        <x:f>IF(DATEDIF(B30,'설정'!$B$6,"y")&gt;=1,15,ROUND(DATEDIF(B30,'설정'!$B$6,"m")/12*15,1))</x:f>
        <x:v>15</x:v>
      </x:c>
      <x:c r="E30" s="133" t="n">
        <x:f>SUMIFS('근태내역'!$D$6:$D$230,'근태내역'!$B$6:$B$230,A30,'근태내역'!$C$6:$C$230,"연차")</x:f>
        <x:v>1.2</x:v>
      </x:c>
      <x:c r="F30" s="133" t="n">
        <x:f>MAX(0,D30-E30)</x:f>
        <x:v>13.8</x:v>
      </x:c>
      <x:c r="G30" s="133" t="n">
        <x:f>SUMIFS('근태내역'!$D$6:$D$230,'근태내역'!$B$6:$B$230,A30,'근태내역'!$C$6:$C$230,"초과근무")</x:f>
        <x:v>8.7</x:v>
      </x:c>
      <x:c r="H30" s="144" t="n">
        <x:f>C30/209*1.5</x:f>
        <x:v>28349.28229665072</x:v>
      </x:c>
      <x:c r="I30" s="144" t="n">
        <x:f>G30*H30</x:f>
        <x:v>246638.75598086123</x:v>
      </x:c>
      <x:c r="J30" s="144" t="n">
        <x:f>MAX(0,F30-5)*H30*8</x:f>
        <x:v>1995789.4736842108</x:v>
      </x:c>
      <x:c r="K30" s="145" t="n">
        <x:f>I30+J30</x:f>
        <x:v>2242428.229665072</x:v>
      </x:c>
    </x:row>
    <x:row r="31">
      <x:c r="A31" s="75" t="str">
        <x:v>EMP-0026</x:v>
      </x:c>
      <x:c r="B31" s="89" t="n">
        <x:v>45352</x:v>
      </x:c>
      <x:c r="C31" s="95" t="n">
        <x:v>3992000</x:v>
      </x:c>
      <x:c r="D31" s="132" t="n">
        <x:f>IF(DATEDIF(B31,'설정'!$B$6,"y")&gt;=1,15,ROUND(DATEDIF(B31,'설정'!$B$6,"m")/12*15,1))</x:f>
        <x:v>15</x:v>
      </x:c>
      <x:c r="E31" s="133" t="n">
        <x:f>SUMIFS('근태내역'!$D$6:$D$230,'근태내역'!$B$6:$B$230,A31,'근태내역'!$C$6:$C$230,"연차")</x:f>
        <x:v>0.7</x:v>
      </x:c>
      <x:c r="F31" s="133" t="n">
        <x:f>MAX(0,D31-E31)</x:f>
        <x:v>14.3</x:v>
      </x:c>
      <x:c r="G31" s="133" t="n">
        <x:f>SUMIFS('근태내역'!$D$6:$D$230,'근태내역'!$B$6:$B$230,A31,'근태내역'!$C$6:$C$230,"초과근무")</x:f>
        <x:v>9.7</x:v>
      </x:c>
      <x:c r="H31" s="144" t="n">
        <x:f>C31/209*1.5</x:f>
        <x:v>28650.71770334928</x:v>
      </x:c>
      <x:c r="I31" s="144" t="n">
        <x:f>G31*H31</x:f>
        <x:v>277911.961722488</x:v>
      </x:c>
      <x:c r="J31" s="144" t="n">
        <x:f>MAX(0,F31-5)*H31*8</x:f>
        <x:v>2131613.3971291864</x:v>
      </x:c>
      <x:c r="K31" s="145" t="n">
        <x:f>I31+J31</x:f>
        <x:v>2409525.3588516745</x:v>
      </x:c>
    </x:row>
    <x:row r="32">
      <x:c r="A32" s="75" t="str">
        <x:v>EMP-0027</x:v>
      </x:c>
      <x:c r="B32" s="89" t="n">
        <x:v>45748</x:v>
      </x:c>
      <x:c r="C32" s="95" t="n">
        <x:v>4034000</x:v>
      </x:c>
      <x:c r="D32" s="132" t="n">
        <x:f>IF(DATEDIF(B32,'설정'!$B$6,"y")&gt;=1,15,ROUND(DATEDIF(B32,'설정'!$B$6,"m")/12*15,1))</x:f>
        <x:v>15</x:v>
      </x:c>
      <x:c r="E32" s="133" t="n">
        <x:f>SUMIFS('근태내역'!$D$6:$D$230,'근태내역'!$B$6:$B$230,A32,'근태내역'!$C$6:$C$230,"연차")</x:f>
        <x:v>1</x:v>
      </x:c>
      <x:c r="F32" s="133" t="n">
        <x:f>MAX(0,D32-E32)</x:f>
        <x:v>14</x:v>
      </x:c>
      <x:c r="G32" s="133" t="n">
        <x:f>SUMIFS('근태내역'!$D$6:$D$230,'근태내역'!$B$6:$B$230,A32,'근태내역'!$C$6:$C$230,"초과근무")</x:f>
        <x:v>9.5</x:v>
      </x:c>
      <x:c r="H32" s="144" t="n">
        <x:f>C32/209*1.5</x:f>
        <x:v>28952.153110047846</x:v>
      </x:c>
      <x:c r="I32" s="144" t="n">
        <x:f>G32*H32</x:f>
        <x:v>275045.45454545453</x:v>
      </x:c>
      <x:c r="J32" s="144" t="n">
        <x:f>MAX(0,F32-5)*H32*8</x:f>
        <x:v>2084555.023923445</x:v>
      </x:c>
      <x:c r="K32" s="145" t="n">
        <x:f>I32+J32</x:f>
        <x:v>2359600.4784688996</x:v>
      </x:c>
    </x:row>
    <x:row r="33">
      <x:c r="A33" s="75" t="str">
        <x:v>EMP-0028</x:v>
      </x:c>
      <x:c r="B33" s="89" t="n">
        <x:v>43586</x:v>
      </x:c>
      <x:c r="C33" s="95" t="n">
        <x:v>4076000</x:v>
      </x:c>
      <x:c r="D33" s="132" t="n">
        <x:f>IF(DATEDIF(B33,'설정'!$B$6,"y")&gt;=1,15,ROUND(DATEDIF(B33,'설정'!$B$6,"m")/12*15,1))</x:f>
        <x:v>15</x:v>
      </x:c>
      <x:c r="E33" s="133" t="n">
        <x:f>SUMIFS('근태내역'!$D$6:$D$230,'근태내역'!$B$6:$B$230,A33,'근태내역'!$C$6:$C$230,"연차")</x:f>
        <x:v>0.9</x:v>
      </x:c>
      <x:c r="F33" s="133" t="n">
        <x:f>MAX(0,D33-E33)</x:f>
        <x:v>14.1</x:v>
      </x:c>
      <x:c r="G33" s="133" t="n">
        <x:f>SUMIFS('근태내역'!$D$6:$D$230,'근태내역'!$B$6:$B$230,A33,'근태내역'!$C$6:$C$230,"초과근무")</x:f>
        <x:v>9.4</x:v>
      </x:c>
      <x:c r="H33" s="144" t="n">
        <x:f>C33/209*1.5</x:f>
        <x:v>29253.588516746408</x:v>
      </x:c>
      <x:c r="I33" s="144" t="n">
        <x:f>G33*H33</x:f>
        <x:v>274983.73205741623</x:v>
      </x:c>
      <x:c r="J33" s="144" t="n">
        <x:f>MAX(0,F33-5)*H33*8</x:f>
        <x:v>2129661.244019138</x:v>
      </x:c>
      <x:c r="K33" s="145" t="n">
        <x:f>I33+J33</x:f>
        <x:v>2404644.9760765545</x:v>
      </x:c>
    </x:row>
    <x:row r="34">
      <x:c r="A34" s="75" t="str">
        <x:v>EMP-0029</x:v>
      </x:c>
      <x:c r="B34" s="89" t="n">
        <x:v>43983</x:v>
      </x:c>
      <x:c r="C34" s="95" t="n">
        <x:v>4118000</x:v>
      </x:c>
      <x:c r="D34" s="132" t="n">
        <x:f>IF(DATEDIF(B34,'설정'!$B$6,"y")&gt;=1,15,ROUND(DATEDIF(B34,'설정'!$B$6,"m")/12*15,1))</x:f>
        <x:v>15</x:v>
      </x:c>
      <x:c r="E34" s="133" t="n">
        <x:f>SUMIFS('근태내역'!$D$6:$D$230,'근태내역'!$B$6:$B$230,A34,'근태내역'!$C$6:$C$230,"연차")</x:f>
        <x:v>1.1</x:v>
      </x:c>
      <x:c r="F34" s="133" t="n">
        <x:f>MAX(0,D34-E34)</x:f>
        <x:v>13.9</x:v>
      </x:c>
      <x:c r="G34" s="133" t="n">
        <x:f>SUMIFS('근태내역'!$D$6:$D$230,'근태내역'!$B$6:$B$230,A34,'근태내역'!$C$6:$C$230,"초과근무")</x:f>
        <x:v>6.699999999999999</x:v>
      </x:c>
      <x:c r="H34" s="144" t="n">
        <x:f>C34/209*1.5</x:f>
        <x:v>29555.023923444976</x:v>
      </x:c>
      <x:c r="I34" s="144" t="n">
        <x:f>G34*H34</x:f>
        <x:v>198018.66028708132</x:v>
      </x:c>
      <x:c r="J34" s="144" t="n">
        <x:f>MAX(0,F34-5)*H34*8</x:f>
        <x:v>2104317.7033492825</x:v>
      </x:c>
      <x:c r="K34" s="145" t="n">
        <x:f>I34+J34</x:f>
        <x:v>2302336.3636363638</x:v>
      </x:c>
    </x:row>
    <x:row r="35">
      <x:c r="A35" s="75" t="str">
        <x:v>EMP-0030</x:v>
      </x:c>
      <x:c r="B35" s="89" t="n">
        <x:v>44378</x:v>
      </x:c>
      <x:c r="C35" s="95" t="n">
        <x:v>4160000</x:v>
      </x:c>
      <x:c r="D35" s="132" t="n">
        <x:f>IF(DATEDIF(B35,'설정'!$B$6,"y")&gt;=1,15,ROUND(DATEDIF(B35,'설정'!$B$6,"m")/12*15,1))</x:f>
        <x:v>15</x:v>
      </x:c>
      <x:c r="E35" s="133" t="n">
        <x:f>SUMIFS('근태내역'!$D$6:$D$230,'근태내역'!$B$6:$B$230,A35,'근태내역'!$C$6:$C$230,"연차")</x:f>
        <x:v>0.9</x:v>
      </x:c>
      <x:c r="F35" s="133" t="n">
        <x:f>MAX(0,D35-E35)</x:f>
        <x:v>14.1</x:v>
      </x:c>
      <x:c r="G35" s="133" t="n">
        <x:f>SUMIFS('근태내역'!$D$6:$D$230,'근태내역'!$B$6:$B$230,A35,'근태내역'!$C$6:$C$230,"초과근무")</x:f>
        <x:v>9</x:v>
      </x:c>
      <x:c r="H35" s="144" t="n">
        <x:f>C35/209*1.5</x:f>
        <x:v>29856.459330143538</x:v>
      </x:c>
      <x:c r="I35" s="144" t="n">
        <x:f>G35*H35</x:f>
        <x:v>268708.1339712918</x:v>
      </x:c>
      <x:c r="J35" s="144" t="n">
        <x:f>MAX(0,F35-5)*H35*8</x:f>
        <x:v>2173550.2392344493</x:v>
      </x:c>
      <x:c r="K35" s="145" t="n">
        <x:f>I35+J35</x:f>
        <x:v>2442258.373205741</x:v>
      </x:c>
    </x:row>
    <x:row r="36">
      <x:c r="A36" s="75" t="str">
        <x:v>EMP-0031</x:v>
      </x:c>
      <x:c r="B36" s="89" t="n">
        <x:v>44774</x:v>
      </x:c>
      <x:c r="C36" s="95" t="n">
        <x:v>4202000</x:v>
      </x:c>
      <x:c r="D36" s="132" t="n">
        <x:f>IF(DATEDIF(B36,'설정'!$B$6,"y")&gt;=1,15,ROUND(DATEDIF(B36,'설정'!$B$6,"m")/12*15,1))</x:f>
        <x:v>15</x:v>
      </x:c>
      <x:c r="E36" s="133" t="n">
        <x:f>SUMIFS('근태내역'!$D$6:$D$230,'근태내역'!$B$6:$B$230,A36,'근태내역'!$C$6:$C$230,"연차")</x:f>
        <x:v>0.8</x:v>
      </x:c>
      <x:c r="F36" s="133" t="n">
        <x:f>MAX(0,D36-E36)</x:f>
        <x:v>14.2</x:v>
      </x:c>
      <x:c r="G36" s="133" t="n">
        <x:f>SUMIFS('근태내역'!$D$6:$D$230,'근태내역'!$B$6:$B$230,A36,'근태내역'!$C$6:$C$230,"초과근무")</x:f>
        <x:v>8.399999999999999</x:v>
      </x:c>
      <x:c r="H36" s="144" t="n">
        <x:f>C36/209*1.5</x:f>
        <x:v>30157.894736842107</x:v>
      </x:c>
      <x:c r="I36" s="144" t="n">
        <x:f>G36*H36</x:f>
        <x:v>253326.31578947365</x:v>
      </x:c>
      <x:c r="J36" s="144" t="n">
        <x:f>MAX(0,F36-5)*H36*8</x:f>
        <x:v>2219621.052631579</x:v>
      </x:c>
      <x:c r="K36" s="145" t="n">
        <x:f>I36+J36</x:f>
        <x:v>2472947.3684210526</x:v>
      </x:c>
    </x:row>
    <x:row r="37">
      <x:c r="A37" s="75" t="str">
        <x:v>EMP-0032</x:v>
      </x:c>
      <x:c r="B37" s="89" t="n">
        <x:v>45170</x:v>
      </x:c>
      <x:c r="C37" s="95" t="n">
        <x:v>4244000</x:v>
      </x:c>
      <x:c r="D37" s="132" t="n">
        <x:f>IF(DATEDIF(B37,'설정'!$B$6,"y")&gt;=1,15,ROUND(DATEDIF(B37,'설정'!$B$6,"m")/12*15,1))</x:f>
        <x:v>15</x:v>
      </x:c>
      <x:c r="E37" s="133" t="n">
        <x:f>SUMIFS('근태내역'!$D$6:$D$230,'근태내역'!$B$6:$B$230,A37,'근태내역'!$C$6:$C$230,"연차")</x:f>
        <x:v>0.8</x:v>
      </x:c>
      <x:c r="F37" s="133" t="n">
        <x:f>MAX(0,D37-E37)</x:f>
        <x:v>14.2</x:v>
      </x:c>
      <x:c r="G37" s="133" t="n">
        <x:f>SUMIFS('근태내역'!$D$6:$D$230,'근태내역'!$B$6:$B$230,A37,'근태내역'!$C$6:$C$230,"초과근무")</x:f>
        <x:v>8.6</x:v>
      </x:c>
      <x:c r="H37" s="144" t="n">
        <x:f>C37/209*1.5</x:f>
        <x:v>30459.330143540672</x:v>
      </x:c>
      <x:c r="I37" s="144" t="n">
        <x:v>410000</x:v>
      </x:c>
      <x:c r="J37" s="144" t="n">
        <x:f>MAX(0,F37-5)*H37*8</x:f>
        <x:v>2241806.698564593</x:v>
      </x:c>
      <x:c r="K37" s="145" t="n">
        <x:f>I37+J37</x:f>
        <x:v>2651806.698564593</x:v>
      </x:c>
    </x:row>
    <x:row r="38">
      <x:c r="A38" s="75" t="str">
        <x:v>EMP-0033</x:v>
      </x:c>
      <x:c r="B38" s="89" t="n">
        <x:v>45566</x:v>
      </x:c>
      <x:c r="C38" s="95" t="n">
        <x:v>4286000</x:v>
      </x:c>
      <x:c r="D38" s="132" t="n">
        <x:f>IF(DATEDIF(B38,'설정'!$B$6,"y")&gt;=1,15,ROUND(DATEDIF(B38,'설정'!$B$6,"m")/12*15,1))</x:f>
        <x:v>15</x:v>
      </x:c>
      <x:c r="E38" s="133" t="n">
        <x:f>SUMIFS('근태내역'!$D$6:$D$230,'근태내역'!$B$6:$B$230,A38,'근태내역'!$C$6:$C$230,"연차")</x:f>
        <x:v>1.3</x:v>
      </x:c>
      <x:c r="F38" s="133" t="n">
        <x:f>MAX(0,D38-E38)</x:f>
        <x:v>13.7</x:v>
      </x:c>
      <x:c r="G38" s="133" t="n">
        <x:f>SUMIFS('근태내역'!$D$6:$D$230,'근태내역'!$B$6:$B$230,A38,'근태내역'!$C$6:$C$230,"초과근무")</x:f>
        <x:v>8.2</x:v>
      </x:c>
      <x:c r="H38" s="144" t="n">
        <x:f>C38/209*1.5</x:f>
        <x:v>30760.765550239234</x:v>
      </x:c>
      <x:c r="I38" s="144" t="n">
        <x:f>G38*H38</x:f>
        <x:v>252238.2775119617</x:v>
      </x:c>
      <x:c r="J38" s="144" t="n">
        <x:f>MAX(0,F38-5)*H38*8</x:f>
        <x:v>2140949.2822966506</x:v>
      </x:c>
      <x:c r="K38" s="145" t="n">
        <x:f>I38+J38</x:f>
        <x:v>2393187.5598086123</x:v>
      </x:c>
    </x:row>
    <x:row r="39">
      <x:c r="A39" s="75" t="str">
        <x:v>EMP-0034</x:v>
      </x:c>
      <x:c r="B39" s="89" t="n">
        <x:v>45962</x:v>
      </x:c>
      <x:c r="C39" s="95" t="n">
        <x:v>4328000</x:v>
      </x:c>
      <x:c r="D39" s="132" t="n">
        <x:f>IF(DATEDIF(B39,'설정'!$B$6,"y")&gt;=1,15,ROUND(DATEDIF(B39,'설정'!$B$6,"m")/12*15,1))</x:f>
        <x:v>11.3</x:v>
      </x:c>
      <x:c r="E39" s="133" t="n">
        <x:f>SUMIFS('근태내역'!$D$6:$D$230,'근태내역'!$B$6:$B$230,A39,'근태내역'!$C$6:$C$230,"연차")</x:f>
        <x:v>0.5</x:v>
      </x:c>
      <x:c r="F39" s="133" t="n">
        <x:f>MAX(0,D39-E39)</x:f>
        <x:v>10.8</x:v>
      </x:c>
      <x:c r="G39" s="133" t="n">
        <x:f>SUMIFS('근태내역'!$D$6:$D$230,'근태내역'!$B$6:$B$230,A39,'근태내역'!$C$6:$C$230,"초과근무")</x:f>
        <x:v>11.5</x:v>
      </x:c>
      <x:c r="H39" s="144" t="n">
        <x:f>C39/209*1.5</x:f>
        <x:v>31062.2009569378</x:v>
      </x:c>
      <x:c r="I39" s="144" t="n">
        <x:f>G39*H39</x:f>
        <x:v>357215.31100478466</x:v>
      </x:c>
      <x:c r="J39" s="144" t="n">
        <x:f>MAX(0,F39-5)*H39*8</x:f>
        <x:v>1441286.124401914</x:v>
      </x:c>
      <x:c r="K39" s="145" t="n">
        <x:f>I39+J39</x:f>
        <x:v>1798501.4354066986</x:v>
      </x:c>
    </x:row>
    <x:row r="40">
      <x:c r="A40" s="75" t="str">
        <x:v>EMP-0035</x:v>
      </x:c>
      <x:c r="B40" s="89" t="n">
        <x:v>43800</x:v>
      </x:c>
      <x:c r="C40" s="95" t="n">
        <x:v>4370000</x:v>
      </x:c>
      <x:c r="D40" s="132" t="n">
        <x:f>IF(DATEDIF(B40,'설정'!$B$6,"y")&gt;=1,15,ROUND(DATEDIF(B40,'설정'!$B$6,"m")/12*15,1))</x:f>
        <x:v>15</x:v>
      </x:c>
      <x:c r="E40" s="133" t="n">
        <x:f>SUMIFS('근태내역'!$D$6:$D$230,'근태내역'!$B$6:$B$230,A40,'근태내역'!$C$6:$C$230,"연차")</x:f>
        <x:v>0.8</x:v>
      </x:c>
      <x:c r="F40" s="133" t="n">
        <x:f>MAX(0,D40-E40)</x:f>
        <x:v>14.2</x:v>
      </x:c>
      <x:c r="G40" s="133" t="n">
        <x:f>SUMIFS('근태내역'!$D$6:$D$230,'근태내역'!$B$6:$B$230,A40,'근태내역'!$C$6:$C$230,"초과근무")</x:f>
        <x:v>8.799999999999999</x:v>
      </x:c>
      <x:c r="H40" s="144" t="n">
        <x:f>C40/209*1.5</x:f>
        <x:v>31363.63636363636</x:v>
      </x:c>
      <x:c r="I40" s="144" t="n">
        <x:f>G40*H40</x:f>
        <x:v>275999.99999999994</x:v>
      </x:c>
      <x:c r="J40" s="144" t="n">
        <x:f>MAX(0,F40-5)*H40*8</x:f>
        <x:v>2308363.636363636</x:v>
      </x:c>
      <x:c r="K40" s="145" t="n">
        <x:f>I40+J40</x:f>
        <x:v>2584363.636363636</x:v>
      </x:c>
    </x:row>
    <x:row r="41">
      <x:c r="A41" s="75" t="str">
        <x:v>EMP-0036</x:v>
      </x:c>
      <x:c r="B41" s="89" t="n">
        <x:v>43831</x:v>
      </x:c>
      <x:c r="C41" s="95" t="n">
        <x:v>4412000</x:v>
      </x:c>
      <x:c r="D41" s="132" t="n">
        <x:f>IF(DATEDIF(B41,'설정'!$B$6,"y")&gt;=1,15,ROUND(DATEDIF(B41,'설정'!$B$6,"m")/12*15,1))</x:f>
        <x:v>15</x:v>
      </x:c>
      <x:c r="E41" s="133" t="n">
        <x:f>SUMIFS('근태내역'!$D$6:$D$230,'근태내역'!$B$6:$B$230,A41,'근태내역'!$C$6:$C$230,"연차")</x:f>
        <x:v>0.8</x:v>
      </x:c>
      <x:c r="F41" s="133" t="n">
        <x:f>MAX(0,D41-E41)</x:f>
        <x:v>14.2</x:v>
      </x:c>
      <x:c r="G41" s="133" t="n">
        <x:f>SUMIFS('근태내역'!$D$6:$D$230,'근태내역'!$B$6:$B$230,A41,'근태내역'!$C$6:$C$230,"초과근무")</x:f>
        <x:v>9.2</x:v>
      </x:c>
      <x:c r="H41" s="144" t="n">
        <x:f>C41/209*1.5</x:f>
        <x:v>31665.07177033493</x:v>
      </x:c>
      <x:c r="I41" s="144" t="n">
        <x:f>G41*H41</x:f>
        <x:v>291318.6602870813</x:v>
      </x:c>
      <x:c r="J41" s="144" t="n">
        <x:f>MAX(0,F41-5)*H41*8</x:f>
        <x:v>2330549.2822966506</x:v>
      </x:c>
      <x:c r="K41" s="145" t="n">
        <x:f>I41+J41</x:f>
        <x:v>2621867.942583732</x:v>
      </x:c>
    </x:row>
    <x:row r="42">
      <x:c r="A42" s="75" t="str">
        <x:v>EMP-0037</x:v>
      </x:c>
      <x:c r="B42" s="89" t="n">
        <x:v>44228</x:v>
      </x:c>
      <x:c r="C42" s="95" t="n">
        <x:v>4454000</x:v>
      </x:c>
      <x:c r="D42" s="132" t="n">
        <x:f>IF(DATEDIF(B42,'설정'!$B$6,"y")&gt;=1,15,ROUND(DATEDIF(B42,'설정'!$B$6,"m")/12*15,1))</x:f>
        <x:v>15</x:v>
      </x:c>
      <x:c r="E42" s="133" t="n">
        <x:f>SUMIFS('근태내역'!$D$6:$D$230,'근태내역'!$B$6:$B$230,A42,'근태내역'!$C$6:$C$230,"연차")</x:f>
        <x:v>1.2999999999999998</x:v>
      </x:c>
      <x:c r="F42" s="133" t="n">
        <x:f>MAX(0,D42-E42)</x:f>
        <x:v>13.7</x:v>
      </x:c>
      <x:c r="G42" s="133" t="n">
        <x:f>SUMIFS('근태내역'!$D$6:$D$230,'근태내역'!$B$6:$B$230,A42,'근태내역'!$C$6:$C$230,"초과근무")</x:f>
        <x:v>7.4</x:v>
      </x:c>
      <x:c r="H42" s="144" t="n">
        <x:f>C42/209*1.5</x:f>
        <x:v>31966.50717703349</x:v>
      </x:c>
      <x:c r="I42" s="144" t="n">
        <x:f>G42*H42</x:f>
        <x:v>236552.15311004783</x:v>
      </x:c>
      <x:c r="J42" s="144" t="n">
        <x:f>MAX(0,F42-5)*H42*8</x:f>
        <x:v>2224868.8995215306</x:v>
      </x:c>
      <x:c r="K42" s="145" t="n">
        <x:f>I42+J42</x:f>
        <x:v>2461421.0526315784</x:v>
      </x:c>
    </x:row>
    <x:row r="43">
      <x:c r="A43" s="75" t="str">
        <x:v>EMP-0038</x:v>
      </x:c>
      <x:c r="B43" s="89" t="n">
        <x:v>44621</x:v>
      </x:c>
      <x:c r="C43" s="95" t="n">
        <x:v>4496000</x:v>
      </x:c>
      <x:c r="D43" s="132" t="n">
        <x:f>IF(DATEDIF(B43,'설정'!$B$6,"y")&gt;=1,15,ROUND(DATEDIF(B43,'설정'!$B$6,"m")/12*15,1))</x:f>
        <x:v>15</x:v>
      </x:c>
      <x:c r="E43" s="133" t="n">
        <x:f>SUMIFS('근태내역'!$D$6:$D$230,'근태내역'!$B$6:$B$230,A43,'근태내역'!$C$6:$C$230,"연차")</x:f>
        <x:v>0.8</x:v>
      </x:c>
      <x:c r="F43" s="133" t="n">
        <x:f>MAX(0,D43-E43)</x:f>
        <x:v>14.2</x:v>
      </x:c>
      <x:c r="G43" s="133" t="n">
        <x:f>SUMIFS('근태내역'!$D$6:$D$230,'근태내역'!$B$6:$B$230,A43,'근태내역'!$C$6:$C$230,"초과근무")</x:f>
        <x:v>10.200000000000001</x:v>
      </x:c>
      <x:c r="H43" s="144" t="n">
        <x:f>C43/209*1.5</x:f>
        <x:v>32267.94258373206</x:v>
      </x:c>
      <x:c r="I43" s="144" t="n">
        <x:f>G43*H43</x:f>
        <x:v>329133.01435406704</x:v>
      </x:c>
      <x:c r="J43" s="144" t="n">
        <x:f>MAX(0,F43-5)*H43*8</x:f>
        <x:v>2374920.5741626793</x:v>
      </x:c>
      <x:c r="K43" s="145" t="n">
        <x:f>I43+J43</x:f>
        <x:v>2704053.588516746</x:v>
      </x:c>
    </x:row>
    <x:row r="44">
      <x:c r="A44" s="75" t="str">
        <x:v>EMP-0039</x:v>
      </x:c>
      <x:c r="B44" s="89" t="n">
        <x:v>45017</x:v>
      </x:c>
      <x:c r="C44" s="95" t="n">
        <x:v>4538000</x:v>
      </x:c>
      <x:c r="D44" s="132" t="n">
        <x:f>IF(DATEDIF(B44,'설정'!$B$6,"y")&gt;=1,15,ROUND(DATEDIF(B44,'설정'!$B$6,"m")/12*15,1))</x:f>
        <x:v>15</x:v>
      </x:c>
      <x:c r="E44" s="133" t="n">
        <x:f>SUMIFS('근태내역'!$D$6:$D$230,'근태내역'!$B$6:$B$230,A44,'근태내역'!$C$6:$C$230,"연차")</x:f>
        <x:v>1</x:v>
      </x:c>
      <x:c r="F44" s="133" t="n">
        <x:f>MAX(0,D44-E44)</x:f>
        <x:v>14</x:v>
      </x:c>
      <x:c r="G44" s="133" t="n">
        <x:f>SUMIFS('근태내역'!$D$6:$D$230,'근태내역'!$B$6:$B$230,A44,'근태내역'!$C$6:$C$230,"초과근무")</x:f>
        <x:v>9.7</x:v>
      </x:c>
      <x:c r="H44" s="144" t="n">
        <x:f>C44/209*1.5</x:f>
        <x:v>32569.37799043062</x:v>
      </x:c>
      <x:c r="I44" s="144" t="n">
        <x:f>G44*H44</x:f>
        <x:v>315922.966507177</x:v>
      </x:c>
      <x:c r="J44" s="144" t="n">
        <x:f>MAX(0,F44-5)*H44*8</x:f>
        <x:v>2344995.215311005</x:v>
      </x:c>
      <x:c r="K44" s="145"/>
    </x:row>
    <x:row r="45">
      <x:c r="A45" s="75" t="str">
        <x:v>EMP-0040</x:v>
      </x:c>
      <x:c r="B45" s="89" t="n">
        <x:v>45413</x:v>
      </x:c>
      <x:c r="C45" s="95" t="n">
        <x:v>4580000</x:v>
      </x:c>
      <x:c r="D45" s="132" t="n">
        <x:f>IF(DATEDIF(B45,'설정'!$B$6,"y")&gt;=1,15,ROUND(DATEDIF(B45,'설정'!$B$6,"m")/12*15,1))</x:f>
        <x:v>15</x:v>
      </x:c>
      <x:c r="E45" s="133" t="n">
        <x:f>SUMIFS('근태내역'!$D$6:$D$230,'근태내역'!$B$6:$B$230,A45,'근태내역'!$C$6:$C$230,"연차")</x:f>
        <x:v>1</x:v>
      </x:c>
      <x:c r="F45" s="133" t="n">
        <x:f>MAX(0,D45-E45)</x:f>
        <x:v>14</x:v>
      </x:c>
      <x:c r="G45" s="133" t="n">
        <x:f>SUMIFS('근태내역'!$D$6:$D$230,'근태내역'!$B$6:$B$230,A45,'근태내역'!$C$6:$C$230,"초과근무")</x:f>
        <x:v>12</x:v>
      </x:c>
      <x:c r="H45" s="144" t="n">
        <x:f>C45/209*1.5</x:f>
        <x:v>32870.81339712918</x:v>
      </x:c>
      <x:c r="I45" s="144" t="n">
        <x:f>G45*H45</x:f>
        <x:v>394449.7607655502</x:v>
      </x:c>
      <x:c r="J45" s="144" t="n">
        <x:f>MAX(0,F45-5)*H45*8</x:f>
        <x:v>2366698.564593301</x:v>
      </x:c>
      <x:c r="K45" s="145" t="n">
        <x:f>I45+J45</x:f>
        <x:v>2761148.3253588513</x:v>
      </x:c>
    </x:row>
    <x:row r="46">
      <x:c r="A46" s="75" t="str">
        <x:v>EMP-0041</x:v>
      </x:c>
      <x:c r="B46" s="89" t="n">
        <x:v>45809</x:v>
      </x:c>
      <x:c r="C46" s="95" t="n">
        <x:v>4622000</x:v>
      </x:c>
      <x:c r="D46" s="132" t="n">
        <x:f>IF(DATEDIF(B46,'설정'!$B$6,"y")&gt;=1,15,ROUND(DATEDIF(B46,'설정'!$B$6,"m")/12*15,1))</x:f>
        <x:v>15</x:v>
      </x:c>
      <x:c r="E46" s="133" t="n">
        <x:f>SUMIFS('근태내역'!$D$6:$D$230,'근태내역'!$B$6:$B$230,A46,'근태내역'!$C$6:$C$230,"연차")</x:f>
        <x:v>1.2</x:v>
      </x:c>
      <x:c r="F46" s="133" t="n">
        <x:f>MAX(0,D46-E46)</x:f>
        <x:v>13.8</x:v>
      </x:c>
      <x:c r="G46" s="133" t="n">
        <x:f>SUMIFS('근태내역'!$D$6:$D$230,'근태내역'!$B$6:$B$230,A46,'근태내역'!$C$6:$C$230,"초과근무")</x:f>
        <x:v>6.3</x:v>
      </x:c>
      <x:c r="H46" s="144" t="n">
        <x:f>C46/209*1.5</x:f>
        <x:v>33172.24880382775</x:v>
      </x:c>
      <x:c r="I46" s="144" t="n">
        <x:f>G46*H46</x:f>
        <x:v>208985.16746411484</x:v>
      </x:c>
      <x:c r="J46" s="144" t="n">
        <x:f>MAX(0,F46-5)*H46*8</x:f>
        <x:v>2335326.3157894737</x:v>
      </x:c>
      <x:c r="K46" s="145" t="n">
        <x:f>I46+J46</x:f>
        <x:v>2544311.4832535884</x:v>
      </x:c>
    </x:row>
    <x:row r="47">
      <x:c r="A47" s="75" t="str">
        <x:v>EMP-0042</x:v>
      </x:c>
      <x:c r="B47" s="89" t="n">
        <x:v>43647</x:v>
      </x:c>
      <x:c r="C47" s="95" t="n">
        <x:v>4664000</x:v>
      </x:c>
      <x:c r="D47" s="132" t="n">
        <x:f>IF(DATEDIF(B47,'설정'!$B$6,"y")&gt;=1,15,ROUND(DATEDIF(B47,'설정'!$B$6,"m")/12*15,1))</x:f>
        <x:v>15</x:v>
      </x:c>
      <x:c r="E47" s="133" t="n">
        <x:f>SUMIFS('근태내역'!$D$6:$D$230,'근태내역'!$B$6:$B$230,A47,'근태내역'!$C$6:$C$230,"연차")</x:f>
        <x:v>0.9</x:v>
      </x:c>
      <x:c r="F47" s="133" t="n">
        <x:f>MAX(0,D47-E47)</x:f>
        <x:v>14.1</x:v>
      </x:c>
      <x:c r="G47" s="133" t="n">
        <x:f>SUMIFS('근태내역'!$D$6:$D$230,'근태내역'!$B$6:$B$230,A47,'근태내역'!$C$6:$C$230,"초과근무")</x:f>
        <x:v>10</x:v>
      </x:c>
      <x:c r="H47" s="144" t="n">
        <x:f>C47/209*1.5</x:f>
        <x:v>33473.68421052631</x:v>
      </x:c>
      <x:c r="I47" s="144" t="n">
        <x:f>G47*H47</x:f>
        <x:v>334736.84210526315</x:v>
      </x:c>
      <x:c r="J47" s="144" t="n">
        <x:f>MAX(0,F47-5)*H47*8</x:f>
        <x:v>2436884.2105263155</x:v>
      </x:c>
      <x:c r="K47" s="145" t="n">
        <x:f>I47+J47</x:f>
        <x:v>2771621.0526315784</x:v>
      </x:c>
    </x:row>
    <x:row r="48">
      <x:c r="A48" s="75" t="str">
        <x:v>EMP-0043</x:v>
      </x:c>
      <x:c r="B48" s="89" t="n">
        <x:v>44044</x:v>
      </x:c>
      <x:c r="C48" s="95" t="n">
        <x:v>4706000</x:v>
      </x:c>
      <x:c r="D48" s="132" t="n">
        <x:f>IF(DATEDIF(B48,'설정'!$B$6,"y")&gt;=1,15,ROUND(DATEDIF(B48,'설정'!$B$6,"m")/12*15,1))</x:f>
        <x:v>15</x:v>
      </x:c>
      <x:c r="E48" s="133" t="n">
        <x:f>SUMIFS('근태내역'!$D$6:$D$230,'근태내역'!$B$6:$B$230,A48,'근태내역'!$C$6:$C$230,"연차")</x:f>
        <x:v>0.8</x:v>
      </x:c>
      <x:c r="F48" s="133" t="n">
        <x:f>MAX(0,D48-E48)</x:f>
        <x:v>14.2</x:v>
      </x:c>
      <x:c r="G48" s="133" t="n">
        <x:f>SUMIFS('근태내역'!$D$6:$D$230,'근태내역'!$B$6:$B$230,A48,'근태내역'!$C$6:$C$230,"초과근무")</x:f>
        <x:v>7.8999999999999995</x:v>
      </x:c>
      <x:c r="H48" s="144" t="n">
        <x:f>C48/209*1.5</x:f>
        <x:v>33775.11961722488</x:v>
      </x:c>
      <x:c r="I48" s="144" t="n">
        <x:f>G48*H48</x:f>
        <x:v>266823.44497607654</x:v>
      </x:c>
      <x:c r="J48" s="144" t="n">
        <x:f>MAX(0,F48-5)*H48*8</x:f>
        <x:v>2485848.803827751</x:v>
      </x:c>
      <x:c r="K48" s="145" t="n">
        <x:f>I48+J48</x:f>
        <x:v>2752672.2488038274</x:v>
      </x:c>
    </x:row>
    <x:row r="49">
      <x:c r="A49" s="75" t="str">
        <x:v>EMP-0044</x:v>
      </x:c>
      <x:c r="B49" s="89" t="n">
        <x:v>44440</x:v>
      </x:c>
      <x:c r="C49" s="95" t="n">
        <x:v>4748000</x:v>
      </x:c>
      <x:c r="D49" s="132" t="n">
        <x:f>IF(DATEDIF(B49,'설정'!$B$6,"y")&gt;=1,15,ROUND(DATEDIF(B49,'설정'!$B$6,"m")/12*15,1))</x:f>
        <x:v>15</x:v>
      </x:c>
      <x:c r="E49" s="133" t="n">
        <x:f>SUMIFS('근태내역'!$D$6:$D$230,'근태내역'!$B$6:$B$230,A49,'근태내역'!$C$6:$C$230,"연차")</x:f>
        <x:v>0.9</x:v>
      </x:c>
      <x:c r="F49" s="133" t="n">
        <x:f>MAX(0,D49-E49)</x:f>
        <x:v>14.1</x:v>
      </x:c>
      <x:c r="G49" s="133" t="n">
        <x:f>SUMIFS('근태내역'!$D$6:$D$230,'근태내역'!$B$6:$B$230,A49,'근태내역'!$C$6:$C$230,"초과근무")</x:f>
        <x:v>10.9</x:v>
      </x:c>
      <x:c r="H49" s="144" t="n">
        <x:f>C49/209*1.5</x:f>
        <x:v>34076.55502392344</x:v>
      </x:c>
      <x:c r="I49" s="144" t="n">
        <x:f>G49*H49</x:f>
        <x:v>371434.44976076554</x:v>
      </x:c>
      <x:c r="J49" s="144" t="n">
        <x:f>MAX(0,F49-5)*H49*8</x:f>
        <x:v>2480773.2057416267</x:v>
      </x:c>
      <x:c r="K49" s="145" t="n">
        <x:f>I49+J49</x:f>
        <x:v>2852207.655502392</x:v>
      </x:c>
    </x:row>
    <x:row r="50">
      <x:c r="A50" s="77" t="str">
        <x:v>EMP-0045</x:v>
      </x:c>
      <x:c r="B50" s="90" t="n">
        <x:v>44835</x:v>
      </x:c>
      <x:c r="C50" s="96" t="n">
        <x:v>4790000</x:v>
      </x:c>
      <x:c r="D50" s="134" t="n">
        <x:f>IF(DATEDIF(B50,'설정'!$B$6,"y")&gt;=1,15,ROUND(DATEDIF(B50,'설정'!$B$6,"m")/12*15,1))</x:f>
        <x:v>15</x:v>
      </x:c>
      <x:c r="E50" s="135" t="n">
        <x:f>SUMIFS('근태내역'!$D$6:$D$230,'근태내역'!$B$6:$B$230,A50,'근태내역'!$C$6:$C$230,"연차")</x:f>
        <x:v>1.2999999999999998</x:v>
      </x:c>
      <x:c r="F50" s="135" t="n">
        <x:f>MAX(0,D50-E50)</x:f>
        <x:v>13.7</x:v>
      </x:c>
      <x:c r="G50" s="135" t="n">
        <x:f>SUMIFS('근태내역'!$D$6:$D$230,'근태내역'!$B$6:$B$230,A50,'근태내역'!$C$6:$C$230,"초과근무")</x:f>
        <x:v>6.9</x:v>
      </x:c>
      <x:c r="H50" s="146" t="n">
        <x:f>C50/209*1.5</x:f>
        <x:v>34377.99043062201</x:v>
      </x:c>
      <x:c r="I50" s="146" t="n">
        <x:f>G50*H50</x:f>
        <x:v>237208.13397129189</x:v>
      </x:c>
      <x:c r="J50" s="146" t="n">
        <x:f>MAX(0,F50-5)*H50*8</x:f>
        <x:v>2392708.133971292</x:v>
      </x:c>
      <x:c r="K50" s="147" t="n">
        <x:f>I50+J50</x:f>
        <x:v>2629916.267942584</x:v>
      </x:c>
    </x:row>
    <x:row r="51">
      <x:c r="A51" s="158" t="str">
        <x:v>소계</x:v>
      </x:c>
      <x:c r="B51" s="159" t="str"/>
      <x:c r="C51" s="160" t="str"/>
      <x:c r="D51" s="159" t="n">
        <x:f>SUM(D6:D50)</x:f>
        <x:v>671.3</x:v>
      </x:c>
      <x:c r="E51" s="159" t="n">
        <x:f>SUM(E6:E50)</x:f>
        <x:v>43.09999999999998</x:v>
      </x:c>
      <x:c r="F51" s="159" t="n">
        <x:f>SUM(F6:F50)</x:f>
        <x:v>629.4000000000002</x:v>
      </x:c>
      <x:c r="G51" s="159" t="n">
        <x:f>SUM(G6:G50)</x:f>
        <x:v>407.89999999999986</x:v>
      </x:c>
      <x:c r="H51" s="160" t="str"/>
      <x:c r="I51" s="160" t="n">
        <x:f>SUM(I6:I50)</x:f>
        <x:v>11468433.492822967</x:v>
      </x:c>
      <x:c r="J51" s="160" t="n">
        <x:f>SUM(J6:J50)</x:f>
        <x:v>89658361.72248803</x:v>
      </x:c>
      <x:c r="K51" s="161" t="n">
        <x:f>SUM(K6:K50)</x:f>
        <x:v>98465877.0334928</x:v>
      </x:c>
    </x:row>
    <x:row r="52">
      <x:c r="A52" s="174" t="str">
        <x:v>특별휴가 조정</x:v>
      </x:c>
      <x:c r="B52" s="175" t="str"/>
      <x:c r="C52" s="176" t="str"/>
      <x:c r="D52" s="175" t="n">
        <x:v>2</x:v>
      </x:c>
      <x:c r="E52" s="175" t="n">
        <x:v>0</x:v>
      </x:c>
      <x:c r="F52" s="175" t="n">
        <x:v>2</x:v>
      </x:c>
      <x:c r="G52" s="175" t="n">
        <x:v>0</x:v>
      </x:c>
      <x:c r="H52" s="176" t="n">
        <x:v>0</x:v>
      </x:c>
      <x:c r="I52" s="176" t="n">
        <x:v>0</x:v>
      </x:c>
      <x:c r="J52" s="176" t="n">
        <x:v>0</x:v>
      </x:c>
      <x:c r="K52" s="177" t="n">
        <x:v>0</x:v>
      </x:c>
    </x:row>
    <x:row r="53">
      <x:c r="A53" s="158" t="str">
        <x:v>합계</x:v>
      </x:c>
      <x:c r="B53" s="159" t="str"/>
      <x:c r="C53" s="160" t="str"/>
      <x:c r="D53" s="159" t="n">
        <x:f>D51+D52</x:f>
        <x:v>673.3</x:v>
      </x:c>
      <x:c r="E53" s="159" t="n">
        <x:f>E51+E52</x:f>
        <x:v>43.09999999999998</x:v>
      </x:c>
      <x:c r="F53" s="159" t="n">
        <x:f>F51+F52</x:f>
        <x:v>631.4000000000002</x:v>
      </x:c>
      <x:c r="G53" s="159" t="n">
        <x:f>G51+G52</x:f>
        <x:v>407.89999999999986</x:v>
      </x:c>
      <x:c r="H53" s="160" t="str"/>
      <x:c r="I53" s="160" t="n">
        <x:f>I51+I52</x:f>
        <x:v>11468433.492822967</x:v>
      </x:c>
      <x:c r="J53" s="160" t="n">
        <x:f>J51+J52</x:f>
        <x:v>89658361.72248803</x:v>
      </x:c>
      <x:c r="K53" s="161" t="n">
        <x:f>K51+K52</x:f>
        <x:v>98465877.0334928</x:v>
      </x:c>
    </x:row>
  </x:sheetData>
  <x:mergeCells>
    <x:mergeCell ref="A1:K1"/>
    <x:mergeCell ref="A2:K2"/>
    <x:mergeCell ref="A3:K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근태·연차 KPI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잔여연차·초과근무·수당 요약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>
      <x:c r="A5" s="187" t="str">
        <x:v>총 잔여연차</x:v>
      </x:c>
      <x:c r="B5" s="187"/>
      <x:c r="C5" s="187" t="str">
        <x:v>초과근무시간</x:v>
      </x:c>
      <x:c r="D5" s="187"/>
      <x:c r="E5" s="187" t="str">
        <x:v>초과근무수당</x:v>
      </x:c>
      <x:c r="F5" s="187"/>
      <x:c r="G5" s="187" t="str">
        <x:v>총지급액</x:v>
      </x:c>
      <x:c r="H5" s="187"/>
    </x:row>
    <x:row r="6">
      <x:c r="A6" s="192" t="n">
        <x:f>'정산'!F53</x:f>
        <x:v>631.4000000000002</x:v>
      </x:c>
      <x:c r="B6" s="192"/>
      <x:c r="C6" s="192" t="n">
        <x:f>'정산'!G53</x:f>
        <x:v>407.89999999999986</x:v>
      </x:c>
      <x:c r="D6" s="192"/>
      <x:c r="E6" s="192" t="n">
        <x:f>'정산'!I53</x:f>
        <x:v>11468433.492822967</x:v>
      </x:c>
      <x:c r="F6" s="192"/>
      <x:c r="G6" s="192" t="n">
        <x:f>'정산'!K53</x:f>
        <x:v>98465877.0334928</x:v>
      </x:c>
      <x:c r="H6" s="192"/>
    </x:row>
    <x:row r="7">
      <x:c r="A7" s="192"/>
      <x:c r="B7" s="192"/>
      <x:c r="C7" s="192"/>
      <x:c r="D7" s="192"/>
      <x:c r="E7" s="192"/>
      <x:c r="F7" s="192"/>
      <x:c r="G7" s="192"/>
      <x:c r="H7" s="192"/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</x:mergeCells>
  <x:pageMargins left="0.7" right="0.7" top="0.75" bottom="0.75" header="0.3" footer="0.3"/>
</x:worksheet>
</file>