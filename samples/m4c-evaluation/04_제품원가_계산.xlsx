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09523f286842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70418c5407064edd"/>
    <x:sheet xmlns:r="http://schemas.openxmlformats.org/officeDocument/2006/relationships" name="원재료" sheetId="2" r:id="R8edb5dd1462643b9"/>
    <x:sheet xmlns:r="http://schemas.openxmlformats.org/officeDocument/2006/relationships" name="원재료사용" sheetId="3" r:id="R036882d300e64fa2"/>
    <x:sheet xmlns:r="http://schemas.openxmlformats.org/officeDocument/2006/relationships" name="제품원가" sheetId="4" r:id="R97dc908a08d041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.00"/>
    <x:numFmt numFmtId="202" formatCode="0%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95959"/>
      <x:name val="Carlito"/>
    </x:font>
    <x:font>
      <x:sz val="9"/>
      <x:color rgb="FF666666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2F75B5"/>
      </x:patternFill>
    </x:fill>
    <x:fill>
      <x:patternFill patternType="solid">
        <x:fgColor rgb="FFE7E6E6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0F6B78"/>
      </x:patternFill>
    </x:fill>
  </x:fills>
  <x:borders count="52">
    <x:border/>
    <x:border/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thin">
        <x:color rgb="FF0F6B78"/>
      </x:left>
      <x:top style="thin">
        <x:color rgb="FF0F6B78"/>
      </x:top>
      <x:bottom style="thin">
        <x:color rgb="FF0F6B78"/>
      </x:bottom>
    </x:border>
    <x:border>
      <x:top style="thin">
        <x:color rgb="FF0F6B78"/>
      </x:top>
      <x:bottom style="thin">
        <x:color rgb="FF0F6B78"/>
      </x:bottom>
    </x:border>
    <x:border>
      <x:right style="thin">
        <x:color rgb="FF0F6B78"/>
      </x:right>
      <x:top style="thin">
        <x:color rgb="FF0F6B78"/>
      </x:top>
      <x:bottom style="thin">
        <x:color rgb="FF0F6B78"/>
      </x:bottom>
    </x:border>
    <x:border>
      <x:left style="thin">
        <x:color rgb="FF0F6B78"/>
      </x:left>
      <x:top style="thin">
        <x:color rgb="FF0F6B78"/>
      </x:top>
      <x:bottom style="thin">
        <x:color rgb="FF0F6B78"/>
      </x:bottom>
    </x:border>
    <x:border>
      <x:top style="thin">
        <x:color rgb="FF0F6B78"/>
      </x:top>
      <x:bottom style="thin">
        <x:color rgb="FF0F6B78"/>
      </x:bottom>
    </x:border>
    <x:border>
      <x:right style="thin">
        <x:color rgb="FF0F6B78"/>
      </x:right>
      <x:top style="thin">
        <x:color rgb="FF0F6B78"/>
      </x:top>
      <x:bottom style="thin">
        <x:color rgb="FF0F6B78"/>
      </x:bottom>
    </x:border>
    <x:border>
      <x:left style="hair">
        <x:color rgb="FFD9D9D9"/>
      </x:left>
      <x:top style="thin">
        <x:color rgb="FF0F6B78"/>
      </x:top>
      <x:bottom style="thin">
        <x:color rgb="FF0F6B78"/>
      </x:bottom>
    </x:border>
    <x:border>
      <x:right style="hair">
        <x:color rgb="FFD9D9D9"/>
      </x:right>
      <x:top style="thin">
        <x:color rgb="FF0F6B78"/>
      </x:top>
      <x:bottom style="thin">
        <x:color rgb="FF0F6B78"/>
      </x:bottom>
    </x:border>
    <x:border>
      <x:left style="hair">
        <x:color rgb="FFD9D9D9"/>
      </x:left>
      <x:top style="thin">
        <x:color rgb="FF0F6B78"/>
      </x:top>
      <x:bottom style="hair">
        <x:color rgb="FFD9D9D9"/>
      </x:bottom>
    </x:border>
    <x:border>
      <x:top style="thin">
        <x:color rgb="FF0F6B78"/>
      </x:top>
      <x:bottom style="hair">
        <x:color rgb="FFD9D9D9"/>
      </x:bottom>
    </x:border>
    <x:border>
      <x:right style="hair">
        <x:color rgb="FFD9D9D9"/>
      </x:right>
      <x:top style="thin">
        <x:color rgb="FF0F6B78"/>
      </x:top>
      <x:bottom style="hair">
        <x:color rgb="FFD9D9D9"/>
      </x:bottom>
    </x:border>
    <x:border>
      <x:left style="hair">
        <x:color rgb="FFD9D9D9"/>
      </x:left>
      <x:top style="thin">
        <x:color rgb="FF0F6B78"/>
      </x:top>
      <x:bottom style="thin">
        <x:color rgb="FF0F6B78"/>
      </x:bottom>
    </x:border>
    <x:border>
      <x:right style="hair">
        <x:color rgb="FFD9D9D9"/>
      </x:right>
      <x:top style="thin">
        <x:color rgb="FF0F6B78"/>
      </x:top>
      <x:bottom style="thin">
        <x:color rgb="FF0F6B78"/>
      </x:bottom>
    </x:border>
    <x:border>
      <x:left style="hair">
        <x:color rgb="FFD9D9D9"/>
      </x:left>
      <x:top style="thin">
        <x:color rgb="FF0F6B78"/>
      </x:top>
      <x:bottom style="hair">
        <x:color rgb="FFD9D9D9"/>
      </x:bottom>
    </x:border>
    <x:border>
      <x:top style="thin">
        <x:color rgb="FF0F6B78"/>
      </x:top>
      <x:bottom style="hair">
        <x:color rgb="FFD9D9D9"/>
      </x:bottom>
    </x:border>
    <x:border>
      <x:right style="hair">
        <x:color rgb="FFD9D9D9"/>
      </x:right>
      <x:top style="thin">
        <x:color rgb="FF0F6B78"/>
      </x:top>
      <x:bottom style="hair">
        <x:color rgb="FFD9D9D9"/>
      </x:bottom>
    </x:border>
    <x:border>
      <x:left style="hair">
        <x:color rgb="FFD9D9D9"/>
      </x:left>
      <x:right style="hair">
        <x:color rgb="FFD9D9D9"/>
      </x:right>
      <x:top style="hair">
        <x:color rgb="FFD9D9D9"/>
      </x:top>
    </x:border>
    <x:border>
      <x:left style="hair">
        <x:color rgb="FFD9D9D9"/>
      </x:left>
      <x:right style="hair">
        <x:color rgb="FFD9D9D9"/>
      </x:right>
    </x:border>
    <x:border>
      <x:left style="hair">
        <x:color rgb="FFD9D9D9"/>
      </x:left>
      <x:right style="hair">
        <x:color rgb="FFD9D9D9"/>
      </x:right>
      <x:top style="thin">
        <x:color rgb="FF0F6B78"/>
      </x:top>
      <x:bottom style="thin">
        <x:color rgb="FF0F6B78"/>
      </x:bottom>
    </x:border>
    <x:border>
      <x:left style="hair">
        <x:color rgb="FFD9D9D9"/>
      </x:left>
      <x:right style="hair">
        <x:color rgb="FFD9D9D9"/>
      </x:right>
      <x:top style="thin">
        <x:color rgb="FF0F6B78"/>
      </x:top>
      <x:bottom style="hair">
        <x:color rgb="FFD9D9D9"/>
      </x:bottom>
    </x:border>
    <x:border>
      <x:left style="hair">
        <x:color rgb="FFD9D9D9"/>
      </x:left>
      <x:right style="hair">
        <x:color rgb="FFD9D9D9"/>
      </x:right>
      <x:top style="hair">
        <x:color rgb="FFD9D9D9"/>
      </x:top>
    </x:border>
    <x:border>
      <x:left style="hair">
        <x:color rgb="FFD9D9D9"/>
      </x:left>
      <x:right style="hair">
        <x:color rgb="FFD9D9D9"/>
      </x:right>
    </x:border>
    <x:border>
      <x:left style="hair">
        <x:color rgb="FFD9D9D9"/>
      </x:left>
      <x:right style="hair">
        <x:color rgb="FFD9D9D9"/>
      </x:right>
      <x:top style="thin">
        <x:color rgb="FF0F6B78"/>
      </x:top>
      <x:bottom style="thin">
        <x:color rgb="FF0F6B78"/>
      </x:bottom>
    </x:border>
    <x:border>
      <x:left style="hair">
        <x:color rgb="FFD9D9D9"/>
      </x:left>
      <x:right style="hair">
        <x:color rgb="FFD9D9D9"/>
      </x:right>
      <x:top style="thin">
        <x:color rgb="FF0F6B78"/>
      </x:top>
      <x:bottom style="hair">
        <x:color rgb="FFD9D9D9"/>
      </x:bottom>
    </x:border>
    <x:border>
      <x:left style="hair">
        <x:color rgb="FFD9D9D9"/>
      </x:left>
      <x:right style="thin">
        <x:color rgb="FF0F6B78"/>
      </x:right>
      <x:top style="thin">
        <x:color rgb="FF0F6B78"/>
      </x:top>
      <x:bottom style="thin">
        <x:color rgb="FF0F6B78"/>
      </x:bottom>
    </x:border>
    <x:border>
      <x:left style="hair">
        <x:color rgb="FFD9D9D9"/>
      </x:left>
      <x:right style="thin">
        <x:color rgb="FF0F6B78"/>
      </x:right>
      <x:top style="thin">
        <x:color rgb="FF0F6B78"/>
      </x:top>
      <x:bottom style="thin">
        <x:color rgb="FF0F6B78"/>
      </x:bottom>
    </x:border>
    <x:border>
      <x:left style="hair">
        <x:color rgb="FFD9D9D9"/>
      </x:left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right style="hair">
        <x:color rgb="FFD9D9D9"/>
      </x:right>
      <x:bottom style="hair">
        <x:color rgb="FFD9D9D9"/>
      </x:bottom>
    </x:border>
  </x:borders>
  <x:cellStyleXfs count="1">
    <x:xf numFmtId="0" fontId="0" fillId="0" borderId="0"/>
  </x:cellStyleXfs>
  <x:cellXfs count="2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6" xfId="0" applyNumberFormat="1" applyFont="1" applyFill="1" applyBorder="1"/>
    <x:xf numFmtId="0" fontId="4" fillId="5" borderId="6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/>
    <x:xf numFmtId="0" fontId="4" fillId="5" borderId="7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0" fillId="9" borderId="8" xfId="0" applyNumberFormat="1" applyFont="1" applyFill="1" applyBorder="1"/>
    <x:xf numFmtId="0" fontId="0" fillId="9" borderId="9" xfId="0" applyNumberFormat="1" applyFont="1" applyFill="1" applyBorder="1"/>
    <x:xf numFmtId="0" fontId="0" fillId="9" borderId="10" xfId="0" applyNumberFormat="1" applyFont="1" applyFill="1" applyBorder="1"/>
    <x:xf numFmtId="0" fontId="0" fillId="9" borderId="11" xfId="0" applyNumberFormat="1" applyFont="1" applyFill="1" applyBorder="1"/>
    <x:xf numFmtId="0" fontId="0" fillId="9" borderId="12" xfId="0" applyNumberFormat="1" applyFont="1" applyFill="1" applyBorder="1"/>
    <x:xf numFmtId="0" fontId="0" fillId="9" borderId="13" xfId="0" applyNumberFormat="1" applyFont="1" applyFill="1" applyBorder="1"/>
    <x:xf numFmtId="0" fontId="0" fillId="9" borderId="14" xfId="0" applyNumberFormat="1" applyFont="1" applyFill="1" applyBorder="1"/>
    <x:xf numFmtId="0" fontId="0" fillId="9" borderId="15" xfId="0" applyNumberFormat="1" applyFont="1" applyFill="1" applyBorder="1"/>
    <x:xf numFmtId="0" fontId="0" fillId="9" borderId="1" xfId="0" applyNumberFormat="1" applyFont="1" applyFill="1" applyBorder="1"/>
    <x:xf numFmtId="0" fontId="0" fillId="9" borderId="16" xfId="0" applyNumberFormat="1" applyFont="1" applyFill="1" applyBorder="1"/>
    <x:xf numFmtId="0" fontId="0" fillId="9" borderId="17" xfId="0" applyNumberFormat="1" applyFont="1" applyFill="1" applyBorder="1"/>
    <x:xf numFmtId="0" fontId="0" fillId="9" borderId="18" xfId="0" applyNumberFormat="1" applyFont="1" applyFill="1" applyBorder="1"/>
    <x:xf numFmtId="0" fontId="0" fillId="9" borderId="19" xfId="0" applyNumberFormat="1" applyFont="1" applyFill="1" applyBorder="1"/>
    <x:xf numFmtId="0" fontId="0" fillId="9" borderId="20" xfId="0" applyNumberFormat="1" applyFont="1" applyFill="1" applyBorder="1"/>
    <x:xf numFmtId="0" fontId="0" fillId="9" borderId="21" xfId="0" applyNumberFormat="1" applyFont="1" applyFill="1" applyBorder="1"/>
    <x:xf numFmtId="0" fontId="0" fillId="9" borderId="22" xfId="0" applyNumberFormat="1" applyFont="1" applyFill="1" applyBorder="1"/>
    <x:xf numFmtId="0" fontId="0" fillId="9" borderId="23" xfId="0" applyNumberFormat="1" applyFont="1" applyFill="1" applyBorder="1"/>
    <x:xf numFmtId="200" fontId="0" fillId="9" borderId="9" xfId="0" applyNumberFormat="1" applyFont="1" applyFill="1" applyBorder="1"/>
    <x:xf numFmtId="200" fontId="0" fillId="9" borderId="0" xfId="0" applyNumberFormat="1" applyFont="1" applyFill="1" applyBorder="1"/>
    <x:xf numFmtId="200" fontId="0" fillId="9" borderId="14" xfId="0" applyNumberFormat="1" applyFont="1" applyFill="1" applyBorder="1"/>
    <x:xf numFmtId="200" fontId="0" fillId="9" borderId="17" xfId="0" applyNumberFormat="1" applyFont="1" applyFill="1" applyBorder="1"/>
    <x:xf numFmtId="200" fontId="0" fillId="9" borderId="1" xfId="0" applyNumberFormat="1" applyFont="1" applyFill="1" applyBorder="1"/>
    <x:xf numFmtId="200" fontId="0" fillId="9" borderId="22" xfId="0" applyNumberFormat="1" applyFont="1" applyFill="1" applyBorder="1"/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24" xfId="0" applyNumberFormat="1" applyFont="1" applyFill="1" applyBorder="1"/>
    <x:xf numFmtId="0" fontId="4" fillId="10" borderId="25" xfId="0" applyNumberFormat="1" applyFont="1" applyFill="1" applyBorder="1"/>
    <x:xf numFmtId="0" fontId="4" fillId="10" borderId="26" xfId="0" applyNumberFormat="1" applyFont="1" applyFill="1" applyBorder="1"/>
    <x:xf numFmtId="0" fontId="0" fillId="10" borderId="1" xfId="0" applyNumberFormat="1" applyFont="1" applyFill="1" applyBorder="1"/>
    <x:xf numFmtId="0" fontId="4" fillId="10" borderId="1" xfId="0" applyNumberFormat="1" applyFont="1" applyFill="1" applyBorder="1"/>
    <x:xf numFmtId="0" fontId="4" fillId="10" borderId="27" xfId="0" applyNumberFormat="1" applyFont="1" applyFill="1" applyBorder="1"/>
    <x:xf numFmtId="0" fontId="4" fillId="10" borderId="28" xfId="0" applyNumberFormat="1" applyFont="1" applyFill="1" applyBorder="1"/>
    <x:xf numFmtId="0" fontId="4" fillId="10" borderId="29" xfId="0" applyNumberFormat="1" applyFont="1" applyFill="1" applyBorder="1"/>
    <x:xf numFmtId="0" fontId="4" fillId="9" borderId="24" xfId="0" applyNumberFormat="1" applyFont="1" applyFill="1" applyBorder="1"/>
    <x:xf numFmtId="0" fontId="4" fillId="9" borderId="25" xfId="0" applyNumberFormat="1" applyFont="1" applyFill="1" applyBorder="1"/>
    <x:xf numFmtId="0" fontId="4" fillId="9" borderId="30" xfId="0" applyNumberFormat="1" applyFont="1" applyFill="1" applyBorder="1"/>
    <x:xf numFmtId="0" fontId="4" fillId="9" borderId="31" xfId="0" applyNumberFormat="1" applyFont="1" applyFill="1" applyBorder="1"/>
    <x:xf numFmtId="0" fontId="4" fillId="9" borderId="32" xfId="0" applyNumberFormat="1" applyFont="1" applyFill="1" applyBorder="1"/>
    <x:xf numFmtId="0" fontId="4" fillId="9" borderId="33" xfId="0" applyNumberFormat="1" applyFont="1" applyFill="1" applyBorder="1"/>
    <x:xf numFmtId="0" fontId="4" fillId="9" borderId="34" xfId="0" applyNumberFormat="1" applyFont="1" applyFill="1" applyBorder="1"/>
    <x:xf numFmtId="0" fontId="4" fillId="9" borderId="27" xfId="0" applyNumberFormat="1" applyFont="1" applyFill="1" applyBorder="1"/>
    <x:xf numFmtId="0" fontId="4" fillId="9" borderId="28" xfId="0" applyNumberFormat="1" applyFont="1" applyFill="1" applyBorder="1"/>
    <x:xf numFmtId="0" fontId="4" fillId="9" borderId="35" xfId="0" applyNumberFormat="1" applyFont="1" applyFill="1" applyBorder="1"/>
    <x:xf numFmtId="0" fontId="4" fillId="9" borderId="36" xfId="0" applyNumberFormat="1" applyFont="1" applyFill="1" applyBorder="1"/>
    <x:xf numFmtId="0" fontId="4" fillId="9" borderId="37" xfId="0" applyNumberFormat="1" applyFont="1" applyFill="1" applyBorder="1"/>
    <x:xf numFmtId="0" fontId="4" fillId="9" borderId="38" xfId="0" applyNumberFormat="1" applyFont="1" applyFill="1" applyBorder="1"/>
    <x:xf numFmtId="0" fontId="4" fillId="9" borderId="39" xfId="0" applyNumberFormat="1" applyFont="1" applyFill="1" applyBorder="1"/>
    <x:xf numFmtId="0" fontId="4" fillId="9" borderId="26" xfId="0" applyNumberFormat="1" applyFont="1" applyFill="1" applyBorder="1"/>
    <x:xf numFmtId="0" fontId="0" fillId="9" borderId="40" xfId="0" applyNumberFormat="1" applyFont="1" applyFill="1" applyBorder="1"/>
    <x:xf numFmtId="0" fontId="0" fillId="9" borderId="41" xfId="0" applyNumberFormat="1" applyFont="1" applyFill="1" applyBorder="1"/>
    <x:xf numFmtId="0" fontId="4" fillId="9" borderId="42" xfId="0" applyNumberFormat="1" applyFont="1" applyFill="1" applyBorder="1"/>
    <x:xf numFmtId="0" fontId="4" fillId="9" borderId="43" xfId="0" applyNumberFormat="1" applyFont="1" applyFill="1" applyBorder="1"/>
    <x:xf numFmtId="0" fontId="4" fillId="9" borderId="29" xfId="0" applyNumberFormat="1" applyFont="1" applyFill="1" applyBorder="1"/>
    <x:xf numFmtId="0" fontId="0" fillId="9" borderId="44" xfId="0" applyNumberFormat="1" applyFont="1" applyFill="1" applyBorder="1"/>
    <x:xf numFmtId="0" fontId="0" fillId="9" borderId="45" xfId="0" applyNumberFormat="1" applyFont="1" applyFill="1" applyBorder="1"/>
    <x:xf numFmtId="0" fontId="4" fillId="9" borderId="46" xfId="0" applyNumberFormat="1" applyFont="1" applyFill="1" applyBorder="1"/>
    <x:xf numFmtId="0" fontId="4" fillId="9" borderId="47" xfId="0" applyNumberFormat="1" applyFont="1" applyFill="1" applyBorder="1"/>
    <x:xf numFmtId="0" fontId="4" fillId="8" borderId="25" xfId="0" applyNumberFormat="1" applyFont="1" applyFill="1" applyBorder="1"/>
    <x:xf numFmtId="0" fontId="0" fillId="8" borderId="40" xfId="0" applyNumberFormat="1" applyFont="1" applyFill="1" applyBorder="1"/>
    <x:xf numFmtId="0" fontId="0" fillId="8" borderId="41" xfId="0" applyNumberFormat="1" applyFont="1" applyFill="1" applyBorder="1"/>
    <x:xf numFmtId="0" fontId="4" fillId="8" borderId="42" xfId="0" applyNumberFormat="1" applyFont="1" applyFill="1" applyBorder="1"/>
    <x:xf numFmtId="0" fontId="4" fillId="8" borderId="43" xfId="0" applyNumberFormat="1" applyFont="1" applyFill="1" applyBorder="1"/>
    <x:xf numFmtId="0" fontId="4" fillId="8" borderId="28" xfId="0" applyNumberFormat="1" applyFont="1" applyFill="1" applyBorder="1"/>
    <x:xf numFmtId="0" fontId="0" fillId="8" borderId="44" xfId="0" applyNumberFormat="1" applyFont="1" applyFill="1" applyBorder="1"/>
    <x:xf numFmtId="0" fontId="0" fillId="8" borderId="45" xfId="0" applyNumberFormat="1" applyFont="1" applyFill="1" applyBorder="1"/>
    <x:xf numFmtId="0" fontId="4" fillId="8" borderId="46" xfId="0" applyNumberFormat="1" applyFont="1" applyFill="1" applyBorder="1"/>
    <x:xf numFmtId="0" fontId="4" fillId="8" borderId="47" xfId="0" applyNumberFormat="1" applyFont="1" applyFill="1" applyBorder="1"/>
    <x:xf numFmtId="0" fontId="4" fillId="10" borderId="30" xfId="0" applyNumberFormat="1" applyFont="1" applyFill="1" applyBorder="1"/>
    <x:xf numFmtId="0" fontId="4" fillId="10" borderId="31" xfId="0" applyNumberFormat="1" applyFont="1" applyFill="1" applyBorder="1"/>
    <x:xf numFmtId="0" fontId="4" fillId="10" borderId="42" xfId="0" applyNumberFormat="1" applyFont="1" applyFill="1" applyBorder="1"/>
    <x:xf numFmtId="0" fontId="4" fillId="10" borderId="48" xfId="0" applyNumberFormat="1" applyFont="1" applyFill="1" applyBorder="1"/>
    <x:xf numFmtId="0" fontId="4" fillId="10" borderId="35" xfId="0" applyNumberFormat="1" applyFont="1" applyFill="1" applyBorder="1"/>
    <x:xf numFmtId="0" fontId="4" fillId="10" borderId="36" xfId="0" applyNumberFormat="1" applyFont="1" applyFill="1" applyBorder="1"/>
    <x:xf numFmtId="0" fontId="4" fillId="10" borderId="46" xfId="0" applyNumberFormat="1" applyFont="1" applyFill="1" applyBorder="1"/>
    <x:xf numFmtId="0" fontId="4" fillId="10" borderId="49" xfId="0" applyNumberFormat="1" applyFont="1" applyFill="1" applyBorder="1"/>
    <x:xf numFmtId="0" fontId="4" fillId="10" borderId="32" xfId="0" applyNumberFormat="1" applyFont="1" applyFill="1" applyBorder="1"/>
    <x:xf numFmtId="0" fontId="4" fillId="10" borderId="33" xfId="0" applyNumberFormat="1" applyFont="1" applyFill="1" applyBorder="1"/>
    <x:xf numFmtId="0" fontId="4" fillId="10" borderId="34" xfId="0" applyNumberFormat="1" applyFont="1" applyFill="1" applyBorder="1"/>
    <x:xf numFmtId="0" fontId="4" fillId="10" borderId="43" xfId="0" applyNumberFormat="1" applyFont="1" applyFill="1" applyBorder="1"/>
    <x:xf numFmtId="0" fontId="4" fillId="10" borderId="37" xfId="0" applyNumberFormat="1" applyFont="1" applyFill="1" applyBorder="1"/>
    <x:xf numFmtId="0" fontId="4" fillId="10" borderId="38" xfId="0" applyNumberFormat="1" applyFont="1" applyFill="1" applyBorder="1"/>
    <x:xf numFmtId="0" fontId="4" fillId="10" borderId="39" xfId="0" applyNumberFormat="1" applyFont="1" applyFill="1" applyBorder="1"/>
    <x:xf numFmtId="0" fontId="4" fillId="10" borderId="47" xfId="0" applyNumberFormat="1" applyFont="1" applyFill="1" applyBorder="1"/>
    <x:xf numFmtId="201" fontId="0" fillId="9" borderId="9" xfId="0" applyNumberFormat="1" applyFont="1" applyFill="1" applyBorder="1"/>
    <x:xf numFmtId="201" fontId="0" fillId="9" borderId="10" xfId="0" applyNumberFormat="1" applyFont="1" applyFill="1" applyBorder="1"/>
    <x:xf numFmtId="201" fontId="0" fillId="8" borderId="40" xfId="0" applyNumberFormat="1" applyFont="1" applyFill="1" applyBorder="1"/>
    <x:xf numFmtId="201" fontId="0" fillId="9" borderId="0" xfId="0" applyNumberFormat="1" applyFont="1" applyFill="1" applyBorder="1"/>
    <x:xf numFmtId="201" fontId="0" fillId="9" borderId="12" xfId="0" applyNumberFormat="1" applyFont="1" applyFill="1" applyBorder="1"/>
    <x:xf numFmtId="201" fontId="0" fillId="8" borderId="41" xfId="0" applyNumberFormat="1" applyFont="1" applyFill="1" applyBorder="1"/>
    <x:xf numFmtId="201" fontId="4" fillId="10" borderId="25" xfId="0" applyNumberFormat="1" applyFont="1" applyFill="1" applyBorder="1"/>
    <x:xf numFmtId="201" fontId="4" fillId="10" borderId="31" xfId="0" applyNumberFormat="1" applyFont="1" applyFill="1" applyBorder="1"/>
    <x:xf numFmtId="201" fontId="4" fillId="10" borderId="42" xfId="0" applyNumberFormat="1" applyFont="1" applyFill="1" applyBorder="1"/>
    <x:xf numFmtId="201" fontId="0" fillId="9" borderId="17" xfId="0" applyNumberFormat="1" applyFont="1" applyFill="1" applyBorder="1"/>
    <x:xf numFmtId="201" fontId="0" fillId="9" borderId="18" xfId="0" applyNumberFormat="1" applyFont="1" applyFill="1" applyBorder="1"/>
    <x:xf numFmtId="201" fontId="0" fillId="8" borderId="44" xfId="0" applyNumberFormat="1" applyFont="1" applyFill="1" applyBorder="1"/>
    <x:xf numFmtId="201" fontId="0" fillId="9" borderId="1" xfId="0" applyNumberFormat="1" applyFont="1" applyFill="1" applyBorder="1"/>
    <x:xf numFmtId="201" fontId="0" fillId="9" borderId="20" xfId="0" applyNumberFormat="1" applyFont="1" applyFill="1" applyBorder="1"/>
    <x:xf numFmtId="201" fontId="0" fillId="8" borderId="45" xfId="0" applyNumberFormat="1" applyFont="1" applyFill="1" applyBorder="1"/>
    <x:xf numFmtId="201" fontId="4" fillId="10" borderId="28" xfId="0" applyNumberFormat="1" applyFont="1" applyFill="1" applyBorder="1"/>
    <x:xf numFmtId="201" fontId="4" fillId="10" borderId="36" xfId="0" applyNumberFormat="1" applyFont="1" applyFill="1" applyBorder="1"/>
    <x:xf numFmtId="201" fontId="4" fillId="10" borderId="46" xfId="0" applyNumberFormat="1" applyFont="1" applyFill="1" applyBorder="1"/>
    <x:xf numFmtId="202" fontId="0" fillId="9" borderId="10" xfId="0" applyNumberFormat="1" applyFont="1" applyFill="1" applyBorder="1"/>
    <x:xf numFmtId="202" fontId="0" fillId="9" borderId="12" xfId="0" applyNumberFormat="1" applyFont="1" applyFill="1" applyBorder="1"/>
    <x:xf numFmtId="202" fontId="4" fillId="10" borderId="31" xfId="0" applyNumberFormat="1" applyFont="1" applyFill="1" applyBorder="1"/>
    <x:xf numFmtId="202" fontId="0" fillId="9" borderId="18" xfId="0" applyNumberFormat="1" applyFont="1" applyFill="1" applyBorder="1"/>
    <x:xf numFmtId="202" fontId="0" fillId="9" borderId="20" xfId="0" applyNumberFormat="1" applyFont="1" applyFill="1" applyBorder="1"/>
    <x:xf numFmtId="202" fontId="4" fillId="10" borderId="36" xfId="0" applyNumberFormat="1" applyFont="1" applyFill="1" applyBorder="1"/>
    <x:xf numFmtId="0" fontId="0" fillId="9" borderId="50" xfId="0" applyNumberFormat="1" applyFont="1" applyFill="1" applyBorder="1"/>
    <x:xf numFmtId="0" fontId="0" fillId="9" borderId="51" xfId="0" applyNumberFormat="1" applyFont="1" applyFill="1" applyBorder="1"/>
    <x:xf numFmtId="0" fontId="0" fillId="8" borderId="50" xfId="0" applyNumberFormat="1" applyFont="1" applyFill="1" applyBorder="1"/>
    <x:xf numFmtId="0" fontId="0" fillId="8" borderId="51" xfId="0" applyNumberFormat="1" applyFont="1" applyFill="1" applyBorder="1"/>
    <x:xf numFmtId="0" fontId="0" fillId="8" borderId="8" xfId="0" applyNumberFormat="1" applyFont="1" applyFill="1" applyBorder="1"/>
    <x:xf numFmtId="0" fontId="0" fillId="8" borderId="10" xfId="0" applyNumberFormat="1" applyFont="1" applyFill="1" applyBorder="1"/>
    <x:xf numFmtId="0" fontId="0" fillId="8" borderId="11" xfId="0" applyNumberFormat="1" applyFont="1" applyFill="1" applyBorder="1"/>
    <x:xf numFmtId="0" fontId="0" fillId="8" borderId="12" xfId="0" applyNumberFormat="1" applyFont="1" applyFill="1" applyBorder="1"/>
    <x:xf numFmtId="0" fontId="0" fillId="8" borderId="13" xfId="0" applyNumberFormat="1" applyFont="1" applyFill="1" applyBorder="1"/>
    <x:xf numFmtId="0" fontId="0" fillId="8" borderId="15" xfId="0" applyNumberFormat="1" applyFont="1" applyFill="1" applyBorder="1"/>
    <x:xf numFmtId="0" fontId="0" fillId="8" borderId="16" xfId="0" applyNumberFormat="1" applyFont="1" applyFill="1" applyBorder="1"/>
    <x:xf numFmtId="0" fontId="0" fillId="8" borderId="18" xfId="0" applyNumberFormat="1" applyFont="1" applyFill="1" applyBorder="1"/>
    <x:xf numFmtId="0" fontId="0" fillId="8" borderId="19" xfId="0" applyNumberFormat="1" applyFont="1" applyFill="1" applyBorder="1"/>
    <x:xf numFmtId="0" fontId="0" fillId="8" borderId="20" xfId="0" applyNumberFormat="1" applyFont="1" applyFill="1" applyBorder="1"/>
    <x:xf numFmtId="0" fontId="0" fillId="8" borderId="21" xfId="0" applyNumberFormat="1" applyFont="1" applyFill="1" applyBorder="1"/>
    <x:xf numFmtId="0" fontId="0" fillId="8" borderId="23" xfId="0" applyNumberFormat="1" applyFont="1" applyFill="1" applyBorder="1"/>
    <x:xf numFmtId="200" fontId="0" fillId="8" borderId="40" xfId="0" applyNumberFormat="1" applyFont="1" applyFill="1" applyBorder="1"/>
    <x:xf numFmtId="200" fontId="0" fillId="9" borderId="8" xfId="0" applyNumberFormat="1" applyFont="1" applyFill="1" applyBorder="1"/>
    <x:xf numFmtId="200" fontId="0" fillId="9" borderId="10" xfId="0" applyNumberFormat="1" applyFont="1" applyFill="1" applyBorder="1"/>
    <x:xf numFmtId="200" fontId="0" fillId="9" borderId="40" xfId="0" applyNumberFormat="1" applyFont="1" applyFill="1" applyBorder="1"/>
    <x:xf numFmtId="200" fontId="0" fillId="8" borderId="8" xfId="0" applyNumberFormat="1" applyFont="1" applyFill="1" applyBorder="1"/>
    <x:xf numFmtId="200" fontId="0" fillId="8" borderId="10" xfId="0" applyNumberFormat="1" applyFont="1" applyFill="1" applyBorder="1"/>
    <x:xf numFmtId="200" fontId="0" fillId="8" borderId="41" xfId="0" applyNumberFormat="1" applyFont="1" applyFill="1" applyBorder="1"/>
    <x:xf numFmtId="200" fontId="0" fillId="9" borderId="11" xfId="0" applyNumberFormat="1" applyFont="1" applyFill="1" applyBorder="1"/>
    <x:xf numFmtId="200" fontId="0" fillId="9" borderId="12" xfId="0" applyNumberFormat="1" applyFont="1" applyFill="1" applyBorder="1"/>
    <x:xf numFmtId="200" fontId="0" fillId="9" borderId="41" xfId="0" applyNumberFormat="1" applyFont="1" applyFill="1" applyBorder="1"/>
    <x:xf numFmtId="200" fontId="0" fillId="8" borderId="11" xfId="0" applyNumberFormat="1" applyFont="1" applyFill="1" applyBorder="1"/>
    <x:xf numFmtId="200" fontId="0" fillId="8" borderId="12" xfId="0" applyNumberFormat="1" applyFont="1" applyFill="1" applyBorder="1"/>
    <x:xf numFmtId="200" fontId="0" fillId="8" borderId="50" xfId="0" applyNumberFormat="1" applyFont="1" applyFill="1" applyBorder="1"/>
    <x:xf numFmtId="200" fontId="0" fillId="9" borderId="13" xfId="0" applyNumberFormat="1" applyFont="1" applyFill="1" applyBorder="1"/>
    <x:xf numFmtId="200" fontId="0" fillId="9" borderId="15" xfId="0" applyNumberFormat="1" applyFont="1" applyFill="1" applyBorder="1"/>
    <x:xf numFmtId="200" fontId="0" fillId="9" borderId="50" xfId="0" applyNumberFormat="1" applyFont="1" applyFill="1" applyBorder="1"/>
    <x:xf numFmtId="200" fontId="0" fillId="8" borderId="13" xfId="0" applyNumberFormat="1" applyFont="1" applyFill="1" applyBorder="1"/>
    <x:xf numFmtId="200" fontId="0" fillId="8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282c43b30f4b54" /><Relationship Type="http://schemas.openxmlformats.org/officeDocument/2006/relationships/theme" Target="/xl/theme/theme1.xml" Id="Rb85a6475e6214721" /><Relationship Type="http://schemas.openxmlformats.org/officeDocument/2006/relationships/sharedStrings" Target="/xl/sharedStrings.xml" Id="Reaaa38d1f8844577" /><Relationship Type="http://schemas.openxmlformats.org/officeDocument/2006/relationships/worksheet" Target="/xl/worksheets/sheet1.xml" Id="R70418c5407064edd" /><Relationship Type="http://schemas.openxmlformats.org/officeDocument/2006/relationships/worksheet" Target="/xl/worksheets/sheet2.xml" Id="R8edb5dd1462643b9" /><Relationship Type="http://schemas.openxmlformats.org/officeDocument/2006/relationships/worksheet" Target="/xl/worksheets/sheet3.xml" Id="R036882d300e64fa2" /><Relationship Type="http://schemas.openxmlformats.org/officeDocument/2006/relationships/worksheet" Target="/xl/worksheets/sheet4.xml" Id="R97dc908a08d041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</x:cols>
  <x:sheetData>
    <x:row r="1" ht="30" customHeight="1">
      <x:c r="A1" s="5" t="str">
        <x:v>제품별 제조원가 계산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제품 BOM의 사용량·단가·손실률을 기준으로 재료비와 제품별 원가를 집계하는 합성 샘플</x:v>
      </x:c>
      <x:c r="B2" s="12"/>
      <x:c r="C2" s="12"/>
      <x:c r="D2" s="12"/>
      <x:c r="E2" s="12"/>
      <x:c r="F2" s="12"/>
      <x:c r="G2" s="12"/>
      <x:c r="H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 ht="28" customHeight="1">
      <x:c r="A5" s="30" t="str">
        <x:v>구분</x:v>
      </x:c>
      <x:c r="B5" s="31" t="str">
        <x:v>내용</x:v>
      </x:c>
    </x:row>
    <x:row r="6">
      <x:c r="A6" s="45" t="str">
        <x:v>샘플 성격</x:v>
      </x:c>
      <x:c r="B6" s="52" t="str">
        <x:v>실제 회사·개인정보를 사용하지 않은 합성 업무 파일</x:v>
      </x:c>
    </x:row>
    <x:row r="7">
      <x:c r="A7" s="45" t="str">
        <x:v>검증 목적</x:v>
      </x:c>
      <x:c r="B7" s="52" t="str">
        <x:v>제품별 반복 계산식의 함수 이탈, 절대참조 이탈, 상수 덮어쓰기, 빈 수식 셀과 제품 소계 행 구분</x:v>
      </x:c>
    </x:row>
    <x:row r="8">
      <x:c r="A8" s="45" t="str">
        <x:v>사용 방법</x:v>
      </x:c>
      <x:c r="B8" s="52" t="str">
        <x:v>WorkbookCare 기본 진단 후 내부 베타 수식 패턴 정밀검사를 선택 실행</x:v>
      </x:c>
    </x:row>
    <x:row r="9">
      <x:c r="A9" s="45" t="str">
        <x:v>주의</x:v>
      </x:c>
      <x:c r="B9" s="52" t="str">
        <x:v>탐지 결과는 업무상 오류 확정이 아니라 사람이 확인할 이상 후보입니다.</x:v>
      </x:c>
    </x:row>
    <x:row r="10">
      <x:c r="A10" s="45" t="str">
        <x:v>권장 기록</x:v>
      </x:c>
      <x:c r="B10" s="52" t="str">
        <x:v>별도 예상결과 문서에 실제 탐지 여부와 전문가 판정을 기록하세요.</x:v>
      </x:c>
    </x:row>
    <x:row r="12" ht="28" customHeight="1">
      <x:c r="A12" s="30" t="str">
        <x:v>시트</x:v>
      </x:c>
      <x:c r="B12" s="31" t="str">
        <x:v>업무 역할</x:v>
      </x:c>
    </x:row>
    <x:row r="13">
      <x:c r="A13" s="57" t="str">
        <x:v>원재료</x:v>
      </x:c>
      <x:c r="B13" s="60" t="str">
        <x:v>원재료 단가 마스터</x:v>
      </x:c>
    </x:row>
    <x:row r="14">
      <x:c r="A14" s="57" t="str">
        <x:v>원재료사용</x:v>
      </x:c>
      <x:c r="B14" s="60" t="str">
        <x:v>제품별 BOM 및 소요금액 계산</x:v>
      </x:c>
    </x:row>
    <x:row r="15">
      <x:c r="A15" s="57" t="str">
        <x:v>제품원가</x:v>
      </x:c>
      <x:c r="B15" s="60" t="str">
        <x:v>제품별 재료비·노무비·제조간접비 집계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0" hidden="0" customWidth="1"/>
    <x:col min="4" max="4" width="12" hidden="0" customWidth="1"/>
    <x:col min="5" max="5" width="16" hidden="0" customWidth="1"/>
    <x:col min="6" max="6" width="10" hidden="0" customWidth="1"/>
  </x:cols>
  <x:sheetData>
    <x:row r="1" ht="30" customHeight="1">
      <x:c r="A1" s="5" t="str">
        <x:v>원재료 마스터</x:v>
      </x:c>
      <x:c r="B1" s="5"/>
      <x:c r="C1" s="5"/>
      <x:c r="D1" s="5"/>
      <x:c r="E1" s="5"/>
      <x:c r="F1" s="5"/>
    </x:row>
    <x:row r="2" ht="24" customHeight="1">
      <x:c r="A2" s="12" t="str">
        <x:v>합성 단가와 공급처 정보</x:v>
      </x:c>
      <x:c r="B2" s="12"/>
      <x:c r="C2" s="12"/>
      <x:c r="D2" s="12"/>
      <x:c r="E2" s="12"/>
      <x:c r="F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  <x:c r="F3" s="18"/>
    </x:row>
    <x:row r="5" ht="28" customHeight="1">
      <x:c r="A5" s="30" t="str">
        <x:v>원재료코드</x:v>
      </x:c>
      <x:c r="B5" s="65" t="str">
        <x:v>원재료명</x:v>
      </x:c>
      <x:c r="C5" s="65" t="str">
        <x:v>단위</x:v>
      </x:c>
      <x:c r="D5" s="65" t="str">
        <x:v>단가</x:v>
      </x:c>
      <x:c r="E5" s="65" t="str">
        <x:v>공급처</x:v>
      </x:c>
      <x:c r="F5" s="31" t="str">
        <x:v>사용여부</x:v>
      </x:c>
    </x:row>
    <x:row r="6">
      <x:c r="A6" s="71" t="str">
        <x:v>M001</x:v>
      </x:c>
      <x:c r="B6" s="72" t="str">
        <x:v>원재료01</x:v>
      </x:c>
      <x:c r="C6" s="72" t="str">
        <x:v>L</x:v>
      </x:c>
      <x:c r="D6" s="88" t="n">
        <x:v>680</x:v>
      </x:c>
      <x:c r="E6" s="72" t="str">
        <x:v>공급처2</x:v>
      </x:c>
      <x:c r="F6" s="73" t="str">
        <x:v>Y</x:v>
      </x:c>
    </x:row>
    <x:row r="7">
      <x:c r="A7" s="74" t="str">
        <x:v>M002</x:v>
      </x:c>
      <x:c r="B7" s="70" t="str">
        <x:v>원재료02</x:v>
      </x:c>
      <x:c r="C7" s="70" t="str">
        <x:v>EA</x:v>
      </x:c>
      <x:c r="D7" s="89" t="n">
        <x:v>860</x:v>
      </x:c>
      <x:c r="E7" s="70" t="str">
        <x:v>공급처3</x:v>
      </x:c>
      <x:c r="F7" s="75" t="str">
        <x:v>Y</x:v>
      </x:c>
    </x:row>
    <x:row r="8">
      <x:c r="A8" s="74" t="str">
        <x:v>M003</x:v>
      </x:c>
      <x:c r="B8" s="70" t="str">
        <x:v>원재료03</x:v>
      </x:c>
      <x:c r="C8" s="70" t="str">
        <x:v>kg</x:v>
      </x:c>
      <x:c r="D8" s="89" t="n">
        <x:v>1040</x:v>
      </x:c>
      <x:c r="E8" s="70" t="str">
        <x:v>공급처4</x:v>
      </x:c>
      <x:c r="F8" s="75" t="str">
        <x:v>Y</x:v>
      </x:c>
    </x:row>
    <x:row r="9">
      <x:c r="A9" s="74" t="str">
        <x:v>M004</x:v>
      </x:c>
      <x:c r="B9" s="70" t="str">
        <x:v>원재료04</x:v>
      </x:c>
      <x:c r="C9" s="70" t="str">
        <x:v>L</x:v>
      </x:c>
      <x:c r="D9" s="89" t="n">
        <x:v>1220</x:v>
      </x:c>
      <x:c r="E9" s="70" t="str">
        <x:v>공급처5</x:v>
      </x:c>
      <x:c r="F9" s="75" t="str">
        <x:v>Y</x:v>
      </x:c>
    </x:row>
    <x:row r="10">
      <x:c r="A10" s="74" t="str">
        <x:v>M005</x:v>
      </x:c>
      <x:c r="B10" s="70" t="str">
        <x:v>원재료05</x:v>
      </x:c>
      <x:c r="C10" s="70" t="str">
        <x:v>EA</x:v>
      </x:c>
      <x:c r="D10" s="89" t="n">
        <x:v>1400</x:v>
      </x:c>
      <x:c r="E10" s="70" t="str">
        <x:v>공급처1</x:v>
      </x:c>
      <x:c r="F10" s="75" t="str">
        <x:v>Y</x:v>
      </x:c>
    </x:row>
    <x:row r="11">
      <x:c r="A11" s="74" t="str">
        <x:v>M006</x:v>
      </x:c>
      <x:c r="B11" s="70" t="str">
        <x:v>원재료06</x:v>
      </x:c>
      <x:c r="C11" s="70" t="str">
        <x:v>kg</x:v>
      </x:c>
      <x:c r="D11" s="89" t="n">
        <x:v>1580</x:v>
      </x:c>
      <x:c r="E11" s="70" t="str">
        <x:v>공급처2</x:v>
      </x:c>
      <x:c r="F11" s="75" t="str">
        <x:v>Y</x:v>
      </x:c>
    </x:row>
    <x:row r="12">
      <x:c r="A12" s="74" t="str">
        <x:v>M007</x:v>
      </x:c>
      <x:c r="B12" s="70" t="str">
        <x:v>원재료07</x:v>
      </x:c>
      <x:c r="C12" s="70" t="str">
        <x:v>L</x:v>
      </x:c>
      <x:c r="D12" s="89" t="n">
        <x:v>1760</x:v>
      </x:c>
      <x:c r="E12" s="70" t="str">
        <x:v>공급처3</x:v>
      </x:c>
      <x:c r="F12" s="75" t="str">
        <x:v>Y</x:v>
      </x:c>
    </x:row>
    <x:row r="13">
      <x:c r="A13" s="74" t="str">
        <x:v>M008</x:v>
      </x:c>
      <x:c r="B13" s="70" t="str">
        <x:v>원재료08</x:v>
      </x:c>
      <x:c r="C13" s="70" t="str">
        <x:v>EA</x:v>
      </x:c>
      <x:c r="D13" s="89" t="n">
        <x:v>1940</x:v>
      </x:c>
      <x:c r="E13" s="70" t="str">
        <x:v>공급처4</x:v>
      </x:c>
      <x:c r="F13" s="75" t="str">
        <x:v>Y</x:v>
      </x:c>
    </x:row>
    <x:row r="14">
      <x:c r="A14" s="74" t="str">
        <x:v>M009</x:v>
      </x:c>
      <x:c r="B14" s="70" t="str">
        <x:v>원재료09</x:v>
      </x:c>
      <x:c r="C14" s="70" t="str">
        <x:v>kg</x:v>
      </x:c>
      <x:c r="D14" s="89" t="n">
        <x:v>2120</x:v>
      </x:c>
      <x:c r="E14" s="70" t="str">
        <x:v>공급처5</x:v>
      </x:c>
      <x:c r="F14" s="75" t="str">
        <x:v>Y</x:v>
      </x:c>
    </x:row>
    <x:row r="15">
      <x:c r="A15" s="74" t="str">
        <x:v>M010</x:v>
      </x:c>
      <x:c r="B15" s="70" t="str">
        <x:v>원재료10</x:v>
      </x:c>
      <x:c r="C15" s="70" t="str">
        <x:v>L</x:v>
      </x:c>
      <x:c r="D15" s="89" t="n">
        <x:v>2300</x:v>
      </x:c>
      <x:c r="E15" s="70" t="str">
        <x:v>공급처1</x:v>
      </x:c>
      <x:c r="F15" s="75" t="str">
        <x:v>Y</x:v>
      </x:c>
    </x:row>
    <x:row r="16">
      <x:c r="A16" s="74" t="str">
        <x:v>M011</x:v>
      </x:c>
      <x:c r="B16" s="70" t="str">
        <x:v>원재료11</x:v>
      </x:c>
      <x:c r="C16" s="70" t="str">
        <x:v>EA</x:v>
      </x:c>
      <x:c r="D16" s="89" t="n">
        <x:v>2480</x:v>
      </x:c>
      <x:c r="E16" s="70" t="str">
        <x:v>공급처2</x:v>
      </x:c>
      <x:c r="F16" s="75" t="str">
        <x:v>Y</x:v>
      </x:c>
    </x:row>
    <x:row r="17">
      <x:c r="A17" s="74" t="str">
        <x:v>M012</x:v>
      </x:c>
      <x:c r="B17" s="70" t="str">
        <x:v>원재료12</x:v>
      </x:c>
      <x:c r="C17" s="70" t="str">
        <x:v>kg</x:v>
      </x:c>
      <x:c r="D17" s="89" t="n">
        <x:v>2660</x:v>
      </x:c>
      <x:c r="E17" s="70" t="str">
        <x:v>공급처3</x:v>
      </x:c>
      <x:c r="F17" s="75" t="str">
        <x:v>Y</x:v>
      </x:c>
    </x:row>
    <x:row r="18">
      <x:c r="A18" s="74" t="str">
        <x:v>M013</x:v>
      </x:c>
      <x:c r="B18" s="70" t="str">
        <x:v>원재료13</x:v>
      </x:c>
      <x:c r="C18" s="70" t="str">
        <x:v>L</x:v>
      </x:c>
      <x:c r="D18" s="89" t="n">
        <x:v>2840</x:v>
      </x:c>
      <x:c r="E18" s="70" t="str">
        <x:v>공급처4</x:v>
      </x:c>
      <x:c r="F18" s="75" t="str">
        <x:v>Y</x:v>
      </x:c>
    </x:row>
    <x:row r="19">
      <x:c r="A19" s="74" t="str">
        <x:v>M014</x:v>
      </x:c>
      <x:c r="B19" s="70" t="str">
        <x:v>원재료14</x:v>
      </x:c>
      <x:c r="C19" s="70" t="str">
        <x:v>EA</x:v>
      </x:c>
      <x:c r="D19" s="89" t="n">
        <x:v>3020</x:v>
      </x:c>
      <x:c r="E19" s="70" t="str">
        <x:v>공급처5</x:v>
      </x:c>
      <x:c r="F19" s="75" t="str">
        <x:v>Y</x:v>
      </x:c>
    </x:row>
    <x:row r="20">
      <x:c r="A20" s="74" t="str">
        <x:v>M015</x:v>
      </x:c>
      <x:c r="B20" s="70" t="str">
        <x:v>원재료15</x:v>
      </x:c>
      <x:c r="C20" s="70" t="str">
        <x:v>kg</x:v>
      </x:c>
      <x:c r="D20" s="89" t="n">
        <x:v>3200</x:v>
      </x:c>
      <x:c r="E20" s="70" t="str">
        <x:v>공급처1</x:v>
      </x:c>
      <x:c r="F20" s="75" t="str">
        <x:v>Y</x:v>
      </x:c>
    </x:row>
    <x:row r="21">
      <x:c r="A21" s="74" t="str">
        <x:v>M016</x:v>
      </x:c>
      <x:c r="B21" s="70" t="str">
        <x:v>원재료16</x:v>
      </x:c>
      <x:c r="C21" s="70" t="str">
        <x:v>L</x:v>
      </x:c>
      <x:c r="D21" s="89" t="n">
        <x:v>3380</x:v>
      </x:c>
      <x:c r="E21" s="70" t="str">
        <x:v>공급처2</x:v>
      </x:c>
      <x:c r="F21" s="75" t="str">
        <x:v>Y</x:v>
      </x:c>
    </x:row>
    <x:row r="22">
      <x:c r="A22" s="74" t="str">
        <x:v>M017</x:v>
      </x:c>
      <x:c r="B22" s="70" t="str">
        <x:v>원재료17</x:v>
      </x:c>
      <x:c r="C22" s="70" t="str">
        <x:v>EA</x:v>
      </x:c>
      <x:c r="D22" s="89" t="n">
        <x:v>3560</x:v>
      </x:c>
      <x:c r="E22" s="70" t="str">
        <x:v>공급처3</x:v>
      </x:c>
      <x:c r="F22" s="75" t="str">
        <x:v>Y</x:v>
      </x:c>
    </x:row>
    <x:row r="23">
      <x:c r="A23" s="74" t="str">
        <x:v>M018</x:v>
      </x:c>
      <x:c r="B23" s="70" t="str">
        <x:v>원재료18</x:v>
      </x:c>
      <x:c r="C23" s="70" t="str">
        <x:v>kg</x:v>
      </x:c>
      <x:c r="D23" s="89" t="n">
        <x:v>3740</x:v>
      </x:c>
      <x:c r="E23" s="70" t="str">
        <x:v>공급처4</x:v>
      </x:c>
      <x:c r="F23" s="75" t="str">
        <x:v>Y</x:v>
      </x:c>
    </x:row>
    <x:row r="24">
      <x:c r="A24" s="74" t="str">
        <x:v>M019</x:v>
      </x:c>
      <x:c r="B24" s="70" t="str">
        <x:v>원재료19</x:v>
      </x:c>
      <x:c r="C24" s="70" t="str">
        <x:v>L</x:v>
      </x:c>
      <x:c r="D24" s="89" t="n">
        <x:v>3920</x:v>
      </x:c>
      <x:c r="E24" s="70" t="str">
        <x:v>공급처5</x:v>
      </x:c>
      <x:c r="F24" s="75" t="str">
        <x:v>Y</x:v>
      </x:c>
    </x:row>
    <x:row r="25">
      <x:c r="A25" s="76" t="str">
        <x:v>M020</x:v>
      </x:c>
      <x:c r="B25" s="77" t="str">
        <x:v>원재료20</x:v>
      </x:c>
      <x:c r="C25" s="77" t="str">
        <x:v>EA</x:v>
      </x:c>
      <x:c r="D25" s="90" t="n">
        <x:v>4100</x:v>
      </x:c>
      <x:c r="E25" s="77" t="str">
        <x:v>공급처1</x:v>
      </x:c>
      <x:c r="F25" s="78" t="str">
        <x:v>Y</x:v>
      </x:c>
    </x:row>
  </x:sheetData>
  <x:mergeCells>
    <x:mergeCell ref="A1:F1"/>
    <x:mergeCell ref="A2:F2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12" hidden="0" customWidth="1"/>
    <x:col min="5" max="5" width="10" hidden="0" customWidth="1"/>
    <x:col min="6" max="6" width="15" hidden="0" customWidth="1"/>
    <x:col min="7" max="7" width="20" hidden="0" customWidth="1"/>
  </x:cols>
  <x:sheetData>
    <x:row r="1" ht="30" customHeight="1">
      <x:c r="A1" s="5" t="str">
        <x:v>제품별 원재료 사용량</x:v>
      </x:c>
      <x:c r="B1" s="5"/>
      <x:c r="C1" s="5"/>
      <x:c r="D1" s="5"/>
      <x:c r="E1" s="5"/>
      <x:c r="F1" s="5"/>
      <x:c r="G1" s="5"/>
    </x:row>
    <x:row r="2" ht="24" customHeight="1">
      <x:c r="A2" s="12" t="str">
        <x:v>사용량×단가×(1+손실률)로 소요금액을 계산합니다.</x:v>
      </x:c>
      <x:c r="B2" s="12"/>
      <x:c r="C2" s="12"/>
      <x:c r="D2" s="12"/>
      <x:c r="E2" s="12"/>
      <x:c r="F2" s="12"/>
      <x:c r="G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  <x:c r="F3" s="18"/>
      <x:c r="G3" s="18"/>
    </x:row>
    <x:row r="5" ht="28" customHeight="1">
      <x:c r="A5" s="30" t="str">
        <x:v>제품</x:v>
      </x:c>
      <x:c r="B5" s="65" t="str">
        <x:v>원재료</x:v>
      </x:c>
      <x:c r="C5" s="65" t="str">
        <x:v>사용량</x:v>
      </x:c>
      <x:c r="D5" s="65" t="str">
        <x:v>단가</x:v>
      </x:c>
      <x:c r="E5" s="65" t="str">
        <x:v>손실률</x:v>
      </x:c>
      <x:c r="F5" s="65" t="str">
        <x:v>소요금액</x:v>
      </x:c>
      <x:c r="G5" s="31" t="str">
        <x:v>비고</x:v>
      </x:c>
    </x:row>
    <x:row r="6">
      <x:c r="A6" s="71" t="str">
        <x:v>세안비누</x:v>
      </x:c>
      <x:c r="B6" s="72" t="str">
        <x:v>원재료01</x:v>
      </x:c>
      <x:c r="C6" s="154" t="n">
        <x:v>0.4</x:v>
      </x:c>
      <x:c r="D6" s="154" t="n">
        <x:v>680</x:v>
      </x:c>
      <x:c r="E6" s="172" t="n">
        <x:v>0.02</x:v>
      </x:c>
      <x:c r="F6" s="156" t="n">
        <x:f>C6*D6*(1+E6)</x:f>
        <x:v>277.44</x:v>
      </x:c>
      <x:c r="G6" s="119" t="str"/>
    </x:row>
    <x:row r="7">
      <x:c r="A7" s="74" t="str">
        <x:v>세안비누</x:v>
      </x:c>
      <x:c r="B7" s="70" t="str">
        <x:v>원재료02</x:v>
      </x:c>
      <x:c r="C7" s="157" t="n">
        <x:v>1.48</x:v>
      </x:c>
      <x:c r="D7" s="157" t="n">
        <x:v>860</x:v>
      </x:c>
      <x:c r="E7" s="173" t="n">
        <x:v>0.03</x:v>
      </x:c>
      <x:c r="F7" s="159" t="n">
        <x:f>C7*D7*(1+E7)</x:f>
        <x:v>1310.984</x:v>
      </x:c>
      <x:c r="G7" s="120" t="str"/>
    </x:row>
    <x:row r="8">
      <x:c r="A8" s="74" t="str">
        <x:v>세안비누</x:v>
      </x:c>
      <x:c r="B8" s="70" t="str">
        <x:v>원재료03</x:v>
      </x:c>
      <x:c r="C8" s="157" t="n">
        <x:v>0.11</x:v>
      </x:c>
      <x:c r="D8" s="157" t="n">
        <x:v>1040</x:v>
      </x:c>
      <x:c r="E8" s="173" t="n">
        <x:v>0.05</x:v>
      </x:c>
      <x:c r="F8" s="159" t="n">
        <x:f>C8*D8*(1+E8)</x:f>
        <x:v>120.12</x:v>
      </x:c>
      <x:c r="G8" s="120" t="str"/>
    </x:row>
    <x:row r="9">
      <x:c r="A9" s="74" t="str">
        <x:v>세안비누</x:v>
      </x:c>
      <x:c r="B9" s="70" t="str">
        <x:v>원재료04</x:v>
      </x:c>
      <x:c r="C9" s="157" t="n">
        <x:v>0.42</x:v>
      </x:c>
      <x:c r="D9" s="157" t="n">
        <x:v>1220</x:v>
      </x:c>
      <x:c r="E9" s="173" t="n">
        <x:v>0.02</x:v>
      </x:c>
      <x:c r="F9" s="159" t="n">
        <x:f>C9*D9*(1+E9)</x:f>
        <x:v>522.648</x:v>
      </x:c>
      <x:c r="G9" s="120" t="str"/>
    </x:row>
    <x:row r="10">
      <x:c r="A10" s="74" t="str">
        <x:v>세안비누</x:v>
      </x:c>
      <x:c r="B10" s="70" t="str">
        <x:v>원재료05</x:v>
      </x:c>
      <x:c r="C10" s="157" t="n">
        <x:v>2.13</x:v>
      </x:c>
      <x:c r="D10" s="157" t="n">
        <x:v>1400</x:v>
      </x:c>
      <x:c r="E10" s="173" t="n">
        <x:v>0.03</x:v>
      </x:c>
      <x:c r="F10" s="159" t="n">
        <x:f>C10*D10*(1+E10)</x:f>
        <x:v>3071.46</x:v>
      </x:c>
      <x:c r="G10" s="120" t="str"/>
    </x:row>
    <x:row r="11">
      <x:c r="A11" s="74" t="str">
        <x:v>세안비누</x:v>
      </x:c>
      <x:c r="B11" s="70" t="str">
        <x:v>원재료06</x:v>
      </x:c>
      <x:c r="C11" s="157" t="n">
        <x:v>1.23</x:v>
      </x:c>
      <x:c r="D11" s="157" t="n">
        <x:v>1580</x:v>
      </x:c>
      <x:c r="E11" s="173" t="n">
        <x:v>0.05</x:v>
      </x:c>
      <x:c r="F11" s="159" t="n">
        <x:f>SUM(C11:E11)</x:f>
        <x:v>1581.28</x:v>
      </x:c>
      <x:c r="G11" s="120" t="str"/>
    </x:row>
    <x:row r="12">
      <x:c r="A12" s="74" t="str">
        <x:v>세안비누</x:v>
      </x:c>
      <x:c r="B12" s="70" t="str">
        <x:v>원재료07</x:v>
      </x:c>
      <x:c r="C12" s="157" t="n">
        <x:v>1.45</x:v>
      </x:c>
      <x:c r="D12" s="157" t="n">
        <x:v>1760</x:v>
      </x:c>
      <x:c r="E12" s="173" t="n">
        <x:v>0.02</x:v>
      </x:c>
      <x:c r="F12" s="159" t="n">
        <x:f>C12*D12*(1+E12)</x:f>
        <x:v>2603.04</x:v>
      </x:c>
      <x:c r="G12" s="120" t="str"/>
    </x:row>
    <x:row r="13">
      <x:c r="A13" s="74" t="str">
        <x:v>세안비누</x:v>
      </x:c>
      <x:c r="B13" s="70" t="str">
        <x:v>원재료08</x:v>
      </x:c>
      <x:c r="C13" s="157" t="n">
        <x:v>0.44</x:v>
      </x:c>
      <x:c r="D13" s="157" t="n">
        <x:v>1940</x:v>
      </x:c>
      <x:c r="E13" s="173" t="n">
        <x:v>0.03</x:v>
      </x:c>
      <x:c r="F13" s="159" t="n">
        <x:f>C13*D13*(1+E13)</x:f>
        <x:v>879.2080000000001</x:v>
      </x:c>
      <x:c r="G13" s="120" t="str"/>
    </x:row>
    <x:row r="14">
      <x:c r="A14" s="74" t="str">
        <x:v>세안비누</x:v>
      </x:c>
      <x:c r="B14" s="70" t="str">
        <x:v>원재료09</x:v>
      </x:c>
      <x:c r="C14" s="157" t="n">
        <x:v>3.1</x:v>
      </x:c>
      <x:c r="D14" s="157" t="n">
        <x:v>2120</x:v>
      </x:c>
      <x:c r="E14" s="173" t="n">
        <x:v>0.05</x:v>
      </x:c>
      <x:c r="F14" s="159" t="n">
        <x:f>C14*D14*(1+E14)</x:f>
        <x:v>6900.6</x:v>
      </x:c>
      <x:c r="G14" s="120" t="str"/>
    </x:row>
    <x:row r="15">
      <x:c r="A15" s="74" t="str">
        <x:v>세안비누</x:v>
      </x:c>
      <x:c r="B15" s="70" t="str">
        <x:v>원재료10</x:v>
      </x:c>
      <x:c r="C15" s="157" t="n">
        <x:v>2.37</x:v>
      </x:c>
      <x:c r="D15" s="157" t="n">
        <x:v>2300</x:v>
      </x:c>
      <x:c r="E15" s="173" t="n">
        <x:v>0.02</x:v>
      </x:c>
      <x:c r="F15" s="159" t="n">
        <x:f>C15*D15*(1+E15)</x:f>
        <x:v>5560.02</x:v>
      </x:c>
      <x:c r="G15" s="120" t="str"/>
    </x:row>
    <x:row r="16">
      <x:c r="A16" s="96" t="str">
        <x:v>세안비누 소계</x:v>
      </x:c>
      <x:c r="B16" s="97" t="str"/>
      <x:c r="C16" s="160" t="str"/>
      <x:c r="D16" s="160" t="str"/>
      <x:c r="E16" s="174" t="str"/>
      <x:c r="F16" s="162" t="n">
        <x:f>SUM(F6:F15)</x:f>
        <x:v>22826.8</x:v>
      </x:c>
      <x:c r="G16" s="141" t="str">
        <x:v>제품별 소계</x:v>
      </x:c>
    </x:row>
    <x:row r="17">
      <x:c r="A17" s="74" t="str">
        <x:v>샴푸바</x:v>
      </x:c>
      <x:c r="B17" s="70" t="str">
        <x:v>원재료06</x:v>
      </x:c>
      <x:c r="C17" s="157" t="n">
        <x:v>1.73</x:v>
      </x:c>
      <x:c r="D17" s="157" t="n">
        <x:v>1580</x:v>
      </x:c>
      <x:c r="E17" s="173" t="n">
        <x:v>0.02</x:v>
      </x:c>
      <x:c r="F17" s="159" t="n">
        <x:f>C17*D17*(1+E17)</x:f>
        <x:v>2788.068</x:v>
      </x:c>
      <x:c r="G17" s="120" t="str"/>
    </x:row>
    <x:row r="18">
      <x:c r="A18" s="74" t="str">
        <x:v>샴푸바</x:v>
      </x:c>
      <x:c r="B18" s="70" t="str">
        <x:v>원재료07</x:v>
      </x:c>
      <x:c r="C18" s="157" t="n">
        <x:v>1.91</x:v>
      </x:c>
      <x:c r="D18" s="157" t="n">
        <x:v>1760</x:v>
      </x:c>
      <x:c r="E18" s="173" t="n">
        <x:v>0.03</x:v>
      </x:c>
      <x:c r="F18" s="159" t="n">
        <x:f>C18*D18*(1+E18)</x:f>
        <x:v>3462.448</x:v>
      </x:c>
      <x:c r="G18" s="120" t="str"/>
    </x:row>
    <x:row r="19">
      <x:c r="A19" s="74" t="str">
        <x:v>샴푸바</x:v>
      </x:c>
      <x:c r="B19" s="70" t="str">
        <x:v>원재료08</x:v>
      </x:c>
      <x:c r="C19" s="157" t="n">
        <x:v>0.71</x:v>
      </x:c>
      <x:c r="D19" s="157" t="n">
        <x:v>1940</x:v>
      </x:c>
      <x:c r="E19" s="173" t="n">
        <x:v>0.05</x:v>
      </x:c>
      <x:c r="F19" s="159" t="n">
        <x:f>C19*D19*(1+E19)</x:f>
        <x:v>1446.27</x:v>
      </x:c>
      <x:c r="G19" s="120" t="str"/>
    </x:row>
    <x:row r="20">
      <x:c r="A20" s="74" t="str">
        <x:v>샴푸바</x:v>
      </x:c>
      <x:c r="B20" s="70" t="str">
        <x:v>원재료09</x:v>
      </x:c>
      <x:c r="C20" s="157" t="n">
        <x:v>2.09</x:v>
      </x:c>
      <x:c r="D20" s="157" t="n">
        <x:v>2120</x:v>
      </x:c>
      <x:c r="E20" s="173" t="n">
        <x:v>0.02</x:v>
      </x:c>
      <x:c r="F20" s="159" t="n">
        <x:f>C20*D20*(1+E20)</x:f>
        <x:v>4519.415999999999</x:v>
      </x:c>
      <x:c r="G20" s="120" t="str"/>
    </x:row>
    <x:row r="21">
      <x:c r="A21" s="74" t="str">
        <x:v>샴푸바</x:v>
      </x:c>
      <x:c r="B21" s="70" t="str">
        <x:v>원재료10</x:v>
      </x:c>
      <x:c r="C21" s="157" t="n">
        <x:v>2.65</x:v>
      </x:c>
      <x:c r="D21" s="157" t="n">
        <x:v>2300</x:v>
      </x:c>
      <x:c r="E21" s="173" t="n">
        <x:v>0.03</x:v>
      </x:c>
      <x:c r="F21" s="159" t="n">
        <x:f>C21*D21*(1+E21)</x:f>
        <x:v>6277.85</x:v>
      </x:c>
      <x:c r="G21" s="120" t="str"/>
    </x:row>
    <x:row r="22">
      <x:c r="A22" s="74" t="str">
        <x:v>샴푸바</x:v>
      </x:c>
      <x:c r="B22" s="70" t="str">
        <x:v>원재료11</x:v>
      </x:c>
      <x:c r="C22" s="157" t="n">
        <x:v>0.72</x:v>
      </x:c>
      <x:c r="D22" s="157" t="n">
        <x:v>2480</x:v>
      </x:c>
      <x:c r="E22" s="173" t="n">
        <x:v>0.05</x:v>
      </x:c>
      <x:c r="F22" s="159" t="n">
        <x:f>$C$22*D22*(1+E22)</x:f>
        <x:v>1874.8799999999999</x:v>
      </x:c>
      <x:c r="G22" s="120" t="str"/>
    </x:row>
    <x:row r="23">
      <x:c r="A23" s="74" t="str">
        <x:v>샴푸바</x:v>
      </x:c>
      <x:c r="B23" s="70" t="str">
        <x:v>원재료12</x:v>
      </x:c>
      <x:c r="C23" s="157" t="n">
        <x:v>0.58</x:v>
      </x:c>
      <x:c r="D23" s="157" t="n">
        <x:v>2660</x:v>
      </x:c>
      <x:c r="E23" s="173" t="n">
        <x:v>0.02</x:v>
      </x:c>
      <x:c r="F23" s="159" t="n">
        <x:f>C23*D23*(1+E23)</x:f>
        <x:v>1573.656</x:v>
      </x:c>
      <x:c r="G23" s="120" t="str"/>
    </x:row>
    <x:row r="24">
      <x:c r="A24" s="74" t="str">
        <x:v>샴푸바</x:v>
      </x:c>
      <x:c r="B24" s="70" t="str">
        <x:v>원재료13</x:v>
      </x:c>
      <x:c r="C24" s="157" t="n">
        <x:v>1.82</x:v>
      </x:c>
      <x:c r="D24" s="157" t="n">
        <x:v>2840</x:v>
      </x:c>
      <x:c r="E24" s="173" t="n">
        <x:v>0.03</x:v>
      </x:c>
      <x:c r="F24" s="159" t="n">
        <x:f>C24*D24*(1+E24)</x:f>
        <x:v>5323.8640000000005</x:v>
      </x:c>
      <x:c r="G24" s="120" t="str"/>
    </x:row>
    <x:row r="25">
      <x:c r="A25" s="74" t="str">
        <x:v>샴푸바</x:v>
      </x:c>
      <x:c r="B25" s="70" t="str">
        <x:v>원재료14</x:v>
      </x:c>
      <x:c r="C25" s="157" t="n">
        <x:v>0.55</x:v>
      </x:c>
      <x:c r="D25" s="157" t="n">
        <x:v>3020</x:v>
      </x:c>
      <x:c r="E25" s="173" t="n">
        <x:v>0.05</x:v>
      </x:c>
      <x:c r="F25" s="159" t="n">
        <x:f>C25*D25*(1+E25)</x:f>
        <x:v>1744.0500000000004</x:v>
      </x:c>
      <x:c r="G25" s="120" t="str"/>
    </x:row>
    <x:row r="26">
      <x:c r="A26" s="74" t="str">
        <x:v>샴푸바</x:v>
      </x:c>
      <x:c r="B26" s="70" t="str">
        <x:v>원재료15</x:v>
      </x:c>
      <x:c r="C26" s="157" t="n">
        <x:v>1.49</x:v>
      </x:c>
      <x:c r="D26" s="157" t="n">
        <x:v>3200</x:v>
      </x:c>
      <x:c r="E26" s="173" t="n">
        <x:v>0.02</x:v>
      </x:c>
      <x:c r="F26" s="159" t="n">
        <x:f>C26*D26*(1+E26)</x:f>
        <x:v>4863.36</x:v>
      </x:c>
      <x:c r="G26" s="120" t="str"/>
    </x:row>
    <x:row r="27">
      <x:c r="A27" s="96" t="str">
        <x:v>샴푸바 소계</x:v>
      </x:c>
      <x:c r="B27" s="97" t="str"/>
      <x:c r="C27" s="160" t="str"/>
      <x:c r="D27" s="160" t="str"/>
      <x:c r="E27" s="174" t="str"/>
      <x:c r="F27" s="162" t="n">
        <x:f>SUM(F17:F26)</x:f>
        <x:v>33873.862</x:v>
      </x:c>
      <x:c r="G27" s="141" t="str">
        <x:v>제품별 소계</x:v>
      </x:c>
    </x:row>
    <x:row r="28">
      <x:c r="A28" s="74" t="str">
        <x:v>바디비누</x:v>
      </x:c>
      <x:c r="B28" s="70" t="str">
        <x:v>원재료11</x:v>
      </x:c>
      <x:c r="C28" s="157" t="n">
        <x:v>1.01</x:v>
      </x:c>
      <x:c r="D28" s="157" t="n">
        <x:v>2480</x:v>
      </x:c>
      <x:c r="E28" s="173" t="n">
        <x:v>0.02</x:v>
      </x:c>
      <x:c r="F28" s="159" t="n">
        <x:f>C28*D28*(1+E28)</x:f>
        <x:v>2554.896</x:v>
      </x:c>
      <x:c r="G28" s="120" t="str"/>
    </x:row>
    <x:row r="29">
      <x:c r="A29" s="74" t="str">
        <x:v>바디비누</x:v>
      </x:c>
      <x:c r="B29" s="70" t="str">
        <x:v>원재료12</x:v>
      </x:c>
      <x:c r="C29" s="157" t="n">
        <x:v>0.26</x:v>
      </x:c>
      <x:c r="D29" s="157" t="n">
        <x:v>2660</x:v>
      </x:c>
      <x:c r="E29" s="173" t="n">
        <x:v>0.03</x:v>
      </x:c>
      <x:c r="F29" s="159" t="n">
        <x:f>C29*D29*(1+E29)</x:f>
        <x:v>712.3480000000001</x:v>
      </x:c>
      <x:c r="G29" s="120" t="str"/>
    </x:row>
    <x:row r="30">
      <x:c r="A30" s="74" t="str">
        <x:v>바디비누</x:v>
      </x:c>
      <x:c r="B30" s="70" t="str">
        <x:v>원재료13</x:v>
      </x:c>
      <x:c r="C30" s="157" t="n">
        <x:v>1.25</x:v>
      </x:c>
      <x:c r="D30" s="157" t="n">
        <x:v>2840</x:v>
      </x:c>
      <x:c r="E30" s="173" t="n">
        <x:v>0.05</x:v>
      </x:c>
      <x:c r="F30" s="159" t="n">
        <x:f>C30*D30*(1+E30)</x:f>
        <x:v>3727.5</x:v>
      </x:c>
      <x:c r="G30" s="120" t="str"/>
    </x:row>
    <x:row r="31">
      <x:c r="A31" s="74" t="str">
        <x:v>바디비누</x:v>
      </x:c>
      <x:c r="B31" s="70" t="str">
        <x:v>원재료14</x:v>
      </x:c>
      <x:c r="C31" s="157" t="n">
        <x:v>2.88</x:v>
      </x:c>
      <x:c r="D31" s="157" t="n">
        <x:v>3020</x:v>
      </x:c>
      <x:c r="E31" s="173" t="n">
        <x:v>0.02</x:v>
      </x:c>
      <x:c r="F31" s="159" t="n">
        <x:f>C31*D31*(1+E31)</x:f>
        <x:v>8871.552</x:v>
      </x:c>
      <x:c r="G31" s="120" t="str"/>
    </x:row>
    <x:row r="32">
      <x:c r="A32" s="74" t="str">
        <x:v>바디비누</x:v>
      </x:c>
      <x:c r="B32" s="70" t="str">
        <x:v>원재료15</x:v>
      </x:c>
      <x:c r="C32" s="157" t="n">
        <x:v>1.96</x:v>
      </x:c>
      <x:c r="D32" s="157" t="n">
        <x:v>3200</x:v>
      </x:c>
      <x:c r="E32" s="173" t="n">
        <x:v>0.03</x:v>
      </x:c>
      <x:c r="F32" s="159" t="n">
        <x:f>C32*D32*(1+E32)</x:f>
        <x:v>6460.16</x:v>
      </x:c>
      <x:c r="G32" s="120" t="str"/>
    </x:row>
    <x:row r="33">
      <x:c r="A33" s="74" t="str">
        <x:v>바디비누</x:v>
      </x:c>
      <x:c r="B33" s="70" t="str">
        <x:v>원재료16</x:v>
      </x:c>
      <x:c r="C33" s="157" t="n">
        <x:v>0.81</x:v>
      </x:c>
      <x:c r="D33" s="157" t="n">
        <x:v>3380</x:v>
      </x:c>
      <x:c r="E33" s="173" t="n">
        <x:v>0.05</x:v>
      </x:c>
      <x:c r="F33" s="159" t="n">
        <x:v>18500</x:v>
      </x:c>
      <x:c r="G33" s="120" t="str"/>
    </x:row>
    <x:row r="34">
      <x:c r="A34" s="74" t="str">
        <x:v>바디비누</x:v>
      </x:c>
      <x:c r="B34" s="70" t="str">
        <x:v>원재료17</x:v>
      </x:c>
      <x:c r="C34" s="157" t="n">
        <x:v>0.28</x:v>
      </x:c>
      <x:c r="D34" s="157" t="n">
        <x:v>3560</x:v>
      </x:c>
      <x:c r="E34" s="173" t="n">
        <x:v>0.02</x:v>
      </x:c>
      <x:c r="F34" s="159" t="n">
        <x:f>C34*D34*(1+E34)</x:f>
        <x:v>1016.7360000000001</x:v>
      </x:c>
      <x:c r="G34" s="120" t="str"/>
    </x:row>
    <x:row r="35">
      <x:c r="A35" s="74" t="str">
        <x:v>바디비누</x:v>
      </x:c>
      <x:c r="B35" s="70" t="str">
        <x:v>원재료18</x:v>
      </x:c>
      <x:c r="C35" s="157" t="n">
        <x:v>0.42</x:v>
      </x:c>
      <x:c r="D35" s="157" t="n">
        <x:v>3740</x:v>
      </x:c>
      <x:c r="E35" s="173" t="n">
        <x:v>0.03</x:v>
      </x:c>
      <x:c r="F35" s="159" t="n">
        <x:f>C35*D35*(1+E35)</x:f>
        <x:v>1617.924</x:v>
      </x:c>
      <x:c r="G35" s="120" t="str"/>
    </x:row>
    <x:row r="36">
      <x:c r="A36" s="74" t="str">
        <x:v>바디비누</x:v>
      </x:c>
      <x:c r="B36" s="70" t="str">
        <x:v>원재료19</x:v>
      </x:c>
      <x:c r="C36" s="157" t="n">
        <x:v>3.47</x:v>
      </x:c>
      <x:c r="D36" s="157" t="n">
        <x:v>3920</x:v>
      </x:c>
      <x:c r="E36" s="173" t="n">
        <x:v>0.05</x:v>
      </x:c>
      <x:c r="F36" s="159" t="n">
        <x:f>C36*D36*(1+E36)</x:f>
        <x:v>14282.520000000002</x:v>
      </x:c>
      <x:c r="G36" s="120" t="str"/>
    </x:row>
    <x:row r="37">
      <x:c r="A37" s="74" t="str">
        <x:v>바디비누</x:v>
      </x:c>
      <x:c r="B37" s="70" t="str">
        <x:v>원재료20</x:v>
      </x:c>
      <x:c r="C37" s="157" t="n">
        <x:v>2.69</x:v>
      </x:c>
      <x:c r="D37" s="157" t="n">
        <x:v>4100</x:v>
      </x:c>
      <x:c r="E37" s="173" t="n">
        <x:v>0.02</x:v>
      </x:c>
      <x:c r="F37" s="159" t="n">
        <x:f>C37*D37*(1+E37)</x:f>
        <x:v>11249.58</x:v>
      </x:c>
      <x:c r="G37" s="120" t="str"/>
    </x:row>
    <x:row r="38">
      <x:c r="A38" s="96" t="str">
        <x:v>바디비누 소계</x:v>
      </x:c>
      <x:c r="B38" s="97" t="str"/>
      <x:c r="C38" s="160" t="str"/>
      <x:c r="D38" s="160" t="str"/>
      <x:c r="E38" s="174" t="str"/>
      <x:c r="F38" s="162" t="n">
        <x:f>SUM(F28:F37)</x:f>
        <x:v>68993.216</x:v>
      </x:c>
      <x:c r="G38" s="141" t="str">
        <x:v>제품별 소계</x:v>
      </x:c>
    </x:row>
    <x:row r="39">
      <x:c r="A39" s="74" t="str">
        <x:v>선물세트</x:v>
      </x:c>
      <x:c r="B39" s="70" t="str">
        <x:v>원재료16</x:v>
      </x:c>
      <x:c r="C39" s="157" t="n">
        <x:v>2.15</x:v>
      </x:c>
      <x:c r="D39" s="157" t="n">
        <x:v>3380</x:v>
      </x:c>
      <x:c r="E39" s="173" t="n">
        <x:v>0.02</x:v>
      </x:c>
      <x:c r="F39" s="159" t="n">
        <x:f>C39*D39*(1+E39)</x:f>
        <x:v>7412.34</x:v>
      </x:c>
      <x:c r="G39" s="120" t="str"/>
    </x:row>
    <x:row r="40">
      <x:c r="A40" s="74" t="str">
        <x:v>선물세트</x:v>
      </x:c>
      <x:c r="B40" s="70" t="str">
        <x:v>원재료17</x:v>
      </x:c>
      <x:c r="C40" s="157" t="n">
        <x:v>1.96</x:v>
      </x:c>
      <x:c r="D40" s="157" t="n">
        <x:v>3560</x:v>
      </x:c>
      <x:c r="E40" s="173" t="n">
        <x:v>0.03</x:v>
      </x:c>
      <x:c r="F40" s="159" t="n">
        <x:f>C40*D40*(1+E40)</x:f>
        <x:v>7186.928</x:v>
      </x:c>
      <x:c r="G40" s="120" t="str"/>
    </x:row>
    <x:row r="41">
      <x:c r="A41" s="74" t="str">
        <x:v>선물세트</x:v>
      </x:c>
      <x:c r="B41" s="70" t="str">
        <x:v>원재료18</x:v>
      </x:c>
      <x:c r="C41" s="157" t="n">
        <x:v>2.99</x:v>
      </x:c>
      <x:c r="D41" s="157" t="n">
        <x:v>3740</x:v>
      </x:c>
      <x:c r="E41" s="173" t="n">
        <x:v>0.05</x:v>
      </x:c>
      <x:c r="F41" s="159" t="n">
        <x:f>C41*D41*(1+E41)</x:f>
        <x:v>11741.730000000001</x:v>
      </x:c>
      <x:c r="G41" s="120" t="str"/>
    </x:row>
    <x:row r="42">
      <x:c r="A42" s="74" t="str">
        <x:v>선물세트</x:v>
      </x:c>
      <x:c r="B42" s="70" t="str">
        <x:v>원재료19</x:v>
      </x:c>
      <x:c r="C42" s="157" t="n">
        <x:v>0.48</x:v>
      </x:c>
      <x:c r="D42" s="157" t="n">
        <x:v>3920</x:v>
      </x:c>
      <x:c r="E42" s="173" t="n">
        <x:v>0.02</x:v>
      </x:c>
      <x:c r="F42" s="159" t="n">
        <x:f>C42*D42*(1+E42)</x:f>
        <x:v>1919.232</x:v>
      </x:c>
      <x:c r="G42" s="120" t="str"/>
    </x:row>
    <x:row r="43">
      <x:c r="A43" s="74" t="str">
        <x:v>선물세트</x:v>
      </x:c>
      <x:c r="B43" s="70" t="str">
        <x:v>원재료20</x:v>
      </x:c>
      <x:c r="C43" s="157" t="n">
        <x:v>2.75</x:v>
      </x:c>
      <x:c r="D43" s="157" t="n">
        <x:v>4100</x:v>
      </x:c>
      <x:c r="E43" s="173" t="n">
        <x:v>0.03</x:v>
      </x:c>
      <x:c r="F43" s="159" t="n">
        <x:f>C43*D43*(1+E43)</x:f>
        <x:v>11613.25</x:v>
      </x:c>
      <x:c r="G43" s="120" t="str"/>
    </x:row>
    <x:row r="44">
      <x:c r="A44" s="74" t="str">
        <x:v>선물세트</x:v>
      </x:c>
      <x:c r="B44" s="70" t="str">
        <x:v>원재료01</x:v>
      </x:c>
      <x:c r="C44" s="157" t="n">
        <x:v>2.92</x:v>
      </x:c>
      <x:c r="D44" s="157" t="n">
        <x:v>680</x:v>
      </x:c>
      <x:c r="E44" s="173" t="n">
        <x:v>0.05</x:v>
      </x:c>
      <x:c r="F44" s="159"/>
      <x:c r="G44" s="120" t="str"/>
    </x:row>
    <x:row r="45">
      <x:c r="A45" s="74" t="str">
        <x:v>선물세트</x:v>
      </x:c>
      <x:c r="B45" s="70" t="str">
        <x:v>원재료02</x:v>
      </x:c>
      <x:c r="C45" s="157" t="n">
        <x:v>1.11</x:v>
      </x:c>
      <x:c r="D45" s="157" t="n">
        <x:v>860</x:v>
      </x:c>
      <x:c r="E45" s="173" t="n">
        <x:v>0.02</x:v>
      </x:c>
      <x:c r="F45" s="159" t="n">
        <x:f>C45*D45*(1+E45)</x:f>
        <x:v>973.6920000000001</x:v>
      </x:c>
      <x:c r="G45" s="120" t="str"/>
    </x:row>
    <x:row r="46">
      <x:c r="A46" s="74" t="str">
        <x:v>선물세트</x:v>
      </x:c>
      <x:c r="B46" s="70" t="str">
        <x:v>원재료03</x:v>
      </x:c>
      <x:c r="C46" s="157" t="n">
        <x:v>2.58</x:v>
      </x:c>
      <x:c r="D46" s="157" t="n">
        <x:v>1040</x:v>
      </x:c>
      <x:c r="E46" s="173" t="n">
        <x:v>0.03</x:v>
      </x:c>
      <x:c r="F46" s="159" t="n">
        <x:f>C46*D46*(1+E46)</x:f>
        <x:v>2763.6960000000004</x:v>
      </x:c>
      <x:c r="G46" s="120" t="str"/>
    </x:row>
    <x:row r="47">
      <x:c r="A47" s="74" t="str">
        <x:v>선물세트</x:v>
      </x:c>
      <x:c r="B47" s="70" t="str">
        <x:v>원재료04</x:v>
      </x:c>
      <x:c r="C47" s="157" t="n">
        <x:v>1.19</x:v>
      </x:c>
      <x:c r="D47" s="157" t="n">
        <x:v>1220</x:v>
      </x:c>
      <x:c r="E47" s="173" t="n">
        <x:v>0.05</x:v>
      </x:c>
      <x:c r="F47" s="159" t="n">
        <x:f>C47*D47*(1+E47)</x:f>
        <x:v>1524.39</x:v>
      </x:c>
      <x:c r="G47" s="120" t="str"/>
    </x:row>
    <x:row r="48">
      <x:c r="A48" s="74" t="str">
        <x:v>선물세트</x:v>
      </x:c>
      <x:c r="B48" s="70" t="str">
        <x:v>원재료05</x:v>
      </x:c>
      <x:c r="C48" s="157" t="n">
        <x:v>2.35</x:v>
      </x:c>
      <x:c r="D48" s="157" t="n">
        <x:v>1400</x:v>
      </x:c>
      <x:c r="E48" s="173" t="n">
        <x:v>0.02</x:v>
      </x:c>
      <x:c r="F48" s="159" t="n">
        <x:f>C48*D48*(1+E48)</x:f>
        <x:v>3355.8</x:v>
      </x:c>
      <x:c r="G48" s="120" t="str"/>
    </x:row>
    <x:row r="49">
      <x:c r="A49" s="96" t="str">
        <x:v>선물세트 소계</x:v>
      </x:c>
      <x:c r="B49" s="97" t="str"/>
      <x:c r="C49" s="160" t="str"/>
      <x:c r="D49" s="160" t="str"/>
      <x:c r="E49" s="174" t="str"/>
      <x:c r="F49" s="162" t="n">
        <x:f>SUM(F39:F48)</x:f>
        <x:v>48491.058000000005</x:v>
      </x:c>
      <x:c r="G49" s="141" t="str">
        <x:v>제품별 소계</x:v>
      </x:c>
    </x:row>
  </x:sheetData>
  <x:mergeCells>
    <x:mergeCell ref="A1:G1"/>
    <x:mergeCell ref="A2:G2"/>
    <x:mergeCell ref="A3:G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6" hidden="0" customWidth="1"/>
    <x:col min="6" max="6" width="12" hidden="0" customWidth="1"/>
    <x:col min="7" max="7" width="14" hidden="0" customWidth="1"/>
    <x:col min="8" max="8" width="15" hidden="0" customWidth="1"/>
  </x:cols>
  <x:sheetData>
    <x:row r="1" ht="30" customHeight="1">
      <x:c r="A1" s="5" t="str">
        <x:v>제품별 제조원가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재료비·노무비·제조간접비를 합산합니다.</x:v>
      </x:c>
      <x:c r="B2" s="12"/>
      <x:c r="C2" s="12"/>
      <x:c r="D2" s="12"/>
      <x:c r="E2" s="12"/>
      <x:c r="F2" s="12"/>
      <x:c r="G2" s="12"/>
      <x:c r="H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 ht="28" customHeight="1">
      <x:c r="A5" s="30" t="str">
        <x:v>제품</x:v>
      </x:c>
      <x:c r="B5" s="65" t="str">
        <x:v>재료비</x:v>
      </x:c>
      <x:c r="C5" s="65" t="str">
        <x:v>직접노무비</x:v>
      </x:c>
      <x:c r="D5" s="65" t="str">
        <x:v>제조간접비</x:v>
      </x:c>
      <x:c r="E5" s="65" t="str">
        <x:v>총제조원가</x:v>
      </x:c>
      <x:c r="F5" s="65" t="str">
        <x:v>생산수량</x:v>
      </x:c>
      <x:c r="G5" s="65" t="str">
        <x:v>단위원가</x:v>
      </x:c>
      <x:c r="H5" s="31" t="str">
        <x:v>목표판매가</x:v>
      </x:c>
    </x:row>
    <x:row r="6">
      <x:c r="A6" s="119" t="str">
        <x:v>세안비누</x:v>
      </x:c>
      <x:c r="B6" s="194" t="n">
        <x:f>SUMIF('원재료사용'!$A$6:$A$49,A6,'원재료사용'!$F$6:$F$49)</x:f>
        <x:v>22826.8</x:v>
      </x:c>
      <x:c r="C6" s="195" t="n">
        <x:v>850000</x:v>
      </x:c>
      <x:c r="D6" s="196" t="n">
        <x:v>420000</x:v>
      </x:c>
      <x:c r="E6" s="194" t="n">
        <x:f>SUM(B6:D6)</x:f>
        <x:v>1292826.8</x:v>
      </x:c>
      <x:c r="F6" s="197" t="n">
        <x:v>1000</x:v>
      </x:c>
      <x:c r="G6" s="198" t="n">
        <x:f>IFERROR(E6/F6,0)</x:f>
        <x:v>1292.8268</x:v>
      </x:c>
      <x:c r="H6" s="199" t="n">
        <x:f>ROUND(G6*1.8,-2)</x:f>
        <x:v>2300</x:v>
      </x:c>
    </x:row>
    <x:row r="7">
      <x:c r="A7" s="120" t="str">
        <x:v>샴푸바</x:v>
      </x:c>
      <x:c r="B7" s="200" t="n">
        <x:f>SUMIF('원재료사용'!$A$6:$A$49,A7,'원재료사용'!$F$6:$F$49)</x:f>
        <x:v>33873.862</x:v>
      </x:c>
      <x:c r="C7" s="201" t="n">
        <x:v>970000</x:v>
      </x:c>
      <x:c r="D7" s="202" t="n">
        <x:v>500000</x:v>
      </x:c>
      <x:c r="E7" s="200" t="n">
        <x:f>SUM(B7:D7)</x:f>
        <x:v>1503873.862</x:v>
      </x:c>
      <x:c r="F7" s="203" t="n">
        <x:v>1200</x:v>
      </x:c>
      <x:c r="G7" s="204" t="n">
        <x:f>IFERROR(E7/F7,0)</x:f>
        <x:v>1253.2282183333334</x:v>
      </x:c>
      <x:c r="H7" s="205" t="n">
        <x:f>ROUND(G7*1.8,-2)</x:f>
        <x:v>2300</x:v>
      </x:c>
    </x:row>
    <x:row r="8">
      <x:c r="A8" s="120" t="str">
        <x:v>바디비누</x:v>
      </x:c>
      <x:c r="B8" s="200" t="n">
        <x:f>SUMIF('원재료사용'!$A$6:$A$49,A8,'원재료사용'!$F$6:$F$49)</x:f>
        <x:v>68993.216</x:v>
      </x:c>
      <x:c r="C8" s="201" t="n">
        <x:v>1090000</x:v>
      </x:c>
      <x:c r="D8" s="202" t="n">
        <x:v>580000</x:v>
      </x:c>
      <x:c r="E8" s="200" t="n">
        <x:f>SUM(B8:D8)</x:f>
        <x:v>1738993.216</x:v>
      </x:c>
      <x:c r="F8" s="203" t="n">
        <x:v>1400</x:v>
      </x:c>
      <x:c r="G8" s="204" t="n">
        <x:f>IFERROR(E8/F8,0)</x:f>
        <x:v>1242.1380114285714</x:v>
      </x:c>
      <x:c r="H8" s="205" t="n">
        <x:f>ROUND(G8*1.8,-2)</x:f>
        <x:v>2200</x:v>
      </x:c>
    </x:row>
    <x:row r="9">
      <x:c r="A9" s="178" t="str">
        <x:v>선물세트</x:v>
      </x:c>
      <x:c r="B9" s="206" t="n">
        <x:f>SUMIF('원재료사용'!$A$6:$A$49,A9,'원재료사용'!$F$6:$F$49)</x:f>
        <x:v>48491.058000000005</x:v>
      </x:c>
      <x:c r="C9" s="207" t="n">
        <x:v>1210000</x:v>
      </x:c>
      <x:c r="D9" s="208" t="n">
        <x:v>660000</x:v>
      </x:c>
      <x:c r="E9" s="206" t="n">
        <x:f>SUM(B9:D9)</x:f>
        <x:v>1918491.058</x:v>
      </x:c>
      <x:c r="F9" s="209" t="n">
        <x:v>1600</x:v>
      </x:c>
      <x:c r="G9" s="210" t="n">
        <x:f>IFERROR(E9/F9,0)</x:f>
        <x:v>1199.05691125</x:v>
      </x:c>
      <x:c r="H9" s="211" t="n">
        <x:f>ROUND(G9*1.8,-2)</x:f>
        <x:v>2200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