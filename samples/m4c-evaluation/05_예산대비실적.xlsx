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25f47ef89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c6351544ef44485"/>
    <x:sheet xmlns:r="http://schemas.openxmlformats.org/officeDocument/2006/relationships" name="예산" sheetId="2" r:id="R6eba9dcc5fc04487"/>
    <x:sheet xmlns:r="http://schemas.openxmlformats.org/officeDocument/2006/relationships" name="실적" sheetId="3" r:id="R69052235d4f44cc9"/>
    <x:sheet xmlns:r="http://schemas.openxmlformats.org/officeDocument/2006/relationships" name="부서별분석" sheetId="4" r:id="R038a2cbd8ea6418f"/>
    <x:sheet xmlns:r="http://schemas.openxmlformats.org/officeDocument/2006/relationships" name="요약" sheetId="5" r:id="Re12b6e92a5ec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40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top style="thin">
        <x:color rgb="FF0F6B78"/>
      </x:top>
      <x:bottom style="thin">
        <x:color rgb="FF0F6B78"/>
      </x:bottom>
    </x:border>
    <x:border>
      <x:right style="hair">
        <x:color rgb="FFD9D9D9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top style="thin">
        <x:color rgb="FF0F6B78"/>
      </x:top>
      <x:bottom style="hair">
        <x:color rgb="FFD9D9D9"/>
      </x:bottom>
    </x:border>
    <x:border>
      <x:right style="hair">
        <x:color rgb="FFD9D9D9"/>
      </x:right>
      <x:top style="thin">
        <x:color rgb="FF0F6B78"/>
      </x:top>
      <x:bottom style="hair">
        <x:color rgb="FFD9D9D9"/>
      </x:bottom>
    </x:border>
    <x:border>
      <x:left style="hair">
        <x:color rgb="FFD9D9D9"/>
      </x:left>
      <x:top style="thin">
        <x:color rgb="FF0F6B78"/>
      </x:top>
      <x:bottom style="thin">
        <x:color rgb="FF0F6B78"/>
      </x:bottom>
    </x:border>
    <x:border>
      <x:right style="hair">
        <x:color rgb="FFD9D9D9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top style="thin">
        <x:color rgb="FF0F6B78"/>
      </x:top>
      <x:bottom style="hair">
        <x:color rgb="FFD9D9D9"/>
      </x:bottom>
    </x:border>
    <x:border>
      <x:right style="hair">
        <x:color rgb="FFD9D9D9"/>
      </x:right>
      <x:top style="thin">
        <x:color rgb="FF0F6B78"/>
      </x:top>
      <x:bottom style="hair">
        <x:color rgb="FFD9D9D9"/>
      </x:bottom>
    </x:border>
    <x:border>
      <x:top style="thin">
        <x:color rgb="FF0F6B78"/>
      </x:top>
      <x:bottom style="hair">
        <x:color rgb="FFD9D9D9"/>
      </x:bottom>
    </x:border>
    <x:border>
      <x:top style="thin">
        <x:color rgb="FF0F6B78"/>
      </x:top>
      <x:bottom style="hair">
        <x:color rgb="FFD9D9D9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9" xfId="0" applyNumberFormat="1" applyFont="1" applyFill="1" applyBorder="1"/>
    <x:xf numFmtId="200" fontId="0" fillId="9" borderId="0" xfId="0" applyNumberFormat="1" applyFont="1" applyFill="1" applyBorder="1"/>
    <x:xf numFmtId="200" fontId="0" fillId="9" borderId="14" xfId="0" applyNumberFormat="1" applyFont="1" applyFill="1" applyBorder="1"/>
    <x:xf numFmtId="200" fontId="0" fillId="9" borderId="17" xfId="0" applyNumberFormat="1" applyFont="1" applyFill="1" applyBorder="1"/>
    <x:xf numFmtId="200" fontId="0" fillId="9" borderId="1" xfId="0" applyNumberFormat="1" applyFont="1" applyFill="1" applyBorder="1"/>
    <x:xf numFmtId="200" fontId="0" fillId="9" borderId="22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4" xfId="0" applyNumberFormat="1" applyFont="1" applyFill="1" applyBorder="1"/>
    <x:xf numFmtId="0" fontId="4" fillId="10" borderId="25" xfId="0" applyNumberFormat="1" applyFont="1" applyFill="1" applyBorder="1"/>
    <x:xf numFmtId="0" fontId="4" fillId="10" borderId="26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27" xfId="0" applyNumberFormat="1" applyFont="1" applyFill="1" applyBorder="1"/>
    <x:xf numFmtId="0" fontId="4" fillId="10" borderId="28" xfId="0" applyNumberFormat="1" applyFont="1" applyFill="1" applyBorder="1"/>
    <x:xf numFmtId="0" fontId="4" fillId="10" borderId="29" xfId="0" applyNumberFormat="1" applyFont="1" applyFill="1" applyBorder="1"/>
    <x:xf numFmtId="0" fontId="4" fillId="9" borderId="24" xfId="0" applyNumberFormat="1" applyFont="1" applyFill="1" applyBorder="1"/>
    <x:xf numFmtId="0" fontId="4" fillId="9" borderId="25" xfId="0" applyNumberFormat="1" applyFont="1" applyFill="1" applyBorder="1"/>
    <x:xf numFmtId="0" fontId="4" fillId="9" borderId="30" xfId="0" applyNumberFormat="1" applyFont="1" applyFill="1" applyBorder="1"/>
    <x:xf numFmtId="0" fontId="4" fillId="9" borderId="31" xfId="0" applyNumberFormat="1" applyFont="1" applyFill="1" applyBorder="1"/>
    <x:xf numFmtId="0" fontId="4" fillId="9" borderId="32" xfId="0" applyNumberFormat="1" applyFont="1" applyFill="1" applyBorder="1"/>
    <x:xf numFmtId="0" fontId="4" fillId="9" borderId="33" xfId="0" applyNumberFormat="1" applyFont="1" applyFill="1" applyBorder="1"/>
    <x:xf numFmtId="0" fontId="4" fillId="9" borderId="27" xfId="0" applyNumberFormat="1" applyFont="1" applyFill="1" applyBorder="1"/>
    <x:xf numFmtId="0" fontId="4" fillId="9" borderId="28" xfId="0" applyNumberFormat="1" applyFont="1" applyFill="1" applyBorder="1"/>
    <x:xf numFmtId="0" fontId="4" fillId="9" borderId="34" xfId="0" applyNumberFormat="1" applyFont="1" applyFill="1" applyBorder="1"/>
    <x:xf numFmtId="0" fontId="4" fillId="9" borderId="35" xfId="0" applyNumberFormat="1" applyFont="1" applyFill="1" applyBorder="1"/>
    <x:xf numFmtId="0" fontId="4" fillId="9" borderId="36" xfId="0" applyNumberFormat="1" applyFont="1" applyFill="1" applyBorder="1"/>
    <x:xf numFmtId="0" fontId="4" fillId="9" borderId="37" xfId="0" applyNumberFormat="1" applyFont="1" applyFill="1" applyBorder="1"/>
    <x:xf numFmtId="0" fontId="4" fillId="8" borderId="25" xfId="0" applyNumberFormat="1" applyFont="1" applyFill="1" applyBorder="1"/>
    <x:xf numFmtId="0" fontId="4" fillId="8" borderId="26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4" fillId="8" borderId="30" xfId="0" applyNumberFormat="1" applyFont="1" applyFill="1" applyBorder="1"/>
    <x:xf numFmtId="0" fontId="4" fillId="8" borderId="31" xfId="0" applyNumberFormat="1" applyFont="1" applyFill="1" applyBorder="1"/>
    <x:xf numFmtId="0" fontId="4" fillId="8" borderId="32" xfId="0" applyNumberFormat="1" applyFont="1" applyFill="1" applyBorder="1"/>
    <x:xf numFmtId="0" fontId="4" fillId="8" borderId="38" xfId="0" applyNumberFormat="1" applyFont="1" applyFill="1" applyBorder="1"/>
    <x:xf numFmtId="0" fontId="4" fillId="8" borderId="33" xfId="0" applyNumberFormat="1" applyFont="1" applyFill="1" applyBorder="1"/>
    <x:xf numFmtId="0" fontId="4" fillId="8" borderId="28" xfId="0" applyNumberFormat="1" applyFont="1" applyFill="1" applyBorder="1"/>
    <x:xf numFmtId="0" fontId="4" fillId="8" borderId="29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4" fillId="8" borderId="34" xfId="0" applyNumberFormat="1" applyFont="1" applyFill="1" applyBorder="1"/>
    <x:xf numFmtId="0" fontId="4" fillId="8" borderId="35" xfId="0" applyNumberFormat="1" applyFont="1" applyFill="1" applyBorder="1"/>
    <x:xf numFmtId="0" fontId="4" fillId="8" borderId="36" xfId="0" applyNumberFormat="1" applyFont="1" applyFill="1" applyBorder="1"/>
    <x:xf numFmtId="0" fontId="4" fillId="8" borderId="39" xfId="0" applyNumberFormat="1" applyFont="1" applyFill="1" applyBorder="1"/>
    <x:xf numFmtId="0" fontId="4" fillId="8" borderId="37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0" fontId="4" fillId="10" borderId="34" xfId="0" applyNumberFormat="1" applyFont="1" applyFill="1" applyBorder="1"/>
    <x:xf numFmtId="0" fontId="4" fillId="10" borderId="35" xfId="0" applyNumberFormat="1" applyFont="1" applyFill="1" applyBorder="1"/>
    <x:xf numFmtId="0" fontId="4" fillId="10" borderId="32" xfId="0" applyNumberFormat="1" applyFont="1" applyFill="1" applyBorder="1"/>
    <x:xf numFmtId="0" fontId="4" fillId="10" borderId="33" xfId="0" applyNumberFormat="1" applyFont="1" applyFill="1" applyBorder="1"/>
    <x:xf numFmtId="0" fontId="4" fillId="10" borderId="36" xfId="0" applyNumberFormat="1" applyFont="1" applyFill="1" applyBorder="1"/>
    <x:xf numFmtId="0" fontId="4" fillId="10" borderId="37" xfId="0" applyNumberFormat="1" applyFont="1" applyFill="1" applyBorder="1"/>
    <x:xf numFmtId="0" fontId="4" fillId="10" borderId="38" xfId="0" applyNumberFormat="1" applyFont="1" applyFill="1" applyBorder="1"/>
    <x:xf numFmtId="0" fontId="4" fillId="10" borderId="39" xfId="0" applyNumberFormat="1" applyFont="1" applyFill="1" applyBorder="1"/>
    <x:xf numFmtId="200" fontId="0" fillId="8" borderId="8" xfId="0" applyNumberFormat="1" applyFont="1" applyFill="1" applyBorder="1"/>
    <x:xf numFmtId="200" fontId="0" fillId="8" borderId="9" xfId="0" applyNumberFormat="1" applyFont="1" applyFill="1" applyBorder="1"/>
    <x:xf numFmtId="200" fontId="0" fillId="8" borderId="11" xfId="0" applyNumberFormat="1" applyFont="1" applyFill="1" applyBorder="1"/>
    <x:xf numFmtId="200" fontId="0" fillId="8" borderId="0" xfId="0" applyNumberFormat="1" applyFont="1" applyFill="1" applyBorder="1"/>
    <x:xf numFmtId="200" fontId="4" fillId="10" borderId="30" xfId="0" applyNumberFormat="1" applyFont="1" applyFill="1" applyBorder="1"/>
    <x:xf numFmtId="200" fontId="4" fillId="10" borderId="25" xfId="0" applyNumberFormat="1" applyFont="1" applyFill="1" applyBorder="1"/>
    <x:xf numFmtId="200" fontId="0" fillId="8" borderId="16" xfId="0" applyNumberFormat="1" applyFont="1" applyFill="1" applyBorder="1"/>
    <x:xf numFmtId="200" fontId="0" fillId="8" borderId="17" xfId="0" applyNumberFormat="1" applyFont="1" applyFill="1" applyBorder="1"/>
    <x:xf numFmtId="200" fontId="0" fillId="8" borderId="19" xfId="0" applyNumberFormat="1" applyFont="1" applyFill="1" applyBorder="1"/>
    <x:xf numFmtId="200" fontId="0" fillId="8" borderId="1" xfId="0" applyNumberFormat="1" applyFont="1" applyFill="1" applyBorder="1"/>
    <x:xf numFmtId="200" fontId="4" fillId="10" borderId="34" xfId="0" applyNumberFormat="1" applyFont="1" applyFill="1" applyBorder="1"/>
    <x:xf numFmtId="200" fontId="4" fillId="10" borderId="28" xfId="0" applyNumberFormat="1" applyFont="1" applyFill="1" applyBorder="1"/>
    <x:xf numFmtId="201" fontId="0" fillId="8" borderId="10" xfId="0" applyNumberFormat="1" applyFont="1" applyFill="1" applyBorder="1"/>
    <x:xf numFmtId="201" fontId="0" fillId="8" borderId="12" xfId="0" applyNumberFormat="1" applyFont="1" applyFill="1" applyBorder="1"/>
    <x:xf numFmtId="201" fontId="4" fillId="10" borderId="26" xfId="0" applyNumberFormat="1" applyFont="1" applyFill="1" applyBorder="1"/>
    <x:xf numFmtId="201" fontId="0" fillId="8" borderId="18" xfId="0" applyNumberFormat="1" applyFont="1" applyFill="1" applyBorder="1"/>
    <x:xf numFmtId="201" fontId="0" fillId="8" borderId="20" xfId="0" applyNumberFormat="1" applyFont="1" applyFill="1" applyBorder="1"/>
    <x:xf numFmtId="201" fontId="4" fillId="10" borderId="29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f6831169a4959" /><Relationship Type="http://schemas.openxmlformats.org/officeDocument/2006/relationships/theme" Target="/xl/theme/theme1.xml" Id="Rd93d30d7ea6f41fa" /><Relationship Type="http://schemas.openxmlformats.org/officeDocument/2006/relationships/sharedStrings" Target="/xl/sharedStrings.xml" Id="Rd3234df9e84b403b" /><Relationship Type="http://schemas.openxmlformats.org/officeDocument/2006/relationships/worksheet" Target="/xl/worksheets/sheet1.xml" Id="Rac6351544ef44485" /><Relationship Type="http://schemas.openxmlformats.org/officeDocument/2006/relationships/worksheet" Target="/xl/worksheets/sheet2.xml" Id="R6eba9dcc5fc04487" /><Relationship Type="http://schemas.openxmlformats.org/officeDocument/2006/relationships/worksheet" Target="/xl/worksheets/sheet3.xml" Id="R69052235d4f44cc9" /><Relationship Type="http://schemas.openxmlformats.org/officeDocument/2006/relationships/worksheet" Target="/xl/worksheets/sheet4.xml" Id="R038a2cbd8ea6418f" /><Relationship Type="http://schemas.openxmlformats.org/officeDocument/2006/relationships/worksheet" Target="/xl/worksheets/sheet5.xml" Id="Re12b6e92a5ec4d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부서별 예산 대비 실적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부서·계정별 예산과 실적을 비교해 차이와 달성률을 계산하는 합성 관리회계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SUMIFS 기준행 이탈, 차이 계산 참조 이탈, 달성률 함수 패턴 이탈, 상수 덮어쓰기와 부서 소계 예외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예산</x:v>
      </x:c>
      <x:c r="B13" s="60" t="str">
        <x:v>부서·계정별 예산 입력</x:v>
      </x:c>
    </x:row>
    <x:row r="14">
      <x:c r="A14" s="57" t="str">
        <x:v>실적</x:v>
      </x:c>
      <x:c r="B14" s="60" t="str">
        <x:v>부서·계정별 실적 입력</x:v>
      </x:c>
    </x:row>
    <x:row r="15">
      <x:c r="A15" s="57" t="str">
        <x:v>부서별분석</x:v>
      </x:c>
      <x:c r="B15" s="60" t="str">
        <x:v>예산·실적·차이·달성률 분석</x:v>
      </x:c>
    </x:row>
    <x:row r="16">
      <x:c r="A16" s="57" t="str">
        <x:v>요약</x:v>
      </x:c>
      <x:c r="B16" s="60" t="str">
        <x:v>전사 KPI 요약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0" hidden="0" customWidth="1"/>
  </x:cols>
  <x:sheetData>
    <x:row r="1" ht="30" customHeight="1">
      <x:c r="A1" s="5" t="str">
        <x:v>예산 데이터</x:v>
      </x:c>
      <x:c r="B1" s="5"/>
      <x:c r="C1" s="5"/>
      <x:c r="D1" s="5"/>
    </x:row>
    <x:row r="2" ht="24" customHeight="1">
      <x:c r="A2" s="12" t="str">
        <x:v>2026년 부서·계정별 예산 합성 데이터</x:v>
      </x:c>
      <x:c r="B2" s="12"/>
      <x:c r="C2" s="12"/>
      <x:c r="D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</x:row>
    <x:row r="5" ht="28" customHeight="1">
      <x:c r="A5" s="30" t="str">
        <x:v>부서</x:v>
      </x:c>
      <x:c r="B5" s="65" t="str">
        <x:v>계정</x:v>
      </x:c>
      <x:c r="C5" s="65" t="str">
        <x:v>연간금액</x:v>
      </x:c>
      <x:c r="D5" s="31" t="str">
        <x:v>비고</x:v>
      </x:c>
    </x:row>
    <x:row r="6">
      <x:c r="A6" s="71" t="str">
        <x:v>영업1팀</x:v>
      </x:c>
      <x:c r="B6" s="72" t="str">
        <x:v>인건비</x:v>
      </x:c>
      <x:c r="C6" s="88" t="n">
        <x:v>1115905</x:v>
      </x:c>
      <x:c r="D6" s="73" t="str"/>
    </x:row>
    <x:row r="7">
      <x:c r="A7" s="74" t="str">
        <x:v>영업1팀</x:v>
      </x:c>
      <x:c r="B7" s="70" t="str">
        <x:v>복리후생비</x:v>
      </x:c>
      <x:c r="C7" s="89" t="n">
        <x:v>1442963</x:v>
      </x:c>
      <x:c r="D7" s="75" t="str"/>
    </x:row>
    <x:row r="8">
      <x:c r="A8" s="74" t="str">
        <x:v>영업1팀</x:v>
      </x:c>
      <x:c r="B8" s="70" t="str">
        <x:v>광고선전비</x:v>
      </x:c>
      <x:c r="C8" s="89" t="n">
        <x:v>1434150</x:v>
      </x:c>
      <x:c r="D8" s="75" t="str"/>
    </x:row>
    <x:row r="9">
      <x:c r="A9" s="74" t="str">
        <x:v>영업1팀</x:v>
      </x:c>
      <x:c r="B9" s="70" t="str">
        <x:v>지급수수료</x:v>
      </x:c>
      <x:c r="C9" s="89" t="n">
        <x:v>1716545</x:v>
      </x:c>
      <x:c r="D9" s="75" t="str"/>
    </x:row>
    <x:row r="10">
      <x:c r="A10" s="74" t="str">
        <x:v>영업1팀</x:v>
      </x:c>
      <x:c r="B10" s="70" t="str">
        <x:v>소모품비</x:v>
      </x:c>
      <x:c r="C10" s="89" t="n">
        <x:v>1725799</x:v>
      </x:c>
      <x:c r="D10" s="75" t="str"/>
    </x:row>
    <x:row r="11">
      <x:c r="A11" s="74" t="str">
        <x:v>영업1팀</x:v>
      </x:c>
      <x:c r="B11" s="70" t="str">
        <x:v>출장비</x:v>
      </x:c>
      <x:c r="C11" s="89" t="n">
        <x:v>2065055</x:v>
      </x:c>
      <x:c r="D11" s="75" t="str"/>
    </x:row>
    <x:row r="12">
      <x:c r="A12" s="74" t="str">
        <x:v>영업1팀</x:v>
      </x:c>
      <x:c r="B12" s="70" t="str">
        <x:v>통신비</x:v>
      </x:c>
      <x:c r="C12" s="89" t="n">
        <x:v>2160716</x:v>
      </x:c>
      <x:c r="D12" s="75" t="str"/>
    </x:row>
    <x:row r="13">
      <x:c r="A13" s="74" t="str">
        <x:v>영업1팀</x:v>
      </x:c>
      <x:c r="B13" s="70" t="str">
        <x:v>임차료</x:v>
      </x:c>
      <x:c r="C13" s="89" t="n">
        <x:v>2052221</x:v>
      </x:c>
      <x:c r="D13" s="75" t="str"/>
    </x:row>
    <x:row r="14">
      <x:c r="A14" s="74" t="str">
        <x:v>영업1팀</x:v>
      </x:c>
      <x:c r="B14" s="70" t="str">
        <x:v>운반비</x:v>
      </x:c>
      <x:c r="C14" s="89" t="n">
        <x:v>2620388</x:v>
      </x:c>
      <x:c r="D14" s="75" t="str"/>
    </x:row>
    <x:row r="15">
      <x:c r="A15" s="74" t="str">
        <x:v>영업1팀</x:v>
      </x:c>
      <x:c r="B15" s="70" t="str">
        <x:v>교육훈련비</x:v>
      </x:c>
      <x:c r="C15" s="89" t="n">
        <x:v>2724904</x:v>
      </x:c>
      <x:c r="D15" s="75" t="str"/>
    </x:row>
    <x:row r="16">
      <x:c r="A16" s="74" t="str">
        <x:v>영업1팀</x:v>
      </x:c>
      <x:c r="B16" s="70" t="str">
        <x:v>수선비</x:v>
      </x:c>
      <x:c r="C16" s="89" t="n">
        <x:v>2648386</x:v>
      </x:c>
      <x:c r="D16" s="75" t="str"/>
    </x:row>
    <x:row r="17">
      <x:c r="A17" s="74" t="str">
        <x:v>영업1팀</x:v>
      </x:c>
      <x:c r="B17" s="70" t="str">
        <x:v>기타비용</x:v>
      </x:c>
      <x:c r="C17" s="89" t="n">
        <x:v>2870300</x:v>
      </x:c>
      <x:c r="D17" s="75" t="str"/>
    </x:row>
    <x:row r="18">
      <x:c r="A18" s="74" t="str">
        <x:v>영업2팀</x:v>
      </x:c>
      <x:c r="B18" s="70" t="str">
        <x:v>인건비</x:v>
      </x:c>
      <x:c r="C18" s="89" t="n">
        <x:v>1462119</x:v>
      </x:c>
      <x:c r="D18" s="75" t="str"/>
    </x:row>
    <x:row r="19">
      <x:c r="A19" s="74" t="str">
        <x:v>영업2팀</x:v>
      </x:c>
      <x:c r="B19" s="70" t="str">
        <x:v>복리후생비</x:v>
      </x:c>
      <x:c r="C19" s="89" t="n">
        <x:v>1626385</x:v>
      </x:c>
      <x:c r="D19" s="75" t="str"/>
    </x:row>
    <x:row r="20">
      <x:c r="A20" s="74" t="str">
        <x:v>영업2팀</x:v>
      </x:c>
      <x:c r="B20" s="70" t="str">
        <x:v>광고선전비</x:v>
      </x:c>
      <x:c r="C20" s="89" t="n">
        <x:v>1816133</x:v>
      </x:c>
      <x:c r="D20" s="75" t="str"/>
    </x:row>
    <x:row r="21">
      <x:c r="A21" s="74" t="str">
        <x:v>영업2팀</x:v>
      </x:c>
      <x:c r="B21" s="70" t="str">
        <x:v>지급수수료</x:v>
      </x:c>
      <x:c r="C21" s="89" t="n">
        <x:v>2023175</x:v>
      </x:c>
      <x:c r="D21" s="75" t="str"/>
    </x:row>
    <x:row r="22">
      <x:c r="A22" s="74" t="str">
        <x:v>영업2팀</x:v>
      </x:c>
      <x:c r="B22" s="70" t="str">
        <x:v>소모품비</x:v>
      </x:c>
      <x:c r="C22" s="89" t="n">
        <x:v>2173095</x:v>
      </x:c>
      <x:c r="D22" s="75" t="str"/>
    </x:row>
    <x:row r="23">
      <x:c r="A23" s="74" t="str">
        <x:v>영업2팀</x:v>
      </x:c>
      <x:c r="B23" s="70" t="str">
        <x:v>출장비</x:v>
      </x:c>
      <x:c r="C23" s="89" t="n">
        <x:v>2042180</x:v>
      </x:c>
      <x:c r="D23" s="75" t="str"/>
    </x:row>
    <x:row r="24">
      <x:c r="A24" s="74" t="str">
        <x:v>영업2팀</x:v>
      </x:c>
      <x:c r="B24" s="70" t="str">
        <x:v>통신비</x:v>
      </x:c>
      <x:c r="C24" s="89" t="n">
        <x:v>2079161</x:v>
      </x:c>
      <x:c r="D24" s="75" t="str"/>
    </x:row>
    <x:row r="25">
      <x:c r="A25" s="74" t="str">
        <x:v>영업2팀</x:v>
      </x:c>
      <x:c r="B25" s="70" t="str">
        <x:v>임차료</x:v>
      </x:c>
      <x:c r="C25" s="89" t="n">
        <x:v>2342400</x:v>
      </x:c>
      <x:c r="D25" s="75" t="str"/>
    </x:row>
    <x:row r="26">
      <x:c r="A26" s="74" t="str">
        <x:v>영업2팀</x:v>
      </x:c>
      <x:c r="B26" s="70" t="str">
        <x:v>운반비</x:v>
      </x:c>
      <x:c r="C26" s="89" t="n">
        <x:v>2450772</x:v>
      </x:c>
      <x:c r="D26" s="75" t="str"/>
    </x:row>
    <x:row r="27">
      <x:c r="A27" s="74" t="str">
        <x:v>영업2팀</x:v>
      </x:c>
      <x:c r="B27" s="70" t="str">
        <x:v>교육훈련비</x:v>
      </x:c>
      <x:c r="C27" s="89" t="n">
        <x:v>2894723</x:v>
      </x:c>
      <x:c r="D27" s="75" t="str"/>
    </x:row>
    <x:row r="28">
      <x:c r="A28" s="74" t="str">
        <x:v>영업2팀</x:v>
      </x:c>
      <x:c r="B28" s="70" t="str">
        <x:v>수선비</x:v>
      </x:c>
      <x:c r="C28" s="89" t="n">
        <x:v>3057272</x:v>
      </x:c>
      <x:c r="D28" s="75" t="str"/>
    </x:row>
    <x:row r="29">
      <x:c r="A29" s="74" t="str">
        <x:v>영업2팀</x:v>
      </x:c>
      <x:c r="B29" s="70" t="str">
        <x:v>기타비용</x:v>
      </x:c>
      <x:c r="C29" s="89" t="n">
        <x:v>3340973</x:v>
      </x:c>
      <x:c r="D29" s="75" t="str"/>
    </x:row>
    <x:row r="30">
      <x:c r="A30" s="74" t="str">
        <x:v>생산팀</x:v>
      </x:c>
      <x:c r="B30" s="70" t="str">
        <x:v>인건비</x:v>
      </x:c>
      <x:c r="C30" s="89" t="n">
        <x:v>1714250</x:v>
      </x:c>
      <x:c r="D30" s="75" t="str"/>
    </x:row>
    <x:row r="31">
      <x:c r="A31" s="74" t="str">
        <x:v>생산팀</x:v>
      </x:c>
      <x:c r="B31" s="70" t="str">
        <x:v>복리후생비</x:v>
      </x:c>
      <x:c r="C31" s="89" t="n">
        <x:v>1846953</x:v>
      </x:c>
      <x:c r="D31" s="75" t="str"/>
    </x:row>
    <x:row r="32">
      <x:c r="A32" s="74" t="str">
        <x:v>생산팀</x:v>
      </x:c>
      <x:c r="B32" s="70" t="str">
        <x:v>광고선전비</x:v>
      </x:c>
      <x:c r="C32" s="89" t="n">
        <x:v>2086688</x:v>
      </x:c>
      <x:c r="D32" s="75" t="str"/>
    </x:row>
    <x:row r="33">
      <x:c r="A33" s="74" t="str">
        <x:v>생산팀</x:v>
      </x:c>
      <x:c r="B33" s="70" t="str">
        <x:v>지급수수료</x:v>
      </x:c>
      <x:c r="C33" s="89" t="n">
        <x:v>2149200</x:v>
      </x:c>
      <x:c r="D33" s="75" t="str"/>
    </x:row>
    <x:row r="34">
      <x:c r="A34" s="74" t="str">
        <x:v>생산팀</x:v>
      </x:c>
      <x:c r="B34" s="70" t="str">
        <x:v>소모품비</x:v>
      </x:c>
      <x:c r="C34" s="89" t="n">
        <x:v>2148102</x:v>
      </x:c>
      <x:c r="D34" s="75" t="str"/>
    </x:row>
    <x:row r="35">
      <x:c r="A35" s="74" t="str">
        <x:v>생산팀</x:v>
      </x:c>
      <x:c r="B35" s="70" t="str">
        <x:v>출장비</x:v>
      </x:c>
      <x:c r="C35" s="89" t="n">
        <x:v>2489143</x:v>
      </x:c>
      <x:c r="D35" s="75" t="str"/>
    </x:row>
    <x:row r="36">
      <x:c r="A36" s="74" t="str">
        <x:v>생산팀</x:v>
      </x:c>
      <x:c r="B36" s="70" t="str">
        <x:v>통신비</x:v>
      </x:c>
      <x:c r="C36" s="89" t="n">
        <x:v>2661152</x:v>
      </x:c>
      <x:c r="D36" s="75" t="str"/>
    </x:row>
    <x:row r="37">
      <x:c r="A37" s="74" t="str">
        <x:v>생산팀</x:v>
      </x:c>
      <x:c r="B37" s="70" t="str">
        <x:v>임차료</x:v>
      </x:c>
      <x:c r="C37" s="89" t="n">
        <x:v>2550308</x:v>
      </x:c>
      <x:c r="D37" s="75" t="str"/>
    </x:row>
    <x:row r="38">
      <x:c r="A38" s="74" t="str">
        <x:v>생산팀</x:v>
      </x:c>
      <x:c r="B38" s="70" t="str">
        <x:v>운반비</x:v>
      </x:c>
      <x:c r="C38" s="89" t="n">
        <x:v>2658103</x:v>
      </x:c>
      <x:c r="D38" s="75" t="str"/>
    </x:row>
    <x:row r="39">
      <x:c r="A39" s="74" t="str">
        <x:v>생산팀</x:v>
      </x:c>
      <x:c r="B39" s="70" t="str">
        <x:v>교육훈련비</x:v>
      </x:c>
      <x:c r="C39" s="89" t="n">
        <x:v>2764274</x:v>
      </x:c>
      <x:c r="D39" s="75" t="str"/>
    </x:row>
    <x:row r="40">
      <x:c r="A40" s="74" t="str">
        <x:v>생산팀</x:v>
      </x:c>
      <x:c r="B40" s="70" t="str">
        <x:v>수선비</x:v>
      </x:c>
      <x:c r="C40" s="89" t="n">
        <x:v>2834750</x:v>
      </x:c>
      <x:c r="D40" s="75" t="str"/>
    </x:row>
    <x:row r="41">
      <x:c r="A41" s="74" t="str">
        <x:v>생산팀</x:v>
      </x:c>
      <x:c r="B41" s="70" t="str">
        <x:v>기타비용</x:v>
      </x:c>
      <x:c r="C41" s="89" t="n">
        <x:v>3399856</x:v>
      </x:c>
      <x:c r="D41" s="75" t="str"/>
    </x:row>
    <x:row r="42">
      <x:c r="A42" s="74" t="str">
        <x:v>관리팀</x:v>
      </x:c>
      <x:c r="B42" s="70" t="str">
        <x:v>인건비</x:v>
      </x:c>
      <x:c r="C42" s="89" t="n">
        <x:v>1979013</x:v>
      </x:c>
      <x:c r="D42" s="75" t="str"/>
    </x:row>
    <x:row r="43">
      <x:c r="A43" s="74" t="str">
        <x:v>관리팀</x:v>
      </x:c>
      <x:c r="B43" s="70" t="str">
        <x:v>복리후생비</x:v>
      </x:c>
      <x:c r="C43" s="89" t="n">
        <x:v>2068648</x:v>
      </x:c>
      <x:c r="D43" s="75" t="str"/>
    </x:row>
    <x:row r="44">
      <x:c r="A44" s="74" t="str">
        <x:v>관리팀</x:v>
      </x:c>
      <x:c r="B44" s="70" t="str">
        <x:v>광고선전비</x:v>
      </x:c>
      <x:c r="C44" s="89" t="n">
        <x:v>2134008</x:v>
      </x:c>
      <x:c r="D44" s="75" t="str"/>
    </x:row>
    <x:row r="45">
      <x:c r="A45" s="74" t="str">
        <x:v>관리팀</x:v>
      </x:c>
      <x:c r="B45" s="70" t="str">
        <x:v>지급수수료</x:v>
      </x:c>
      <x:c r="C45" s="89" t="n">
        <x:v>2433984</x:v>
      </x:c>
      <x:c r="D45" s="75" t="str"/>
    </x:row>
    <x:row r="46">
      <x:c r="A46" s="74" t="str">
        <x:v>관리팀</x:v>
      </x:c>
      <x:c r="B46" s="70" t="str">
        <x:v>소모품비</x:v>
      </x:c>
      <x:c r="C46" s="89" t="n">
        <x:v>2353204</x:v>
      </x:c>
      <x:c r="D46" s="75" t="str"/>
    </x:row>
    <x:row r="47">
      <x:c r="A47" s="74" t="str">
        <x:v>관리팀</x:v>
      </x:c>
      <x:c r="B47" s="70" t="str">
        <x:v>출장비</x:v>
      </x:c>
      <x:c r="C47" s="89" t="n">
        <x:v>2485149</x:v>
      </x:c>
      <x:c r="D47" s="75" t="str"/>
    </x:row>
    <x:row r="48">
      <x:c r="A48" s="74" t="str">
        <x:v>관리팀</x:v>
      </x:c>
      <x:c r="B48" s="70" t="str">
        <x:v>통신비</x:v>
      </x:c>
      <x:c r="C48" s="89" t="n">
        <x:v>2434239</x:v>
      </x:c>
      <x:c r="D48" s="75" t="str"/>
    </x:row>
    <x:row r="49">
      <x:c r="A49" s="74" t="str">
        <x:v>관리팀</x:v>
      </x:c>
      <x:c r="B49" s="70" t="str">
        <x:v>임차료</x:v>
      </x:c>
      <x:c r="C49" s="89" t="n">
        <x:v>2662294</x:v>
      </x:c>
      <x:c r="D49" s="75" t="str"/>
    </x:row>
    <x:row r="50">
      <x:c r="A50" s="74" t="str">
        <x:v>관리팀</x:v>
      </x:c>
      <x:c r="B50" s="70" t="str">
        <x:v>운반비</x:v>
      </x:c>
      <x:c r="C50" s="89" t="n">
        <x:v>3106547</x:v>
      </x:c>
      <x:c r="D50" s="75" t="str"/>
    </x:row>
    <x:row r="51">
      <x:c r="A51" s="74" t="str">
        <x:v>관리팀</x:v>
      </x:c>
      <x:c r="B51" s="70" t="str">
        <x:v>교육훈련비</x:v>
      </x:c>
      <x:c r="C51" s="89" t="n">
        <x:v>3098896</x:v>
      </x:c>
      <x:c r="D51" s="75" t="str"/>
    </x:row>
    <x:row r="52">
      <x:c r="A52" s="74" t="str">
        <x:v>관리팀</x:v>
      </x:c>
      <x:c r="B52" s="70" t="str">
        <x:v>수선비</x:v>
      </x:c>
      <x:c r="C52" s="89" t="n">
        <x:v>3609171</x:v>
      </x:c>
      <x:c r="D52" s="75" t="str"/>
    </x:row>
    <x:row r="53">
      <x:c r="A53" s="76" t="str">
        <x:v>관리팀</x:v>
      </x:c>
      <x:c r="B53" s="77" t="str">
        <x:v>기타비용</x:v>
      </x:c>
      <x:c r="C53" s="90" t="n">
        <x:v>3112110</x:v>
      </x:c>
      <x:c r="D53" s="78" t="str"/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0" hidden="0" customWidth="1"/>
  </x:cols>
  <x:sheetData>
    <x:row r="1" ht="30" customHeight="1">
      <x:c r="A1" s="5" t="str">
        <x:v>실적 데이터</x:v>
      </x:c>
      <x:c r="B1" s="5"/>
      <x:c r="C1" s="5"/>
      <x:c r="D1" s="5"/>
    </x:row>
    <x:row r="2" ht="24" customHeight="1">
      <x:c r="A2" s="12" t="str">
        <x:v>2026년 부서·계정별 실적 합성 데이터</x:v>
      </x:c>
      <x:c r="B2" s="12"/>
      <x:c r="C2" s="12"/>
      <x:c r="D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</x:row>
    <x:row r="5" ht="28" customHeight="1">
      <x:c r="A5" s="30" t="str">
        <x:v>부서</x:v>
      </x:c>
      <x:c r="B5" s="65" t="str">
        <x:v>계정</x:v>
      </x:c>
      <x:c r="C5" s="65" t="str">
        <x:v>연간금액</x:v>
      </x:c>
      <x:c r="D5" s="31" t="str">
        <x:v>비고</x:v>
      </x:c>
    </x:row>
    <x:row r="6">
      <x:c r="A6" s="71" t="str">
        <x:v>영업1팀</x:v>
      </x:c>
      <x:c r="B6" s="72" t="str">
        <x:v>인건비</x:v>
      </x:c>
      <x:c r="C6" s="88" t="n">
        <x:v>1185593</x:v>
      </x:c>
      <x:c r="D6" s="73" t="str"/>
    </x:row>
    <x:row r="7">
      <x:c r="A7" s="74" t="str">
        <x:v>영업1팀</x:v>
      </x:c>
      <x:c r="B7" s="70" t="str">
        <x:v>복리후생비</x:v>
      </x:c>
      <x:c r="C7" s="89" t="n">
        <x:v>1319725</x:v>
      </x:c>
      <x:c r="D7" s="75" t="str"/>
    </x:row>
    <x:row r="8">
      <x:c r="A8" s="74" t="str">
        <x:v>영업1팀</x:v>
      </x:c>
      <x:c r="B8" s="70" t="str">
        <x:v>광고선전비</x:v>
      </x:c>
      <x:c r="C8" s="89" t="n">
        <x:v>1414305</x:v>
      </x:c>
      <x:c r="D8" s="75" t="str"/>
    </x:row>
    <x:row r="9">
      <x:c r="A9" s="74" t="str">
        <x:v>영업1팀</x:v>
      </x:c>
      <x:c r="B9" s="70" t="str">
        <x:v>지급수수료</x:v>
      </x:c>
      <x:c r="C9" s="89" t="n">
        <x:v>1554366</x:v>
      </x:c>
      <x:c r="D9" s="75" t="str"/>
    </x:row>
    <x:row r="10">
      <x:c r="A10" s="74" t="str">
        <x:v>영업1팀</x:v>
      </x:c>
      <x:c r="B10" s="70" t="str">
        <x:v>소모품비</x:v>
      </x:c>
      <x:c r="C10" s="89" t="n">
        <x:v>1702247</x:v>
      </x:c>
      <x:c r="D10" s="75" t="str"/>
    </x:row>
    <x:row r="11">
      <x:c r="A11" s="74" t="str">
        <x:v>영업1팀</x:v>
      </x:c>
      <x:c r="B11" s="70" t="str">
        <x:v>출장비</x:v>
      </x:c>
      <x:c r="C11" s="89" t="n">
        <x:v>1639286</x:v>
      </x:c>
      <x:c r="D11" s="75" t="str"/>
    </x:row>
    <x:row r="12">
      <x:c r="A12" s="74" t="str">
        <x:v>영업1팀</x:v>
      </x:c>
      <x:c r="B12" s="70" t="str">
        <x:v>통신비</x:v>
      </x:c>
      <x:c r="C12" s="89" t="n">
        <x:v>1890633</x:v>
      </x:c>
      <x:c r="D12" s="75" t="str"/>
    </x:row>
    <x:row r="13">
      <x:c r="A13" s="74" t="str">
        <x:v>영업1팀</x:v>
      </x:c>
      <x:c r="B13" s="70" t="str">
        <x:v>임차료</x:v>
      </x:c>
      <x:c r="C13" s="89" t="n">
        <x:v>2261058</x:v>
      </x:c>
      <x:c r="D13" s="75" t="str"/>
    </x:row>
    <x:row r="14">
      <x:c r="A14" s="74" t="str">
        <x:v>영업1팀</x:v>
      </x:c>
      <x:c r="B14" s="70" t="str">
        <x:v>운반비</x:v>
      </x:c>
      <x:c r="C14" s="89" t="n">
        <x:v>2210508</x:v>
      </x:c>
      <x:c r="D14" s="75" t="str"/>
    </x:row>
    <x:row r="15">
      <x:c r="A15" s="74" t="str">
        <x:v>영업1팀</x:v>
      </x:c>
      <x:c r="B15" s="70" t="str">
        <x:v>교육훈련비</x:v>
      </x:c>
      <x:c r="C15" s="89" t="n">
        <x:v>2164121</x:v>
      </x:c>
      <x:c r="D15" s="75" t="str"/>
    </x:row>
    <x:row r="16">
      <x:c r="A16" s="74" t="str">
        <x:v>영업1팀</x:v>
      </x:c>
      <x:c r="B16" s="70" t="str">
        <x:v>수선비</x:v>
      </x:c>
      <x:c r="C16" s="89" t="n">
        <x:v>2458007</x:v>
      </x:c>
      <x:c r="D16" s="75" t="str"/>
    </x:row>
    <x:row r="17">
      <x:c r="A17" s="74" t="str">
        <x:v>영업1팀</x:v>
      </x:c>
      <x:c r="B17" s="70" t="str">
        <x:v>기타비용</x:v>
      </x:c>
      <x:c r="C17" s="89" t="n">
        <x:v>2402910</x:v>
      </x:c>
      <x:c r="D17" s="75" t="str"/>
    </x:row>
    <x:row r="18">
      <x:c r="A18" s="74" t="str">
        <x:v>영업2팀</x:v>
      </x:c>
      <x:c r="B18" s="70" t="str">
        <x:v>인건비</x:v>
      </x:c>
      <x:c r="C18" s="89" t="n">
        <x:v>1333405</x:v>
      </x:c>
      <x:c r="D18" s="75" t="str"/>
    </x:row>
    <x:row r="19">
      <x:c r="A19" s="74" t="str">
        <x:v>영업2팀</x:v>
      </x:c>
      <x:c r="B19" s="70" t="str">
        <x:v>복리후생비</x:v>
      </x:c>
      <x:c r="C19" s="89" t="n">
        <x:v>1380122</x:v>
      </x:c>
      <x:c r="D19" s="75" t="str"/>
    </x:row>
    <x:row r="20">
      <x:c r="A20" s="74" t="str">
        <x:v>영업2팀</x:v>
      </x:c>
      <x:c r="B20" s="70" t="str">
        <x:v>광고선전비</x:v>
      </x:c>
      <x:c r="C20" s="89" t="n">
        <x:v>1714342</x:v>
      </x:c>
      <x:c r="D20" s="75" t="str"/>
    </x:row>
    <x:row r="21">
      <x:c r="A21" s="74" t="str">
        <x:v>영업2팀</x:v>
      </x:c>
      <x:c r="B21" s="70" t="str">
        <x:v>지급수수료</x:v>
      </x:c>
      <x:c r="C21" s="89" t="n">
        <x:v>1848957</x:v>
      </x:c>
      <x:c r="D21" s="75" t="str"/>
    </x:row>
    <x:row r="22">
      <x:c r="A22" s="74" t="str">
        <x:v>영업2팀</x:v>
      </x:c>
      <x:c r="B22" s="70" t="str">
        <x:v>소모품비</x:v>
      </x:c>
      <x:c r="C22" s="89" t="n">
        <x:v>1860213</x:v>
      </x:c>
      <x:c r="D22" s="75" t="str"/>
    </x:row>
    <x:row r="23">
      <x:c r="A23" s="74" t="str">
        <x:v>영업2팀</x:v>
      </x:c>
      <x:c r="B23" s="70" t="str">
        <x:v>출장비</x:v>
      </x:c>
      <x:c r="C23" s="89" t="n">
        <x:v>1835782</x:v>
      </x:c>
      <x:c r="D23" s="75" t="str"/>
    </x:row>
    <x:row r="24">
      <x:c r="A24" s="74" t="str">
        <x:v>영업2팀</x:v>
      </x:c>
      <x:c r="B24" s="70" t="str">
        <x:v>통신비</x:v>
      </x:c>
      <x:c r="C24" s="89" t="n">
        <x:v>2115407</x:v>
      </x:c>
      <x:c r="D24" s="75" t="str"/>
    </x:row>
    <x:row r="25">
      <x:c r="A25" s="74" t="str">
        <x:v>영업2팀</x:v>
      </x:c>
      <x:c r="B25" s="70" t="str">
        <x:v>임차료</x:v>
      </x:c>
      <x:c r="C25" s="89" t="n">
        <x:v>2379897</x:v>
      </x:c>
      <x:c r="D25" s="75" t="str"/>
    </x:row>
    <x:row r="26">
      <x:c r="A26" s="74" t="str">
        <x:v>영업2팀</x:v>
      </x:c>
      <x:c r="B26" s="70" t="str">
        <x:v>운반비</x:v>
      </x:c>
      <x:c r="C26" s="89" t="n">
        <x:v>2209629</x:v>
      </x:c>
      <x:c r="D26" s="75" t="str"/>
    </x:row>
    <x:row r="27">
      <x:c r="A27" s="74" t="str">
        <x:v>영업2팀</x:v>
      </x:c>
      <x:c r="B27" s="70" t="str">
        <x:v>교육훈련비</x:v>
      </x:c>
      <x:c r="C27" s="89" t="n">
        <x:v>2409407</x:v>
      </x:c>
      <x:c r="D27" s="75" t="str"/>
    </x:row>
    <x:row r="28">
      <x:c r="A28" s="74" t="str">
        <x:v>영업2팀</x:v>
      </x:c>
      <x:c r="B28" s="70" t="str">
        <x:v>수선비</x:v>
      </x:c>
      <x:c r="C28" s="89" t="n">
        <x:v>2605325</x:v>
      </x:c>
      <x:c r="D28" s="75" t="str"/>
    </x:row>
    <x:row r="29">
      <x:c r="A29" s="74" t="str">
        <x:v>영업2팀</x:v>
      </x:c>
      <x:c r="B29" s="70" t="str">
        <x:v>기타비용</x:v>
      </x:c>
      <x:c r="C29" s="89" t="n">
        <x:v>2977962</x:v>
      </x:c>
      <x:c r="D29" s="75" t="str"/>
    </x:row>
    <x:row r="30">
      <x:c r="A30" s="74" t="str">
        <x:v>생산팀</x:v>
      </x:c>
      <x:c r="B30" s="70" t="str">
        <x:v>인건비</x:v>
      </x:c>
      <x:c r="C30" s="89" t="n">
        <x:v>1377996</x:v>
      </x:c>
      <x:c r="D30" s="75" t="str"/>
    </x:row>
    <x:row r="31">
      <x:c r="A31" s="74" t="str">
        <x:v>생산팀</x:v>
      </x:c>
      <x:c r="B31" s="70" t="str">
        <x:v>복리후생비</x:v>
      </x:c>
      <x:c r="C31" s="89" t="n">
        <x:v>1539325</x:v>
      </x:c>
      <x:c r="D31" s="75" t="str"/>
    </x:row>
    <x:row r="32">
      <x:c r="A32" s="74" t="str">
        <x:v>생산팀</x:v>
      </x:c>
      <x:c r="B32" s="70" t="str">
        <x:v>광고선전비</x:v>
      </x:c>
      <x:c r="C32" s="89" t="n">
        <x:v>1866715</x:v>
      </x:c>
      <x:c r="D32" s="75" t="str"/>
    </x:row>
    <x:row r="33">
      <x:c r="A33" s="74" t="str">
        <x:v>생산팀</x:v>
      </x:c>
      <x:c r="B33" s="70" t="str">
        <x:v>지급수수료</x:v>
      </x:c>
      <x:c r="C33" s="89" t="n">
        <x:v>1801678</x:v>
      </x:c>
      <x:c r="D33" s="75" t="str"/>
    </x:row>
    <x:row r="34">
      <x:c r="A34" s="74" t="str">
        <x:v>생산팀</x:v>
      </x:c>
      <x:c r="B34" s="70" t="str">
        <x:v>소모품비</x:v>
      </x:c>
      <x:c r="C34" s="89" t="n">
        <x:v>2114336</x:v>
      </x:c>
      <x:c r="D34" s="75" t="str"/>
    </x:row>
    <x:row r="35">
      <x:c r="A35" s="74" t="str">
        <x:v>생산팀</x:v>
      </x:c>
      <x:c r="B35" s="70" t="str">
        <x:v>출장비</x:v>
      </x:c>
      <x:c r="C35" s="89" t="n">
        <x:v>1976685</x:v>
      </x:c>
      <x:c r="D35" s="75" t="str"/>
    </x:row>
    <x:row r="36">
      <x:c r="A36" s="74" t="str">
        <x:v>생산팀</x:v>
      </x:c>
      <x:c r="B36" s="70" t="str">
        <x:v>통신비</x:v>
      </x:c>
      <x:c r="C36" s="89" t="n">
        <x:v>2293561</x:v>
      </x:c>
      <x:c r="D36" s="75" t="str"/>
    </x:row>
    <x:row r="37">
      <x:c r="A37" s="74" t="str">
        <x:v>생산팀</x:v>
      </x:c>
      <x:c r="B37" s="70" t="str">
        <x:v>임차료</x:v>
      </x:c>
      <x:c r="C37" s="89" t="n">
        <x:v>2253481</x:v>
      </x:c>
      <x:c r="D37" s="75" t="str"/>
    </x:row>
    <x:row r="38">
      <x:c r="A38" s="74" t="str">
        <x:v>생산팀</x:v>
      </x:c>
      <x:c r="B38" s="70" t="str">
        <x:v>운반비</x:v>
      </x:c>
      <x:c r="C38" s="89" t="n">
        <x:v>2599489</x:v>
      </x:c>
      <x:c r="D38" s="75" t="str"/>
    </x:row>
    <x:row r="39">
      <x:c r="A39" s="74" t="str">
        <x:v>생산팀</x:v>
      </x:c>
      <x:c r="B39" s="70" t="str">
        <x:v>교육훈련비</x:v>
      </x:c>
      <x:c r="C39" s="89" t="n">
        <x:v>2537361</x:v>
      </x:c>
      <x:c r="D39" s="75" t="str"/>
    </x:row>
    <x:row r="40">
      <x:c r="A40" s="74" t="str">
        <x:v>생산팀</x:v>
      </x:c>
      <x:c r="B40" s="70" t="str">
        <x:v>수선비</x:v>
      </x:c>
      <x:c r="C40" s="89" t="n">
        <x:v>2630651</x:v>
      </x:c>
      <x:c r="D40" s="75" t="str"/>
    </x:row>
    <x:row r="41">
      <x:c r="A41" s="74" t="str">
        <x:v>생산팀</x:v>
      </x:c>
      <x:c r="B41" s="70" t="str">
        <x:v>기타비용</x:v>
      </x:c>
      <x:c r="C41" s="89" t="n">
        <x:v>3237772</x:v>
      </x:c>
      <x:c r="D41" s="75" t="str"/>
    </x:row>
    <x:row r="42">
      <x:c r="A42" s="74" t="str">
        <x:v>관리팀</x:v>
      </x:c>
      <x:c r="B42" s="70" t="str">
        <x:v>인건비</x:v>
      </x:c>
      <x:c r="C42" s="89" t="n">
        <x:v>1730071</x:v>
      </x:c>
      <x:c r="D42" s="75" t="str"/>
    </x:row>
    <x:row r="43">
      <x:c r="A43" s="74" t="str">
        <x:v>관리팀</x:v>
      </x:c>
      <x:c r="B43" s="70" t="str">
        <x:v>복리후생비</x:v>
      </x:c>
      <x:c r="C43" s="89" t="n">
        <x:v>1800138</x:v>
      </x:c>
      <x:c r="D43" s="75" t="str"/>
    </x:row>
    <x:row r="44">
      <x:c r="A44" s="74" t="str">
        <x:v>관리팀</x:v>
      </x:c>
      <x:c r="B44" s="70" t="str">
        <x:v>광고선전비</x:v>
      </x:c>
      <x:c r="C44" s="89" t="n">
        <x:v>1760523</x:v>
      </x:c>
      <x:c r="D44" s="75" t="str"/>
    </x:row>
    <x:row r="45">
      <x:c r="A45" s="74" t="str">
        <x:v>관리팀</x:v>
      </x:c>
      <x:c r="B45" s="70" t="str">
        <x:v>지급수수료</x:v>
      </x:c>
      <x:c r="C45" s="89" t="n">
        <x:v>2062501</x:v>
      </x:c>
      <x:c r="D45" s="75" t="str"/>
    </x:row>
    <x:row r="46">
      <x:c r="A46" s="74" t="str">
        <x:v>관리팀</x:v>
      </x:c>
      <x:c r="B46" s="70" t="str">
        <x:v>소모품비</x:v>
      </x:c>
      <x:c r="C46" s="89" t="n">
        <x:v>1987417</x:v>
      </x:c>
      <x:c r="D46" s="75" t="str"/>
    </x:row>
    <x:row r="47">
      <x:c r="A47" s="74" t="str">
        <x:v>관리팀</x:v>
      </x:c>
      <x:c r="B47" s="70" t="str">
        <x:v>출장비</x:v>
      </x:c>
      <x:c r="C47" s="89" t="n">
        <x:v>2495889</x:v>
      </x:c>
      <x:c r="D47" s="75" t="str"/>
    </x:row>
    <x:row r="48">
      <x:c r="A48" s="74" t="str">
        <x:v>관리팀</x:v>
      </x:c>
      <x:c r="B48" s="70" t="str">
        <x:v>통신비</x:v>
      </x:c>
      <x:c r="C48" s="89" t="n">
        <x:v>2483495</x:v>
      </x:c>
      <x:c r="D48" s="75" t="str"/>
    </x:row>
    <x:row r="49">
      <x:c r="A49" s="74" t="str">
        <x:v>관리팀</x:v>
      </x:c>
      <x:c r="B49" s="70" t="str">
        <x:v>임차료</x:v>
      </x:c>
      <x:c r="C49" s="89" t="n">
        <x:v>2429362</x:v>
      </x:c>
      <x:c r="D49" s="75" t="str"/>
    </x:row>
    <x:row r="50">
      <x:c r="A50" s="74" t="str">
        <x:v>관리팀</x:v>
      </x:c>
      <x:c r="B50" s="70" t="str">
        <x:v>운반비</x:v>
      </x:c>
      <x:c r="C50" s="89" t="n">
        <x:v>2728421</x:v>
      </x:c>
      <x:c r="D50" s="75" t="str"/>
    </x:row>
    <x:row r="51">
      <x:c r="A51" s="74" t="str">
        <x:v>관리팀</x:v>
      </x:c>
      <x:c r="B51" s="70" t="str">
        <x:v>교육훈련비</x:v>
      </x:c>
      <x:c r="C51" s="89" t="n">
        <x:v>3097388</x:v>
      </x:c>
      <x:c r="D51" s="75" t="str"/>
    </x:row>
    <x:row r="52">
      <x:c r="A52" s="74" t="str">
        <x:v>관리팀</x:v>
      </x:c>
      <x:c r="B52" s="70" t="str">
        <x:v>수선비</x:v>
      </x:c>
      <x:c r="C52" s="89" t="n">
        <x:v>3293436</x:v>
      </x:c>
      <x:c r="D52" s="75" t="str"/>
    </x:row>
    <x:row r="53">
      <x:c r="A53" s="76" t="str">
        <x:v>관리팀</x:v>
      </x:c>
      <x:c r="B53" s="77" t="str">
        <x:v>기타비용</x:v>
      </x:c>
      <x:c r="C53" s="90" t="n">
        <x:v>3176702</x:v>
      </x:c>
      <x:c r="D53" s="78" t="str"/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0" customHeight="1">
      <x:c r="A1" s="5" t="str">
        <x:v>부서별 예산 대비 실적</x:v>
      </x:c>
      <x:c r="B1" s="5"/>
      <x:c r="C1" s="5"/>
      <x:c r="D1" s="5"/>
      <x:c r="E1" s="5"/>
      <x:c r="F1" s="5"/>
    </x:row>
    <x:row r="2" ht="24" customHeight="1">
      <x:c r="A2" s="12" t="str">
        <x:v>부서와 계정 기준으로 예산·실적을 집계하고 차이와 달성률을 계산합니다.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부서</x:v>
      </x:c>
      <x:c r="B5" s="65" t="str">
        <x:v>계정</x:v>
      </x:c>
      <x:c r="C5" s="65" t="str">
        <x:v>예산</x:v>
      </x:c>
      <x:c r="D5" s="65" t="str">
        <x:v>실적</x:v>
      </x:c>
      <x:c r="E5" s="65" t="str">
        <x:v>차이</x:v>
      </x:c>
      <x:c r="F5" s="31" t="str">
        <x:v>달성률</x:v>
      </x:c>
    </x:row>
    <x:row r="6">
      <x:c r="A6" s="71" t="str">
        <x:v>영업1팀</x:v>
      </x:c>
      <x:c r="B6" s="73" t="str">
        <x:v>인건비</x:v>
      </x:c>
      <x:c r="C6" s="150" t="n">
        <x:f>SUMIFS('예산'!$C$6:$C$53,'예산'!$A$6:$A$53,A6,'예산'!$B$6:$B$53,B6)</x:f>
        <x:v>1115905</x:v>
      </x:c>
      <x:c r="D6" s="151" t="n">
        <x:f>SUMIFS('실적'!$C$6:$C$53,'실적'!$A$6:$A$53,A6,'실적'!$B$6:$B$53,B6)</x:f>
        <x:v>1185593</x:v>
      </x:c>
      <x:c r="E6" s="151" t="n">
        <x:f>D6-C6</x:f>
        <x:v>69688</x:v>
      </x:c>
      <x:c r="F6" s="162" t="n">
        <x:f>IFERROR(D6/C6,0)</x:f>
        <x:v>1.062449760508287</x:v>
      </x:c>
    </x:row>
    <x:row r="7">
      <x:c r="A7" s="74" t="str">
        <x:v>영업1팀</x:v>
      </x:c>
      <x:c r="B7" s="75" t="str">
        <x:v>복리후생비</x:v>
      </x:c>
      <x:c r="C7" s="152" t="n">
        <x:f>SUMIFS('예산'!$C$6:$C$53,'예산'!$A$6:$A$53,A7,'예산'!$B$6:$B$53,B7)</x:f>
        <x:v>1442963</x:v>
      </x:c>
      <x:c r="D7" s="153" t="n">
        <x:f>SUMIFS('실적'!$C$6:$C$53,'실적'!$A$6:$A$53,A7,'실적'!$B$6:$B$53,B7)</x:f>
        <x:v>1319725</x:v>
      </x:c>
      <x:c r="E7" s="153" t="n">
        <x:f>D7-C7</x:f>
        <x:v>-123238</x:v>
      </x:c>
      <x:c r="F7" s="163" t="n">
        <x:f>IFERROR(D7/C7,0)</x:f>
        <x:v>0.9145937906931778</x:v>
      </x:c>
    </x:row>
    <x:row r="8">
      <x:c r="A8" s="74" t="str">
        <x:v>영업1팀</x:v>
      </x:c>
      <x:c r="B8" s="75" t="str">
        <x:v>광고선전비</x:v>
      </x:c>
      <x:c r="C8" s="152" t="n">
        <x:f>SUMIFS('예산'!$C$6:$C$53,'예산'!$A$6:$A$53,A8,'예산'!$B$6:$B$53,B8)</x:f>
        <x:v>1434150</x:v>
      </x:c>
      <x:c r="D8" s="153" t="n">
        <x:f>SUMIFS('실적'!$C$6:$C$53,'실적'!$A$6:$A$53,A8,'실적'!$B$6:$B$53,B8)</x:f>
        <x:v>1414305</x:v>
      </x:c>
      <x:c r="E8" s="153" t="n">
        <x:f>D8-C8</x:f>
        <x:v>-19845</x:v>
      </x:c>
      <x:c r="F8" s="163" t="n">
        <x:f>IFERROR(D8/C8,0)</x:f>
        <x:v>0.9861625352996548</x:v>
      </x:c>
    </x:row>
    <x:row r="9">
      <x:c r="A9" s="74" t="str">
        <x:v>영업1팀</x:v>
      </x:c>
      <x:c r="B9" s="75" t="str">
        <x:v>지급수수료</x:v>
      </x:c>
      <x:c r="C9" s="152" t="n">
        <x:f>SUMIFS('예산'!$C$6:$C$53,'예산'!$A$6:$A$53,A9,'예산'!$B$6:$B$53,B9)</x:f>
        <x:v>1716545</x:v>
      </x:c>
      <x:c r="D9" s="153" t="n">
        <x:f>SUMIFS('실적'!$C$6:$C$53,'실적'!$A$6:$A$53,A9,'실적'!$B$6:$B$53,B9)</x:f>
        <x:v>1554366</x:v>
      </x:c>
      <x:c r="E9" s="153" t="n">
        <x:f>D9-C9</x:f>
        <x:v>-162179</x:v>
      </x:c>
      <x:c r="F9" s="163" t="n">
        <x:f>IFERROR(D9/C9,0)</x:f>
        <x:v>0.9055200999682502</x:v>
      </x:c>
    </x:row>
    <x:row r="10">
      <x:c r="A10" s="74" t="str">
        <x:v>영업1팀</x:v>
      </x:c>
      <x:c r="B10" s="75" t="str">
        <x:v>소모품비</x:v>
      </x:c>
      <x:c r="C10" s="152" t="n">
        <x:f>SUMIFS('예산'!$C$6:$C$53,'예산'!$A$6:$A$53,A10,'예산'!$B$6:$B$53,B10)</x:f>
        <x:v>1725799</x:v>
      </x:c>
      <x:c r="D10" s="153" t="n">
        <x:f>SUMIFS('실적'!$C$6:$C$53,'실적'!$A$6:$A$53,A10,'실적'!$B$6:$B$53,B10)</x:f>
        <x:v>1702247</x:v>
      </x:c>
      <x:c r="E10" s="153" t="n">
        <x:f>D10-C10</x:f>
        <x:v>-23552</x:v>
      </x:c>
      <x:c r="F10" s="163" t="n">
        <x:f>IFERROR(D10/C10,0)</x:f>
        <x:v>0.9863529878044894</x:v>
      </x:c>
    </x:row>
    <x:row r="11">
      <x:c r="A11" s="74" t="str">
        <x:v>영업1팀</x:v>
      </x:c>
      <x:c r="B11" s="75" t="str">
        <x:v>출장비</x:v>
      </x:c>
      <x:c r="C11" s="152" t="n">
        <x:f>SUMIFS('예산'!$C$6:$C$53,'예산'!$A$6:$A$53,A11,'예산'!$B$6:$B$53,B11)</x:f>
        <x:v>2065055</x:v>
      </x:c>
      <x:c r="D11" s="153" t="n">
        <x:f>SUMIFS('실적'!$C$6:$C$53,'실적'!$A$6:$A$53,A11,'실적'!$B$6:$B$53,B11)</x:f>
        <x:v>1639286</x:v>
      </x:c>
      <x:c r="E11" s="153" t="n">
        <x:f>D11-C11</x:f>
        <x:v>-425769</x:v>
      </x:c>
      <x:c r="F11" s="163" t="n">
        <x:f>IFERROR(D11/C11,0)</x:f>
        <x:v>0.7938219563159334</x:v>
      </x:c>
    </x:row>
    <x:row r="12">
      <x:c r="A12" s="74" t="str">
        <x:v>영업1팀</x:v>
      </x:c>
      <x:c r="B12" s="75" t="str">
        <x:v>통신비</x:v>
      </x:c>
      <x:c r="C12" s="152" t="n">
        <x:f>SUMIFS('예산'!$C$6:$C$53,'예산'!$A$6:$A$53,A12,'예산'!$B$6:$B$53,B12)</x:f>
        <x:v>2160716</x:v>
      </x:c>
      <x:c r="D12" s="153" t="n">
        <x:v>1850000</x:v>
      </x:c>
      <x:c r="E12" s="153" t="n">
        <x:f>D12-C12</x:f>
        <x:v>-310716</x:v>
      </x:c>
      <x:c r="F12" s="163" t="n">
        <x:f>IFERROR(D12/C12,0)</x:f>
        <x:v>0.8561976678101147</x:v>
      </x:c>
    </x:row>
    <x:row r="13">
      <x:c r="A13" s="74" t="str">
        <x:v>영업1팀</x:v>
      </x:c>
      <x:c r="B13" s="75" t="str">
        <x:v>임차료</x:v>
      </x:c>
      <x:c r="C13" s="152" t="n">
        <x:f>SUMIFS('예산'!$C$6:$C$53,'예산'!$A$6:$A$53,A13,'예산'!$B$6:$B$53,B13)</x:f>
        <x:v>2052221</x:v>
      </x:c>
      <x:c r="D13" s="153" t="n">
        <x:f>SUMIFS('실적'!$C$6:$C$53,'실적'!$A$6:$A$53,A13,'실적'!$B$6:$B$53,B13)</x:f>
        <x:v>2261058</x:v>
      </x:c>
      <x:c r="E13" s="153" t="n">
        <x:f>D13-C13</x:f>
        <x:v>208837</x:v>
      </x:c>
      <x:c r="F13" s="163" t="n">
        <x:f>IFERROR(D13/C13,0)</x:f>
        <x:v>1.1017614574648638</x:v>
      </x:c>
    </x:row>
    <x:row r="14">
      <x:c r="A14" s="74" t="str">
        <x:v>영업1팀</x:v>
      </x:c>
      <x:c r="B14" s="75" t="str">
        <x:v>운반비</x:v>
      </x:c>
      <x:c r="C14" s="152" t="n">
        <x:f>SUMIFS('예산'!$C$6:$C$53,'예산'!$A$6:$A$53,A14,'예산'!$B$6:$B$53,B14)</x:f>
        <x:v>2620388</x:v>
      </x:c>
      <x:c r="D14" s="153" t="n">
        <x:f>SUMIFS('실적'!$C$6:$C$53,'실적'!$A$6:$A$53,A14,'실적'!$B$6:$B$53,B14)</x:f>
        <x:v>2210508</x:v>
      </x:c>
      <x:c r="E14" s="153" t="n">
        <x:f>D14-C14</x:f>
        <x:v>-409880</x:v>
      </x:c>
      <x:c r="F14" s="163" t="n">
        <x:f>IFERROR(D14/C14,0)</x:f>
        <x:v>0.8435804163352908</x:v>
      </x:c>
    </x:row>
    <x:row r="15">
      <x:c r="A15" s="74" t="str">
        <x:v>영업1팀</x:v>
      </x:c>
      <x:c r="B15" s="75" t="str">
        <x:v>교육훈련비</x:v>
      </x:c>
      <x:c r="C15" s="152" t="n">
        <x:f>SUMIFS('예산'!$C$6:$C$53,'예산'!$A$6:$A$53,A15,'예산'!$B$6:$B$53,B15)</x:f>
        <x:v>2724904</x:v>
      </x:c>
      <x:c r="D15" s="153" t="n">
        <x:f>SUMIFS('실적'!$C$6:$C$53,'실적'!$A$6:$A$53,A15,'실적'!$B$6:$B$53,B15)</x:f>
        <x:v>2164121</x:v>
      </x:c>
      <x:c r="E15" s="153" t="n">
        <x:f>D15-C15</x:f>
        <x:v>-560783</x:v>
      </x:c>
      <x:c r="F15" s="163" t="n">
        <x:f>IFERROR(D15/C15,0)</x:f>
        <x:v>0.7942008232216621</x:v>
      </x:c>
    </x:row>
    <x:row r="16">
      <x:c r="A16" s="74" t="str">
        <x:v>영업1팀</x:v>
      </x:c>
      <x:c r="B16" s="75" t="str">
        <x:v>수선비</x:v>
      </x:c>
      <x:c r="C16" s="152" t="n">
        <x:f>SUMIFS('예산'!$C$6:$C$53,'예산'!$A$6:$A$53,A16,'예산'!$B$6:$B$53,B16)</x:f>
        <x:v>2648386</x:v>
      </x:c>
      <x:c r="D16" s="153" t="n">
        <x:f>SUMIFS('실적'!$C$6:$C$53,'실적'!$A$6:$A$53,A16,'실적'!$B$6:$B$53,B16)</x:f>
        <x:v>2458007</x:v>
      </x:c>
      <x:c r="E16" s="153" t="n">
        <x:f>D16-C16</x:f>
        <x:v>-190379</x:v>
      </x:c>
      <x:c r="F16" s="163" t="n">
        <x:f>IFERROR(D16/C16,0)</x:f>
        <x:v>0.9281150859429101</x:v>
      </x:c>
    </x:row>
    <x:row r="17">
      <x:c r="A17" s="74" t="str">
        <x:v>영업1팀</x:v>
      </x:c>
      <x:c r="B17" s="75" t="str">
        <x:v>기타비용</x:v>
      </x:c>
      <x:c r="C17" s="152" t="n">
        <x:f>SUMIFS('예산'!$C$6:$C$53,'예산'!$A$6:$A$53,A17,'예산'!$B$6:$B$53,B17)</x:f>
        <x:v>2870300</x:v>
      </x:c>
      <x:c r="D17" s="153" t="n">
        <x:f>SUMIFS('실적'!$C$6:$C$53,'실적'!$A$6:$A$53,A17,'실적'!$B$6:$B$53,B17)</x:f>
        <x:v>2402910</x:v>
      </x:c>
      <x:c r="E17" s="153" t="n">
        <x:f>D17-C17</x:f>
        <x:v>-467390</x:v>
      </x:c>
      <x:c r="F17" s="163" t="n">
        <x:f>IFERROR(D17/C17,0)</x:f>
        <x:v>0.8371633627146988</x:v>
      </x:c>
    </x:row>
    <x:row r="18">
      <x:c r="A18" s="96" t="str">
        <x:v>영업1팀 소계</x:v>
      </x:c>
      <x:c r="B18" s="141" t="str"/>
      <x:c r="C18" s="154" t="n">
        <x:f>SUM(C6:C17)</x:f>
        <x:v>24577332</x:v>
      </x:c>
      <x:c r="D18" s="155" t="n">
        <x:f>SUM(D6:D17)</x:f>
        <x:v>22162126</x:v>
      </x:c>
      <x:c r="E18" s="155" t="n">
        <x:f>D18-C18</x:f>
        <x:v>-2415206</x:v>
      </x:c>
      <x:c r="F18" s="164" t="n">
        <x:f>IFERROR(D18/C18,0)</x:f>
        <x:v>0.9017303424147096</x:v>
      </x:c>
    </x:row>
    <x:row r="19">
      <x:c r="A19" s="74" t="str">
        <x:v>영업2팀</x:v>
      </x:c>
      <x:c r="B19" s="75" t="str">
        <x:v>인건비</x:v>
      </x:c>
      <x:c r="C19" s="152" t="n">
        <x:f>SUMIFS('예산'!$C$6:$C$53,'예산'!$A$6:$A$53,A19,'예산'!$B$6:$B$53,B19)</x:f>
        <x:v>1462119</x:v>
      </x:c>
      <x:c r="D19" s="153" t="n">
        <x:f>SUMIFS('실적'!$C$6:$C$53,'실적'!$A$6:$A$53,A19,'실적'!$B$6:$B$53,B19)</x:f>
        <x:v>1333405</x:v>
      </x:c>
      <x:c r="E19" s="153" t="n">
        <x:f>D19-C19</x:f>
        <x:v>-128714</x:v>
      </x:c>
      <x:c r="F19" s="163" t="n">
        <x:f>IFERROR(D19/C19,0)</x:f>
        <x:v>0.9119674937539284</x:v>
      </x:c>
    </x:row>
    <x:row r="20">
      <x:c r="A20" s="74" t="str">
        <x:v>영업2팀</x:v>
      </x:c>
      <x:c r="B20" s="75" t="str">
        <x:v>복리후생비</x:v>
      </x:c>
      <x:c r="C20" s="152" t="n">
        <x:f>SUMIFS('예산'!$C$6:$C$53,'예산'!$A$6:$A$53,A20,'예산'!$B$6:$B$53,B20)</x:f>
        <x:v>1626385</x:v>
      </x:c>
      <x:c r="D20" s="153" t="n">
        <x:f>SUMIFS('실적'!$C$6:$C$53,'실적'!$A$6:$A$53,A20,'실적'!$B$6:$B$53,B20)</x:f>
        <x:v>1380122</x:v>
      </x:c>
      <x:c r="E20" s="153" t="n">
        <x:f>D20-C20</x:f>
        <x:v>-246263</x:v>
      </x:c>
      <x:c r="F20" s="163" t="n">
        <x:f>IFERROR(D20/C20,0)</x:f>
        <x:v>0.8485825926825444</x:v>
      </x:c>
    </x:row>
    <x:row r="21">
      <x:c r="A21" s="74" t="str">
        <x:v>영업2팀</x:v>
      </x:c>
      <x:c r="B21" s="75" t="str">
        <x:v>광고선전비</x:v>
      </x:c>
      <x:c r="C21" s="152" t="n">
        <x:f>SUMIFS('예산'!$C$6:$C$53,'예산'!$A$6:$A$53,A21,'예산'!$B$6:$B$53,B21)</x:f>
        <x:v>1816133</x:v>
      </x:c>
      <x:c r="D21" s="153" t="n">
        <x:f>SUMIFS('실적'!$C$6:$C$53,'실적'!$A$6:$A$53,A21,'실적'!$B$6:$B$53,B21)</x:f>
        <x:v>1714342</x:v>
      </x:c>
      <x:c r="E21" s="153" t="n">
        <x:f>D21-C21</x:f>
        <x:v>-101791</x:v>
      </x:c>
      <x:c r="F21" s="163" t="n">
        <x:f>IFERROR(D21/C21,0)</x:f>
        <x:v>0.9439517920769018</x:v>
      </x:c>
    </x:row>
    <x:row r="22">
      <x:c r="A22" s="74" t="str">
        <x:v>영업2팀</x:v>
      </x:c>
      <x:c r="B22" s="75" t="str">
        <x:v>지급수수료</x:v>
      </x:c>
      <x:c r="C22" s="152" t="n">
        <x:f>SUMIFS('예산'!$C$6:$C$53,'예산'!$A$6:$A$53,A22,'예산'!$B$6:$B$53,B22)</x:f>
        <x:v>2023175</x:v>
      </x:c>
      <x:c r="D22" s="153" t="n">
        <x:f>SUMIFS('실적'!$C$6:$C$53,'실적'!$A$6:$A$53,A22,'실적'!$B$6:$B$53,B22)</x:f>
        <x:v>1848957</x:v>
      </x:c>
      <x:c r="E22" s="153" t="n">
        <x:f>D22-C22</x:f>
        <x:v>-174218</x:v>
      </x:c>
      <x:c r="F22" s="163" t="n">
        <x:f>IFERROR(D22/C22,0)</x:f>
        <x:v>0.913888813375017</x:v>
      </x:c>
    </x:row>
    <x:row r="23">
      <x:c r="A23" s="74" t="str">
        <x:v>영업2팀</x:v>
      </x:c>
      <x:c r="B23" s="75" t="str">
        <x:v>소모품비</x:v>
      </x:c>
      <x:c r="C23" s="152" t="n">
        <x:f>SUMIFS('예산'!$C$6:$C$53,'예산'!$A$6:$A$53,A23,'예산'!$B$6:$B$53,B23)</x:f>
        <x:v>2173095</x:v>
      </x:c>
      <x:c r="D23" s="153" t="n">
        <x:f>SUMIFS('실적'!$C$6:$C$53,'실적'!$A$6:$A$53,A23,'실적'!$B$6:$B$53,B23)</x:f>
        <x:v>1860213</x:v>
      </x:c>
      <x:c r="E23" s="153" t="n">
        <x:f>D23-C23</x:f>
        <x:v>-312882</x:v>
      </x:c>
      <x:c r="F23" s="163" t="n">
        <x:f>IFERROR(D23/C23,0)</x:f>
        <x:v>0.8560201003637669</x:v>
      </x:c>
    </x:row>
    <x:row r="24">
      <x:c r="A24" s="74" t="str">
        <x:v>영업2팀</x:v>
      </x:c>
      <x:c r="B24" s="75" t="str">
        <x:v>출장비</x:v>
      </x:c>
      <x:c r="C24" s="152" t="n">
        <x:f>SUMIFS('예산'!$C$6:$C$53,'예산'!$A$6:$A$53,A24,'예산'!$B$6:$B$53,B24)</x:f>
        <x:v>2042180</x:v>
      </x:c>
      <x:c r="D24" s="153" t="n">
        <x:f>SUMIFS('실적'!$C$6:$C$53,'실적'!$A$6:$A$53,A24,'실적'!$B$6:$B$53,B24)</x:f>
        <x:v>1835782</x:v>
      </x:c>
      <x:c r="E24" s="153" t="n">
        <x:f>D24-C24</x:f>
        <x:v>-206398</x:v>
      </x:c>
      <x:c r="F24" s="163" t="n">
        <x:f>IFERROR(D24/C24,0)</x:f>
        <x:v>0.8989325132946165</x:v>
      </x:c>
    </x:row>
    <x:row r="25">
      <x:c r="A25" s="74" t="str">
        <x:v>영업2팀</x:v>
      </x:c>
      <x:c r="B25" s="75" t="str">
        <x:v>통신비</x:v>
      </x:c>
      <x:c r="C25" s="152" t="n">
        <x:f>SUMIFS('예산'!$C$6:$C$53,'예산'!$A$6:$A$53,A25,'예산'!$B$6:$B$53,B25)</x:f>
        <x:v>2079161</x:v>
      </x:c>
      <x:c r="D25" s="153" t="n">
        <x:f>SUMIFS('실적'!$C$6:$C$53,'실적'!$A$6:$A$53,A25,'실적'!$B$6:$B$53,B25)</x:f>
        <x:v>2115407</x:v>
      </x:c>
      <x:c r="E25" s="153" t="n">
        <x:f>D24-C25</x:f>
        <x:v>-243379</x:v>
      </x:c>
      <x:c r="F25" s="163" t="n">
        <x:f>IFERROR(D25/C25,0)</x:f>
        <x:v>1.0174329934045512</x:v>
      </x:c>
    </x:row>
    <x:row r="26">
      <x:c r="A26" s="74" t="str">
        <x:v>영업2팀</x:v>
      </x:c>
      <x:c r="B26" s="75" t="str">
        <x:v>임차료</x:v>
      </x:c>
      <x:c r="C26" s="152" t="n">
        <x:f>SUMIFS('예산'!$C$6:$C$53,'예산'!$A$6:$A$53,A26,'예산'!$B$6:$B$53,B26)</x:f>
        <x:v>2342400</x:v>
      </x:c>
      <x:c r="D26" s="153" t="n">
        <x:f>SUMIFS('실적'!$C$6:$C$53,'실적'!$A$6:$A$53,A26,'실적'!$B$6:$B$53,B26)</x:f>
        <x:v>2379897</x:v>
      </x:c>
      <x:c r="E26" s="153" t="n">
        <x:f>D26-C26</x:f>
        <x:v>37497</x:v>
      </x:c>
      <x:c r="F26" s="163" t="n">
        <x:f>IFERROR(D26/C26,0)</x:f>
        <x:v>1.0160079405737705</x:v>
      </x:c>
    </x:row>
    <x:row r="27">
      <x:c r="A27" s="74" t="str">
        <x:v>영업2팀</x:v>
      </x:c>
      <x:c r="B27" s="75" t="str">
        <x:v>운반비</x:v>
      </x:c>
      <x:c r="C27" s="152" t="n">
        <x:f>SUMIFS('예산'!$C$6:$C$53,'예산'!$A$6:$A$53,A27,'예산'!$B$6:$B$53,B27)</x:f>
        <x:v>2450772</x:v>
      </x:c>
      <x:c r="D27" s="153" t="n">
        <x:f>SUMIFS('실적'!$C$6:$C$53,'실적'!$A$6:$A$53,A27,'실적'!$B$6:$B$53,B27)</x:f>
        <x:v>2209629</x:v>
      </x:c>
      <x:c r="E27" s="153" t="n">
        <x:f>D27-C27</x:f>
        <x:v>-241143</x:v>
      </x:c>
      <x:c r="F27" s="163" t="n">
        <x:f>IFERROR(D27/C27,0)</x:f>
        <x:v>0.9016052900881845</x:v>
      </x:c>
    </x:row>
    <x:row r="28">
      <x:c r="A28" s="74" t="str">
        <x:v>영업2팀</x:v>
      </x:c>
      <x:c r="B28" s="75" t="str">
        <x:v>교육훈련비</x:v>
      </x:c>
      <x:c r="C28" s="152" t="n">
        <x:f>SUMIFS('예산'!$C$6:$C$53,'예산'!$A$6:$A$53,A28,'예산'!$B$6:$B$53,B28)</x:f>
        <x:v>2894723</x:v>
      </x:c>
      <x:c r="D28" s="153" t="n">
        <x:f>SUMIFS('실적'!$C$6:$C$53,'실적'!$A$6:$A$53,A28,'실적'!$B$6:$B$53,B28)</x:f>
        <x:v>2409407</x:v>
      </x:c>
      <x:c r="E28" s="153" t="n">
        <x:f>D28-C28</x:f>
        <x:v>-485316</x:v>
      </x:c>
      <x:c r="F28" s="163" t="n">
        <x:f>IFERROR(D28/C28,0)</x:f>
        <x:v>0.8323445801204468</x:v>
      </x:c>
    </x:row>
    <x:row r="29">
      <x:c r="A29" s="74" t="str">
        <x:v>영업2팀</x:v>
      </x:c>
      <x:c r="B29" s="75" t="str">
        <x:v>수선비</x:v>
      </x:c>
      <x:c r="C29" s="152" t="n">
        <x:f>SUMIFS('예산'!$C$6:$C$53,'예산'!$A$6:$A$53,A29,'예산'!$B$6:$B$53,B29)</x:f>
        <x:v>3057272</x:v>
      </x:c>
      <x:c r="D29" s="153" t="n">
        <x:f>SUMIFS('실적'!$C$6:$C$53,'실적'!$A$6:$A$53,A29,'실적'!$B$6:$B$53,B29)</x:f>
        <x:v>2605325</x:v>
      </x:c>
      <x:c r="E29" s="153" t="n">
        <x:f>D29-C29</x:f>
        <x:v>-451947</x:v>
      </x:c>
      <x:c r="F29" s="163" t="n">
        <x:f>IFERROR(D29/C29,0)</x:f>
        <x:v>0.8521731138086504</x:v>
      </x:c>
    </x:row>
    <x:row r="30">
      <x:c r="A30" s="74" t="str">
        <x:v>영업2팀</x:v>
      </x:c>
      <x:c r="B30" s="75" t="str">
        <x:v>기타비용</x:v>
      </x:c>
      <x:c r="C30" s="152" t="n">
        <x:f>SUMIFS('예산'!$C$6:$C$53,'예산'!$A$6:$A$53,A30,'예산'!$B$6:$B$53,B30)</x:f>
        <x:v>3340973</x:v>
      </x:c>
      <x:c r="D30" s="153" t="n">
        <x:f>SUMIFS('실적'!$C$6:$C$53,'실적'!$A$6:$A$53,A30,'실적'!$B$6:$B$53,B30)</x:f>
        <x:v>2977962</x:v>
      </x:c>
      <x:c r="E30" s="153" t="n">
        <x:f>D30-C30</x:f>
        <x:v>-363011</x:v>
      </x:c>
      <x:c r="F30" s="163" t="n">
        <x:f>IFERROR(D30/C30,0)</x:f>
        <x:v>0.8913457247334833</x:v>
      </x:c>
    </x:row>
    <x:row r="31">
      <x:c r="A31" s="96" t="str">
        <x:v>영업2팀 소계</x:v>
      </x:c>
      <x:c r="B31" s="141" t="str"/>
      <x:c r="C31" s="154" t="n">
        <x:f>SUM(C19:C30)</x:f>
        <x:v>27308388</x:v>
      </x:c>
      <x:c r="D31" s="155" t="n">
        <x:f>SUM(D19:D30)</x:f>
        <x:v>24670448</x:v>
      </x:c>
      <x:c r="E31" s="155" t="n">
        <x:f>D31-C31</x:f>
        <x:v>-2637940</x:v>
      </x:c>
      <x:c r="F31" s="164" t="n">
        <x:f>IFERROR(D31/C31,0)</x:f>
        <x:v>0.9034018412218253</x:v>
      </x:c>
    </x:row>
    <x:row r="32">
      <x:c r="A32" s="74" t="str">
        <x:v>생산팀</x:v>
      </x:c>
      <x:c r="B32" s="75" t="str">
        <x:v>인건비</x:v>
      </x:c>
      <x:c r="C32" s="152" t="n">
        <x:f>SUMIFS('예산'!$C$6:$C$53,'예산'!$A$6:$A$53,A32,'예산'!$B$6:$B$53,B32)</x:f>
        <x:v>1714250</x:v>
      </x:c>
      <x:c r="D32" s="153" t="n">
        <x:f>SUMIFS('실적'!$C$6:$C$53,'실적'!$A$6:$A$53,A32,'실적'!$B$6:$B$53,B32)</x:f>
        <x:v>1377996</x:v>
      </x:c>
      <x:c r="E32" s="153" t="n">
        <x:f>D32-C32</x:f>
        <x:v>-336254</x:v>
      </x:c>
      <x:c r="F32" s="163" t="n">
        <x:f>IFERROR(D32/C32,0)</x:f>
        <x:v>0.8038477468280589</x:v>
      </x:c>
    </x:row>
    <x:row r="33">
      <x:c r="A33" s="74" t="str">
        <x:v>생산팀</x:v>
      </x:c>
      <x:c r="B33" s="75" t="str">
        <x:v>복리후생비</x:v>
      </x:c>
      <x:c r="C33" s="152" t="n">
        <x:f>SUMIFS('예산'!$C$6:$C$53,'예산'!$A$6:$A$53,A33,'예산'!$B$6:$B$53,B33)</x:f>
        <x:v>1846953</x:v>
      </x:c>
      <x:c r="D33" s="153" t="n">
        <x:f>SUMIFS('실적'!$C$6:$C$53,'실적'!$A$6:$A$53,A33,'실적'!$B$6:$B$53,B33)</x:f>
        <x:v>1539325</x:v>
      </x:c>
      <x:c r="E33" s="153" t="n">
        <x:f>D33-C33</x:f>
        <x:v>-307628</x:v>
      </x:c>
      <x:c r="F33" s="163" t="n">
        <x:f>IFERROR(D33/C33,0)</x:f>
        <x:v>0.8334402662114304</x:v>
      </x:c>
    </x:row>
    <x:row r="34">
      <x:c r="A34" s="74" t="str">
        <x:v>생산팀</x:v>
      </x:c>
      <x:c r="B34" s="75" t="str">
        <x:v>광고선전비</x:v>
      </x:c>
      <x:c r="C34" s="152" t="n">
        <x:f>SUMIFS('예산'!$C$6:$C$53,'예산'!$A$6:$A$53,A34,'예산'!$B$6:$B$53,B34)</x:f>
        <x:v>2086688</x:v>
      </x:c>
      <x:c r="D34" s="153" t="n">
        <x:f>SUMIFS('실적'!$C$6:$C$53,'실적'!$A$6:$A$53,A34,'실적'!$B$6:$B$53,B34)</x:f>
        <x:v>1866715</x:v>
      </x:c>
      <x:c r="E34" s="153" t="n">
        <x:f>D34-C34</x:f>
        <x:v>-219973</x:v>
      </x:c>
      <x:c r="F34" s="163" t="n">
        <x:f>IFERROR(D34/C34,0)</x:f>
        <x:v>0.8945827071416522</x:v>
      </x:c>
    </x:row>
    <x:row r="35">
      <x:c r="A35" s="74" t="str">
        <x:v>생산팀</x:v>
      </x:c>
      <x:c r="B35" s="75" t="str">
        <x:v>지급수수료</x:v>
      </x:c>
      <x:c r="C35" s="152" t="n">
        <x:f>SUMIFS('예산'!$C$6:$C$53,'예산'!$A$6:$A$53,A35,'예산'!$B$6:$B$53,B35)</x:f>
        <x:v>2149200</x:v>
      </x:c>
      <x:c r="D35" s="153" t="n">
        <x:f>SUMIFS('실적'!$C$6:$C$53,'실적'!$A$6:$A$53,A35,'실적'!$B$6:$B$53,B35)</x:f>
        <x:v>1801678</x:v>
      </x:c>
      <x:c r="E35" s="153" t="n">
        <x:f>D35-C35</x:f>
        <x:v>-347522</x:v>
      </x:c>
      <x:c r="F35" s="163" t="n">
        <x:f>IFERROR(D35/C35,0)</x:f>
        <x:v>0.8383016936534524</x:v>
      </x:c>
    </x:row>
    <x:row r="36">
      <x:c r="A36" s="74" t="str">
        <x:v>생산팀</x:v>
      </x:c>
      <x:c r="B36" s="75" t="str">
        <x:v>소모품비</x:v>
      </x:c>
      <x:c r="C36" s="152" t="n">
        <x:f>SUMIFS('예산'!$C$6:$C$53,'예산'!$A$6:$A$53,A36,'예산'!$B$6:$B$53,B36)</x:f>
        <x:v>2148102</x:v>
      </x:c>
      <x:c r="D36" s="153" t="n">
        <x:f>SUMIFS('실적'!$C$6:$C$53,'실적'!$A$6:$A$53,A36,'실적'!$B$6:$B$53,B36)</x:f>
        <x:v>2114336</x:v>
      </x:c>
      <x:c r="E36" s="153" t="n">
        <x:f>D36-C36</x:f>
        <x:v>-33766</x:v>
      </x:c>
      <x:c r="F36" s="163" t="n">
        <x:f>IFERROR(D36/C36,0)</x:f>
        <x:v>0.9842810071402568</x:v>
      </x:c>
    </x:row>
    <x:row r="37">
      <x:c r="A37" s="74" t="str">
        <x:v>생산팀</x:v>
      </x:c>
      <x:c r="B37" s="75" t="str">
        <x:v>출장비</x:v>
      </x:c>
      <x:c r="C37" s="152" t="n">
        <x:f>SUMIFS('예산'!$C$6:$C$53,'예산'!$A$6:$A$53,A37,'예산'!$B$6:$B$53,B37)</x:f>
        <x:v>2489143</x:v>
      </x:c>
      <x:c r="D37" s="153" t="n">
        <x:f>SUMIFS('실적'!$C$6:$C$53,'실적'!$A$6:$A$53,A37,'실적'!$B$6:$B$53,B37)</x:f>
        <x:v>1976685</x:v>
      </x:c>
      <x:c r="E37" s="153" t="n">
        <x:f>D37-C37</x:f>
        <x:v>-512458</x:v>
      </x:c>
      <x:c r="F37" s="163" t="n">
        <x:f>IFERROR(D37/C37,0)</x:f>
        <x:v>0.7941227161316163</x:v>
      </x:c>
    </x:row>
    <x:row r="38">
      <x:c r="A38" s="74" t="str">
        <x:v>생산팀</x:v>
      </x:c>
      <x:c r="B38" s="75" t="str">
        <x:v>통신비</x:v>
      </x:c>
      <x:c r="C38" s="152" t="n">
        <x:f>SUMIFS('예산'!$C$6:$C$53,'예산'!$A$6:$A$53,A38,'예산'!$B$6:$B$53,B38)</x:f>
        <x:v>2661152</x:v>
      </x:c>
      <x:c r="D38" s="153" t="n">
        <x:f>SUMIFS('실적'!$C$6:$C$53,'실적'!$A$6:$A$53,A38,'실적'!$B$6:$B$53,B38)</x:f>
        <x:v>2293561</x:v>
      </x:c>
      <x:c r="E38" s="153" t="n">
        <x:f>D38-C38</x:f>
        <x:v>-367591</x:v>
      </x:c>
      <x:c r="F38" s="163" t="n">
        <x:f>D38/C38</x:f>
        <x:v>0.8618677174396653</x:v>
      </x:c>
    </x:row>
    <x:row r="39">
      <x:c r="A39" s="74" t="str">
        <x:v>생산팀</x:v>
      </x:c>
      <x:c r="B39" s="75" t="str">
        <x:v>임차료</x:v>
      </x:c>
      <x:c r="C39" s="152" t="n">
        <x:f>SUMIFS('예산'!$C$6:$C$53,'예산'!$A$6:$A$53,A39,'예산'!$B$6:$B$53,B39)</x:f>
        <x:v>2550308</x:v>
      </x:c>
      <x:c r="D39" s="153" t="n">
        <x:f>SUMIFS('실적'!$C$6:$C$53,'실적'!$A$6:$A$53,A39,'실적'!$B$6:$B$53,B39)</x:f>
        <x:v>2253481</x:v>
      </x:c>
      <x:c r="E39" s="153" t="n">
        <x:f>D39-C39</x:f>
        <x:v>-296827</x:v>
      </x:c>
      <x:c r="F39" s="163" t="n">
        <x:f>IFERROR(D39/C39,0)</x:f>
        <x:v>0.8836113128296661</x:v>
      </x:c>
    </x:row>
    <x:row r="40">
      <x:c r="A40" s="74" t="str">
        <x:v>생산팀</x:v>
      </x:c>
      <x:c r="B40" s="75" t="str">
        <x:v>운반비</x:v>
      </x:c>
      <x:c r="C40" s="152" t="n">
        <x:f>SUMIFS('예산'!$C$6:$C$53,'예산'!$A$6:$A$53,A40,'예산'!$B$6:$B$53,B40)</x:f>
        <x:v>2658103</x:v>
      </x:c>
      <x:c r="D40" s="153" t="n">
        <x:f>SUMIFS('실적'!$C$6:$C$53,'실적'!$A$6:$A$53,A40,'실적'!$B$6:$B$53,B40)</x:f>
        <x:v>2599489</x:v>
      </x:c>
      <x:c r="E40" s="153" t="n">
        <x:f>D40-C40</x:f>
        <x:v>-58614</x:v>
      </x:c>
      <x:c r="F40" s="163" t="n">
        <x:f>IFERROR(D40/C40,0)</x:f>
        <x:v>0.9779489357635878</x:v>
      </x:c>
    </x:row>
    <x:row r="41">
      <x:c r="A41" s="74" t="str">
        <x:v>생산팀</x:v>
      </x:c>
      <x:c r="B41" s="75" t="str">
        <x:v>교육훈련비</x:v>
      </x:c>
      <x:c r="C41" s="152" t="n">
        <x:f>SUMIFS('예산'!$C$6:$C$53,'예산'!$A$6:$A$53,A41,'예산'!$B$6:$B$53,B41)</x:f>
        <x:v>2764274</x:v>
      </x:c>
      <x:c r="D41" s="153" t="n">
        <x:f>SUMIFS('실적'!$C$6:$C$53,'실적'!$A$6:$A$53,A41,'실적'!$B$6:$B$53,B41)</x:f>
        <x:v>2537361</x:v>
      </x:c>
      <x:c r="E41" s="153" t="n">
        <x:f>D41-C41</x:f>
        <x:v>-226913</x:v>
      </x:c>
      <x:c r="F41" s="163" t="n">
        <x:f>IFERROR(D41/C41,0)</x:f>
        <x:v>0.9179122619537716</x:v>
      </x:c>
    </x:row>
    <x:row r="42">
      <x:c r="A42" s="74" t="str">
        <x:v>생산팀</x:v>
      </x:c>
      <x:c r="B42" s="75" t="str">
        <x:v>수선비</x:v>
      </x:c>
      <x:c r="C42" s="152" t="n">
        <x:f>SUMIFS('예산'!$C$6:$C$53,'예산'!$A$6:$A$53,A42,'예산'!$B$6:$B$53,B42)</x:f>
        <x:v>2834750</x:v>
      </x:c>
      <x:c r="D42" s="153" t="n">
        <x:f>SUMIFS('실적'!$C$6:$C$53,'실적'!$A$6:$A$53,A42,'실적'!$B$6:$B$53,B42)</x:f>
        <x:v>2630651</x:v>
      </x:c>
      <x:c r="E42" s="153" t="n">
        <x:f>D42-C42</x:f>
        <x:v>-204099</x:v>
      </x:c>
      <x:c r="F42" s="163" t="n">
        <x:f>IFERROR(D42/C42,0)</x:f>
        <x:v>0.9280010582943822</x:v>
      </x:c>
    </x:row>
    <x:row r="43">
      <x:c r="A43" s="74" t="str">
        <x:v>생산팀</x:v>
      </x:c>
      <x:c r="B43" s="75" t="str">
        <x:v>기타비용</x:v>
      </x:c>
      <x:c r="C43" s="152" t="n">
        <x:f>SUMIFS('예산'!$C$6:$C$53,'예산'!$A$6:$A$53,A43,'예산'!$B$6:$B$53,B43)</x:f>
        <x:v>3399856</x:v>
      </x:c>
      <x:c r="D43" s="153" t="n">
        <x:f>SUMIFS('실적'!$C$6:$C$53,'실적'!$A$6:$A$53,A43,'실적'!$B$6:$B$53,B43)</x:f>
        <x:v>3237772</x:v>
      </x:c>
      <x:c r="E43" s="153" t="n">
        <x:f>D43-C43</x:f>
        <x:v>-162084</x:v>
      </x:c>
      <x:c r="F43" s="163" t="n">
        <x:f>IFERROR(D43/C43,0)</x:f>
        <x:v>0.9523262161691554</x:v>
      </x:c>
    </x:row>
    <x:row r="44">
      <x:c r="A44" s="96" t="str">
        <x:v>생산팀 소계</x:v>
      </x:c>
      <x:c r="B44" s="141" t="str"/>
      <x:c r="C44" s="154" t="n">
        <x:f>SUM(C32:C43)</x:f>
        <x:v>29302779</x:v>
      </x:c>
      <x:c r="D44" s="155" t="n">
        <x:f>SUM(D32:D43)</x:f>
        <x:v>26229050</x:v>
      </x:c>
      <x:c r="E44" s="155" t="n">
        <x:f>D44-C44</x:f>
        <x:v>-3073729</x:v>
      </x:c>
      <x:c r="F44" s="164" t="n">
        <x:f>IFERROR(D44/C44,0)</x:f>
        <x:v>0.8951045223389904</x:v>
      </x:c>
    </x:row>
    <x:row r="45">
      <x:c r="A45" s="74" t="str">
        <x:v>관리팀</x:v>
      </x:c>
      <x:c r="B45" s="75" t="str">
        <x:v>인건비</x:v>
      </x:c>
      <x:c r="C45" s="152" t="n">
        <x:f>SUMIFS('예산'!$C$6:$C$53,'예산'!$A$6:$A$53,A45,'예산'!$B$6:$B$53,B45)</x:f>
        <x:v>1979013</x:v>
      </x:c>
      <x:c r="D45" s="153" t="n">
        <x:f>SUMIFS('실적'!$C$6:$C$53,'실적'!$A$6:$A$53,A45,'실적'!$B$6:$B$53,B45)</x:f>
        <x:v>1730071</x:v>
      </x:c>
      <x:c r="E45" s="153" t="n">
        <x:f>D45-C45</x:f>
        <x:v>-248942</x:v>
      </x:c>
      <x:c r="F45" s="163" t="n">
        <x:f>IFERROR(D45/C45,0)</x:f>
        <x:v>0.8742090122702579</x:v>
      </x:c>
    </x:row>
    <x:row r="46">
      <x:c r="A46" s="74" t="str">
        <x:v>관리팀</x:v>
      </x:c>
      <x:c r="B46" s="75" t="str">
        <x:v>복리후생비</x:v>
      </x:c>
      <x:c r="C46" s="152" t="n">
        <x:f>SUMIFS('예산'!$C$6:$C$53,'예산'!$A$6:$A$53,A46,'예산'!$B$6:$B$53,B46)</x:f>
        <x:v>2068648</x:v>
      </x:c>
      <x:c r="D46" s="153" t="n">
        <x:f>SUMIFS('실적'!$C$6:$C$53,'실적'!$A$6:$A$53,A46,'실적'!$B$6:$B$53,B46)</x:f>
        <x:v>1800138</x:v>
      </x:c>
      <x:c r="E46" s="153" t="n">
        <x:f>D46-C46</x:f>
        <x:v>-268510</x:v>
      </x:c>
      <x:c r="F46" s="163" t="n">
        <x:f>IFERROR(D46/C46,0)</x:f>
        <x:v>0.8702002467311983</x:v>
      </x:c>
    </x:row>
    <x:row r="47">
      <x:c r="A47" s="74" t="str">
        <x:v>관리팀</x:v>
      </x:c>
      <x:c r="B47" s="75" t="str">
        <x:v>광고선전비</x:v>
      </x:c>
      <x:c r="C47" s="152" t="n">
        <x:f>SUMIFS('예산'!$C$6:$C$53,'예산'!$A$6:$A$53,A47,'예산'!$B$6:$B$53,B47)</x:f>
        <x:v>2134008</x:v>
      </x:c>
      <x:c r="D47" s="153" t="n">
        <x:f>SUMIFS('실적'!$C$6:$C$53,'실적'!$A$6:$A$53,A47,'실적'!$B$6:$B$53,B47)</x:f>
        <x:v>1760523</x:v>
      </x:c>
      <x:c r="E47" s="153" t="n">
        <x:f>D47-C47</x:f>
        <x:v>-373485</x:v>
      </x:c>
      <x:c r="F47" s="163" t="n">
        <x:f>IFERROR(D47/C47,0)</x:f>
        <x:v>0.8249842549793628</x:v>
      </x:c>
    </x:row>
    <x:row r="48">
      <x:c r="A48" s="74" t="str">
        <x:v>관리팀</x:v>
      </x:c>
      <x:c r="B48" s="75" t="str">
        <x:v>지급수수료</x:v>
      </x:c>
      <x:c r="C48" s="152" t="n">
        <x:f>SUMIFS('예산'!$C$6:$C$53,'예산'!$A$6:$A$53,A48,'예산'!$B$6:$B$53,B48)</x:f>
        <x:v>2433984</x:v>
      </x:c>
      <x:c r="D48" s="153" t="n">
        <x:f>SUMIFS('실적'!$C$6:$C$53,'실적'!$A$6:$A$53,A48,'실적'!$B$6:$B$53,B48)</x:f>
        <x:v>2062501</x:v>
      </x:c>
      <x:c r="E48" s="153" t="n">
        <x:f>D48-C48</x:f>
        <x:v>-371483</x:v>
      </x:c>
      <x:c r="F48" s="163" t="n">
        <x:f>IFERROR(D48/C48,0)</x:f>
        <x:v>0.8473765645131603</x:v>
      </x:c>
    </x:row>
    <x:row r="49">
      <x:c r="A49" s="74" t="str">
        <x:v>관리팀</x:v>
      </x:c>
      <x:c r="B49" s="75" t="str">
        <x:v>소모품비</x:v>
      </x:c>
      <x:c r="C49" s="152" t="n">
        <x:f>SUMIFS('예산'!$C$6:$C$53,'예산'!$A$6:$A$53,A49,'예산'!$B$6:$B$53,B49)</x:f>
        <x:v>2353204</x:v>
      </x:c>
      <x:c r="D49" s="153" t="n">
        <x:f>SUMIFS('실적'!$C$6:$C$53,'실적'!$A$6:$A$53,A49,'실적'!$B$6:$B$53,B49)</x:f>
        <x:v>1987417</x:v>
      </x:c>
      <x:c r="E49" s="153" t="n">
        <x:f>D49-C49</x:f>
        <x:v>-365787</x:v>
      </x:c>
      <x:c r="F49" s="163" t="n">
        <x:f>IFERROR(D49/C49,0)</x:f>
        <x:v>0.8445578878839234</x:v>
      </x:c>
    </x:row>
    <x:row r="50">
      <x:c r="A50" s="74" t="str">
        <x:v>관리팀</x:v>
      </x:c>
      <x:c r="B50" s="75" t="str">
        <x:v>출장비</x:v>
      </x:c>
      <x:c r="C50" s="152" t="n">
        <x:f>SUMIFS('예산'!$C$6:$C$53,'예산'!$A$6:$A$53,A49,'예산'!$B$6:$B$53,B50)</x:f>
        <x:v>2485149</x:v>
      </x:c>
      <x:c r="D50" s="153" t="n">
        <x:f>SUMIFS('실적'!$C$6:$C$53,'실적'!$A$6:$A$53,A50,'실적'!$B$6:$B$53,B50)</x:f>
        <x:v>2495889</x:v>
      </x:c>
      <x:c r="E50" s="153" t="n">
        <x:f>D50-C50</x:f>
        <x:v>10740</x:v>
      </x:c>
      <x:c r="F50" s="163" t="n">
        <x:f>IFERROR(D50/C50,0)</x:f>
        <x:v>1.0043216724631</x:v>
      </x:c>
    </x:row>
    <x:row r="51">
      <x:c r="A51" s="74" t="str">
        <x:v>관리팀</x:v>
      </x:c>
      <x:c r="B51" s="75" t="str">
        <x:v>통신비</x:v>
      </x:c>
      <x:c r="C51" s="152" t="n">
        <x:f>SUMIFS('예산'!$C$6:$C$53,'예산'!$A$6:$A$53,A51,'예산'!$B$6:$B$53,B51)</x:f>
        <x:v>2434239</x:v>
      </x:c>
      <x:c r="D51" s="153" t="n">
        <x:f>SUMIFS('실적'!$C$6:$C$53,'실적'!$A$6:$A$53,A51,'실적'!$B$6:$B$53,B51)</x:f>
        <x:v>2483495</x:v>
      </x:c>
      <x:c r="E51" s="153" t="n">
        <x:f>D51-C51</x:f>
        <x:v>49256</x:v>
      </x:c>
      <x:c r="F51" s="163" t="n">
        <x:f>IFERROR(D51/C51,0)</x:f>
        <x:v>1.0202346606064565</x:v>
      </x:c>
    </x:row>
    <x:row r="52">
      <x:c r="A52" s="74" t="str">
        <x:v>관리팀</x:v>
      </x:c>
      <x:c r="B52" s="75" t="str">
        <x:v>임차료</x:v>
      </x:c>
      <x:c r="C52" s="152" t="n">
        <x:f>SUMIFS('예산'!$C$6:$C$53,'예산'!$A$6:$A$53,A52,'예산'!$B$6:$B$53,B52)</x:f>
        <x:v>2662294</x:v>
      </x:c>
      <x:c r="D52" s="153" t="n">
        <x:f>SUMIFS('실적'!$C$6:$C$53,'실적'!$A$6:$A$53,A52,'실적'!$B$6:$B$53,B52)</x:f>
        <x:v>2429362</x:v>
      </x:c>
      <x:c r="E52" s="153" t="n">
        <x:f>D52-C52</x:f>
        <x:v>-232932</x:v>
      </x:c>
      <x:c r="F52" s="163" t="n">
        <x:f>IFERROR(D52/C52,0)</x:f>
        <x:v>0.9125070334080309</x:v>
      </x:c>
    </x:row>
    <x:row r="53">
      <x:c r="A53" s="74" t="str">
        <x:v>관리팀</x:v>
      </x:c>
      <x:c r="B53" s="75" t="str">
        <x:v>운반비</x:v>
      </x:c>
      <x:c r="C53" s="152" t="n">
        <x:f>SUMIFS('예산'!$C$6:$C$53,'예산'!$A$6:$A$53,A53,'예산'!$B$6:$B$53,B53)</x:f>
        <x:v>3106547</x:v>
      </x:c>
      <x:c r="D53" s="153" t="n">
        <x:f>SUMIFS('실적'!$C$6:$C$53,'실적'!$A$6:$A$53,A53,'실적'!$B$6:$B$53,B53)</x:f>
        <x:v>2728421</x:v>
      </x:c>
      <x:c r="E53" s="153" t="n">
        <x:f>D53-C53</x:f>
        <x:v>-378126</x:v>
      </x:c>
      <x:c r="F53" s="163" t="n">
        <x:f>IFERROR(D53/C53,0)</x:f>
        <x:v>0.8782809337827497</x:v>
      </x:c>
    </x:row>
    <x:row r="54">
      <x:c r="A54" s="74" t="str">
        <x:v>관리팀</x:v>
      </x:c>
      <x:c r="B54" s="75" t="str">
        <x:v>교육훈련비</x:v>
      </x:c>
      <x:c r="C54" s="152" t="n">
        <x:f>SUMIFS('예산'!$C$6:$C$53,'예산'!$A$6:$A$53,A54,'예산'!$B$6:$B$53,B54)</x:f>
        <x:v>3098896</x:v>
      </x:c>
      <x:c r="D54" s="153" t="n">
        <x:f>SUMIFS('실적'!$C$6:$C$53,'실적'!$A$6:$A$53,A54,'실적'!$B$6:$B$53,B54)</x:f>
        <x:v>3097388</x:v>
      </x:c>
      <x:c r="E54" s="153" t="n">
        <x:f>D54-C54</x:f>
        <x:v>-1508</x:v>
      </x:c>
      <x:c r="F54" s="163" t="n">
        <x:f>IFERROR(D54/C54,0)</x:f>
        <x:v>0.999513375085837</x:v>
      </x:c>
    </x:row>
    <x:row r="55">
      <x:c r="A55" s="74" t="str">
        <x:v>관리팀</x:v>
      </x:c>
      <x:c r="B55" s="75" t="str">
        <x:v>수선비</x:v>
      </x:c>
      <x:c r="C55" s="152" t="n">
        <x:f>SUMIFS('예산'!$C$6:$C$53,'예산'!$A$6:$A$53,A55,'예산'!$B$6:$B$53,B55)</x:f>
        <x:v>3609171</x:v>
      </x:c>
      <x:c r="D55" s="153" t="n">
        <x:f>SUMIFS('실적'!$C$6:$C$53,'실적'!$A$6:$A$53,A55,'실적'!$B$6:$B$53,B55)</x:f>
        <x:v>3293436</x:v>
      </x:c>
      <x:c r="E55" s="153" t="n">
        <x:f>D55-C55</x:f>
        <x:v>-315735</x:v>
      </x:c>
      <x:c r="F55" s="163" t="n">
        <x:f>IFERROR(D55/C55,0)</x:f>
        <x:v>0.9125186919655511</x:v>
      </x:c>
    </x:row>
    <x:row r="56">
      <x:c r="A56" s="74" t="str">
        <x:v>관리팀</x:v>
      </x:c>
      <x:c r="B56" s="75" t="str">
        <x:v>기타비용</x:v>
      </x:c>
      <x:c r="C56" s="152" t="n">
        <x:f>SUMIFS('예산'!$C$6:$C$53,'예산'!$A$6:$A$53,A56,'예산'!$B$6:$B$53,B56)</x:f>
        <x:v>3112110</x:v>
      </x:c>
      <x:c r="D56" s="153" t="n">
        <x:f>SUMIFS('실적'!$C$6:$C$53,'실적'!$A$6:$A$53,A56,'실적'!$B$6:$B$53,B56)</x:f>
        <x:v>3176702</x:v>
      </x:c>
      <x:c r="E56" s="153" t="n">
        <x:f>D56-C56</x:f>
        <x:v>64592</x:v>
      </x:c>
      <x:c r="F56" s="163" t="n">
        <x:f>IFERROR(D56/C56,0)</x:f>
        <x:v>1.020755050432022</x:v>
      </x:c>
    </x:row>
    <x:row r="57">
      <x:c r="A57" s="96" t="str">
        <x:v>관리팀 소계</x:v>
      </x:c>
      <x:c r="B57" s="141" t="str"/>
      <x:c r="C57" s="154" t="n">
        <x:f>SUM(C45:C56)</x:f>
        <x:v>31477263</x:v>
      </x:c>
      <x:c r="D57" s="155" t="n">
        <x:f>SUM(D45:D56)</x:f>
        <x:v>29045343</x:v>
      </x:c>
      <x:c r="E57" s="155" t="n">
        <x:f>D57-C57</x:f>
        <x:v>-2431920</x:v>
      </x:c>
      <x:c r="F57" s="164" t="n">
        <x:f>IFERROR(D57/C57,0)</x:f>
        <x:v>0.9227404237782681</x:v>
      </x:c>
    </x:row>
    <x:row r="58">
      <x:c r="A58" s="96" t="str">
        <x:v>전사 합계</x:v>
      </x:c>
      <x:c r="B58" s="97" t="str"/>
      <x:c r="C58" s="154" t="n">
        <x:f>C18+C31+C44+C57</x:f>
        <x:v>112665762</x:v>
      </x:c>
      <x:c r="D58" s="155" t="n">
        <x:f>D18+D31+D44+D57</x:f>
        <x:v>102106967</x:v>
      </x:c>
      <x:c r="E58" s="155" t="n">
        <x:f>D58-C58</x:f>
        <x:v>-10558795</x:v>
      </x:c>
      <x:c r="F58" s="164" t="n">
        <x:f>IFERROR(D58/C58,0)</x:f>
        <x:v>0.9062821320997234</x:v>
      </x:c>
    </x:row>
  </x:sheetData>
  <x:mergeCells>
    <x:mergeCell ref="A1:F1"/>
    <x:mergeCell ref="A2:F2"/>
    <x:mergeCell ref="A3:F3"/>
  </x:mergeCells>
  <x:conditionalFormatting sqref="E6:E58">
    <x:cfRule type="expression" dxfId="0" priority="1">
      <x:formula>E6&gt;0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예산 대비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전사 예산·실적과 달성률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69" t="str">
        <x:v>전사 예산</x:v>
      </x:c>
      <x:c r="B5" s="169"/>
      <x:c r="C5" s="169" t="str">
        <x:v>전사 실적</x:v>
      </x:c>
      <x:c r="D5" s="169"/>
      <x:c r="E5" s="169" t="str">
        <x:v>차이</x:v>
      </x:c>
      <x:c r="F5" s="169"/>
      <x:c r="G5" s="169" t="str">
        <x:v>달성률</x:v>
      </x:c>
      <x:c r="H5" s="169"/>
    </x:row>
    <x:row r="6">
      <x:c r="A6" s="174" t="n">
        <x:f>'부서별분석'!C58</x:f>
        <x:v>112665762</x:v>
      </x:c>
      <x:c r="B6" s="174"/>
      <x:c r="C6" s="174" t="n">
        <x:f>'부서별분석'!D58</x:f>
        <x:v>102106967</x:v>
      </x:c>
      <x:c r="D6" s="174"/>
      <x:c r="E6" s="174" t="n">
        <x:f>'부서별분석'!E58</x:f>
        <x:v>-10558795</x:v>
      </x:c>
      <x:c r="F6" s="174"/>
      <x:c r="G6" s="174" t="n">
        <x:f>'부서별분석'!F58</x:f>
        <x:v>0.9062821320997234</x:v>
      </x:c>
      <x:c r="H6" s="174"/>
    </x:row>
    <x:row r="7">
      <x:c r="A7" s="174"/>
      <x:c r="B7" s="174"/>
      <x:c r="C7" s="174"/>
      <x:c r="D7" s="174"/>
      <x:c r="E7" s="174"/>
      <x:c r="F7" s="174"/>
      <x:c r="G7" s="174"/>
      <x:c r="H7" s="174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