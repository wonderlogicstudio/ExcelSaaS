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bba994183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7bb938707ea5405b"/>
    <x:sheet xmlns:r="http://schemas.openxmlformats.org/officeDocument/2006/relationships" name="거래처" sheetId="2" r:id="Rb4516acbff37432c"/>
    <x:sheet xmlns:r="http://schemas.openxmlformats.org/officeDocument/2006/relationships" name="판매내역" sheetId="3" r:id="R8199938e818b46ae"/>
    <x:sheet xmlns:r="http://schemas.openxmlformats.org/officeDocument/2006/relationships" name="월간요약" sheetId="4" r:id="R747725307ce3412f"/>
    <x:sheet xmlns:r="http://schemas.openxmlformats.org/officeDocument/2006/relationships" name="대시보드" sheetId="5" r:id="R79babe499a69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%"/>
    <x:numFmt numFmtId="203" formatCode="yyyy-mm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6"/>
      <x:color rgb="FF17365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2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9" borderId="15" xfId="0" applyNumberFormat="1" applyFont="1" applyFill="1" applyBorder="1"/>
    <x:xf numFmtId="0" fontId="0" fillId="9" borderId="1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0" fontId="0" fillId="9" borderId="24" xfId="0" applyNumberFormat="1" applyFont="1" applyFill="1" applyBorder="1"/>
    <x:xf numFmtId="0" fontId="0" fillId="9" borderId="25" xfId="0" applyNumberFormat="1" applyFont="1" applyFill="1" applyBorder="1"/>
    <x:xf numFmtId="0" fontId="0" fillId="9" borderId="26" xfId="0" applyNumberFormat="1" applyFont="1" applyFill="1" applyBorder="1"/>
    <x:xf numFmtId="0" fontId="0" fillId="9" borderId="27" xfId="0" applyNumberFormat="1" applyFont="1" applyFill="1" applyBorder="1"/>
    <x:xf numFmtId="0" fontId="0" fillId="9" borderId="28" xfId="0" applyNumberFormat="1" applyFont="1" applyFill="1" applyBorder="1"/>
    <x:xf numFmtId="0" fontId="0" fillId="9" borderId="29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9" borderId="8" xfId="0" applyNumberFormat="1" applyFont="1" applyFill="1" applyBorder="1"/>
    <x:xf numFmtId="200" fontId="0" fillId="9" borderId="11" xfId="0" applyNumberFormat="1" applyFont="1" applyFill="1" applyBorder="1"/>
    <x:xf numFmtId="200" fontId="0" fillId="9" borderId="13" xfId="0" applyNumberFormat="1" applyFont="1" applyFill="1" applyBorder="1"/>
    <x:xf numFmtId="200" fontId="0" fillId="9" borderId="16" xfId="0" applyNumberFormat="1" applyFont="1" applyFill="1" applyBorder="1"/>
    <x:xf numFmtId="200" fontId="0" fillId="9" borderId="19" xfId="0" applyNumberFormat="1" applyFont="1" applyFill="1" applyBorder="1"/>
    <x:xf numFmtId="200" fontId="0" fillId="9" borderId="21" xfId="0" applyNumberFormat="1" applyFont="1" applyFill="1" applyBorder="1"/>
    <x:xf numFmtId="201" fontId="0" fillId="9" borderId="9" xfId="0" applyNumberFormat="1" applyFont="1" applyFill="1" applyBorder="1"/>
    <x:xf numFmtId="201" fontId="0" fillId="9" borderId="0" xfId="0" applyNumberFormat="1" applyFont="1" applyFill="1" applyBorder="1"/>
    <x:xf numFmtId="201" fontId="0" fillId="9" borderId="14" xfId="0" applyNumberFormat="1" applyFont="1" applyFill="1" applyBorder="1"/>
    <x:xf numFmtId="201" fontId="0" fillId="9" borderId="17" xfId="0" applyNumberFormat="1" applyFont="1" applyFill="1" applyBorder="1"/>
    <x:xf numFmtId="201" fontId="0" fillId="9" borderId="1" xfId="0" applyNumberFormat="1" applyFont="1" applyFill="1" applyBorder="1"/>
    <x:xf numFmtId="201" fontId="0" fillId="9" borderId="22" xfId="0" applyNumberFormat="1" applyFont="1" applyFill="1" applyBorder="1"/>
    <x:xf numFmtId="202" fontId="0" fillId="9" borderId="10" xfId="0" applyNumberFormat="1" applyFont="1" applyFill="1" applyBorder="1"/>
    <x:xf numFmtId="202" fontId="0" fillId="9" borderId="12" xfId="0" applyNumberFormat="1" applyFont="1" applyFill="1" applyBorder="1"/>
    <x:xf numFmtId="202" fontId="0" fillId="9" borderId="15" xfId="0" applyNumberFormat="1" applyFont="1" applyFill="1" applyBorder="1"/>
    <x:xf numFmtId="202" fontId="0" fillId="9" borderId="18" xfId="0" applyNumberFormat="1" applyFont="1" applyFill="1" applyBorder="1"/>
    <x:xf numFmtId="202" fontId="0" fillId="9" borderId="20" xfId="0" applyNumberFormat="1" applyFont="1" applyFill="1" applyBorder="1"/>
    <x:xf numFmtId="202" fontId="0" fillId="9" borderId="23" xfId="0" applyNumberFormat="1" applyFont="1" applyFill="1" applyBorder="1"/>
    <x:xf numFmtId="201" fontId="0" fillId="8" borderId="8" xfId="0" applyNumberFormat="1" applyFont="1" applyFill="1" applyBorder="1"/>
    <x:xf numFmtId="201" fontId="0" fillId="8" borderId="9" xfId="0" applyNumberFormat="1" applyFont="1" applyFill="1" applyBorder="1"/>
    <x:xf numFmtId="201" fontId="0" fillId="8" borderId="10" xfId="0" applyNumberFormat="1" applyFont="1" applyFill="1" applyBorder="1"/>
    <x:xf numFmtId="201" fontId="0" fillId="8" borderId="11" xfId="0" applyNumberFormat="1" applyFont="1" applyFill="1" applyBorder="1"/>
    <x:xf numFmtId="201" fontId="0" fillId="8" borderId="0" xfId="0" applyNumberFormat="1" applyFont="1" applyFill="1" applyBorder="1"/>
    <x:xf numFmtId="201" fontId="0" fillId="8" borderId="12" xfId="0" applyNumberFormat="1" applyFont="1" applyFill="1" applyBorder="1"/>
    <x:xf numFmtId="201" fontId="0" fillId="8" borderId="13" xfId="0" applyNumberFormat="1" applyFont="1" applyFill="1" applyBorder="1"/>
    <x:xf numFmtId="201" fontId="0" fillId="8" borderId="14" xfId="0" applyNumberFormat="1" applyFont="1" applyFill="1" applyBorder="1"/>
    <x:xf numFmtId="201" fontId="0" fillId="8" borderId="15" xfId="0" applyNumberFormat="1" applyFont="1" applyFill="1" applyBorder="1"/>
    <x:xf numFmtId="201" fontId="0" fillId="0" borderId="0" xfId="0" applyNumberFormat="1" applyFont="1" applyFill="1" applyBorder="1"/>
    <x:xf numFmtId="201" fontId="0" fillId="8" borderId="16" xfId="0" applyNumberFormat="1" applyFont="1" applyFill="1" applyBorder="1"/>
    <x:xf numFmtId="201" fontId="0" fillId="8" borderId="17" xfId="0" applyNumberFormat="1" applyFont="1" applyFill="1" applyBorder="1"/>
    <x:xf numFmtId="201" fontId="0" fillId="8" borderId="18" xfId="0" applyNumberFormat="1" applyFont="1" applyFill="1" applyBorder="1"/>
    <x:xf numFmtId="201" fontId="0" fillId="8" borderId="19" xfId="0" applyNumberFormat="1" applyFont="1" applyFill="1" applyBorder="1"/>
    <x:xf numFmtId="201" fontId="0" fillId="8" borderId="1" xfId="0" applyNumberFormat="1" applyFont="1" applyFill="1" applyBorder="1"/>
    <x:xf numFmtId="201" fontId="0" fillId="8" borderId="20" xfId="0" applyNumberFormat="1" applyFont="1" applyFill="1" applyBorder="1"/>
    <x:xf numFmtId="201" fontId="0" fillId="8" borderId="21" xfId="0" applyNumberFormat="1" applyFont="1" applyFill="1" applyBorder="1"/>
    <x:xf numFmtId="201" fontId="0" fillId="8" borderId="22" xfId="0" applyNumberFormat="1" applyFont="1" applyFill="1" applyBorder="1"/>
    <x:xf numFmtId="201" fontId="0" fillId="8" borderId="23" xfId="0" applyNumberFormat="1" applyFont="1" applyFill="1" applyBorder="1"/>
    <x:xf numFmtId="201" fontId="0" fillId="0" borderId="1" xfId="0" applyNumberFormat="1" applyFont="1" applyFill="1" applyBorder="1"/>
    <x:xf numFmtId="0" fontId="0" fillId="10" borderId="0" xfId="0" applyNumberFormat="1" applyFont="1" applyFill="1" applyBorder="1"/>
    <x:xf numFmtId="201" fontId="0" fillId="10" borderId="0" xfId="0" applyNumberFormat="1" applyFont="1" applyFill="1" applyBorder="1"/>
    <x:xf numFmtId="0" fontId="4" fillId="10" borderId="0" xfId="0" applyNumberFormat="1" applyFont="1" applyFill="1" applyBorder="1"/>
    <x:xf numFmtId="201" fontId="4" fillId="10" borderId="0" xfId="0" applyNumberFormat="1" applyFont="1" applyFill="1" applyBorder="1"/>
    <x:xf numFmtId="0" fontId="4" fillId="10" borderId="30" xfId="0" applyNumberFormat="1" applyFont="1" applyFill="1" applyBorder="1"/>
    <x:xf numFmtId="0" fontId="4" fillId="10" borderId="31" xfId="0" applyNumberFormat="1" applyFont="1" applyFill="1" applyBorder="1"/>
    <x:xf numFmtId="201" fontId="4" fillId="10" borderId="31" xfId="0" applyNumberFormat="1" applyFont="1" applyFill="1" applyBorder="1"/>
    <x:xf numFmtId="0" fontId="4" fillId="10" borderId="32" xfId="0" applyNumberFormat="1" applyFont="1" applyFill="1" applyBorder="1"/>
    <x:xf numFmtId="0" fontId="0" fillId="10" borderId="1" xfId="0" applyNumberFormat="1" applyFont="1" applyFill="1" applyBorder="1"/>
    <x:xf numFmtId="201" fontId="0" fillId="10" borderId="1" xfId="0" applyNumberFormat="1" applyFont="1" applyFill="1" applyBorder="1"/>
    <x:xf numFmtId="0" fontId="4" fillId="10" borderId="1" xfId="0" applyNumberFormat="1" applyFont="1" applyFill="1" applyBorder="1"/>
    <x:xf numFmtId="201" fontId="4" fillId="10" borderId="1" xfId="0" applyNumberFormat="1" applyFont="1" applyFill="1" applyBorder="1"/>
    <x:xf numFmtId="0" fontId="4" fillId="10" borderId="33" xfId="0" applyNumberFormat="1" applyFont="1" applyFill="1" applyBorder="1"/>
    <x:xf numFmtId="0" fontId="4" fillId="10" borderId="34" xfId="0" applyNumberFormat="1" applyFont="1" applyFill="1" applyBorder="1"/>
    <x:xf numFmtId="201" fontId="4" fillId="10" borderId="34" xfId="0" applyNumberFormat="1" applyFont="1" applyFill="1" applyBorder="1"/>
    <x:xf numFmtId="0" fontId="4" fillId="10" borderId="35" xfId="0" applyNumberFormat="1" applyFont="1" applyFill="1" applyBorder="1"/>
    <x:xf numFmtId="0" fontId="0" fillId="11" borderId="0" xfId="0" applyNumberFormat="1" applyFont="1" applyFill="1" applyBorder="1"/>
    <x:xf numFmtId="201" fontId="0" fillId="11" borderId="0" xfId="0" applyNumberFormat="1" applyFont="1" applyFill="1" applyBorder="1"/>
    <x:xf numFmtId="0" fontId="6" fillId="11" borderId="0" xfId="0" applyNumberFormat="1" applyFont="1" applyFill="1" applyBorder="1"/>
    <x:xf numFmtId="201" fontId="6" fillId="11" borderId="0" xfId="0" applyNumberFormat="1" applyFont="1" applyFill="1" applyBorder="1"/>
    <x:xf numFmtId="0" fontId="6" fillId="11" borderId="36" xfId="0" applyNumberFormat="1" applyFont="1" applyFill="1" applyBorder="1"/>
    <x:xf numFmtId="0" fontId="6" fillId="11" borderId="37" xfId="0" applyNumberFormat="1" applyFont="1" applyFill="1" applyBorder="1"/>
    <x:xf numFmtId="201" fontId="6" fillId="11" borderId="37" xfId="0" applyNumberFormat="1" applyFont="1" applyFill="1" applyBorder="1"/>
    <x:xf numFmtId="0" fontId="6" fillId="11" borderId="38" xfId="0" applyNumberFormat="1" applyFont="1" applyFill="1" applyBorder="1"/>
    <x:xf numFmtId="0" fontId="0" fillId="11" borderId="1" xfId="0" applyNumberFormat="1" applyFont="1" applyFill="1" applyBorder="1"/>
    <x:xf numFmtId="201" fontId="0" fillId="11" borderId="1" xfId="0" applyNumberFormat="1" applyFont="1" applyFill="1" applyBorder="1"/>
    <x:xf numFmtId="0" fontId="6" fillId="11" borderId="1" xfId="0" applyNumberFormat="1" applyFont="1" applyFill="1" applyBorder="1"/>
    <x:xf numFmtId="201" fontId="6" fillId="11" borderId="1" xfId="0" applyNumberFormat="1" applyFont="1" applyFill="1" applyBorder="1"/>
    <x:xf numFmtId="0" fontId="6" fillId="11" borderId="39" xfId="0" applyNumberFormat="1" applyFont="1" applyFill="1" applyBorder="1"/>
    <x:xf numFmtId="0" fontId="6" fillId="11" borderId="40" xfId="0" applyNumberFormat="1" applyFont="1" applyFill="1" applyBorder="1"/>
    <x:xf numFmtId="201" fontId="6" fillId="11" borderId="40" xfId="0" applyNumberFormat="1" applyFont="1" applyFill="1" applyBorder="1"/>
    <x:xf numFmtId="0" fontId="6" fillId="11" borderId="41" xfId="0" applyNumberFormat="1" applyFont="1" applyFill="1" applyBorder="1"/>
    <x:xf numFmtId="203" fontId="0" fillId="9" borderId="24" xfId="0" applyNumberFormat="1" applyFont="1" applyFill="1" applyBorder="1"/>
    <x:xf numFmtId="203" fontId="0" fillId="9" borderId="25" xfId="0" applyNumberFormat="1" applyFont="1" applyFill="1" applyBorder="1"/>
    <x:xf numFmtId="203" fontId="0" fillId="9" borderId="26" xfId="0" applyNumberFormat="1" applyFont="1" applyFill="1" applyBorder="1"/>
    <x:xf numFmtId="203" fontId="0" fillId="9" borderId="27" xfId="0" applyNumberFormat="1" applyFont="1" applyFill="1" applyBorder="1"/>
    <x:xf numFmtId="203" fontId="0" fillId="9" borderId="28" xfId="0" applyNumberFormat="1" applyFont="1" applyFill="1" applyBorder="1"/>
    <x:xf numFmtId="203" fontId="0" fillId="9" borderId="29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  <x:xf numFmtId="203" fontId="0" fillId="8" borderId="8" xfId="0" applyNumberFormat="1" applyFont="1" applyFill="1" applyBorder="1"/>
    <x:xf numFmtId="203" fontId="0" fillId="8" borderId="11" xfId="0" applyNumberFormat="1" applyFont="1" applyFill="1" applyBorder="1"/>
    <x:xf numFmtId="203" fontId="0" fillId="8" borderId="13" xfId="0" applyNumberFormat="1" applyFont="1" applyFill="1" applyBorder="1"/>
    <x:xf numFmtId="203" fontId="0" fillId="8" borderId="16" xfId="0" applyNumberFormat="1" applyFont="1" applyFill="1" applyBorder="1"/>
    <x:xf numFmtId="203" fontId="0" fillId="8" borderId="19" xfId="0" applyNumberFormat="1" applyFont="1" applyFill="1" applyBorder="1"/>
    <x:xf numFmtId="203" fontId="0" fillId="8" borderId="2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e352198cb40e0" /><Relationship Type="http://schemas.openxmlformats.org/officeDocument/2006/relationships/theme" Target="/xl/theme/theme1.xml" Id="R92b8a2a5c5494bec" /><Relationship Type="http://schemas.openxmlformats.org/officeDocument/2006/relationships/sharedStrings" Target="/xl/sharedStrings.xml" Id="R78e52165f9b7453b" /><Relationship Type="http://schemas.openxmlformats.org/officeDocument/2006/relationships/worksheet" Target="/xl/worksheets/sheet1.xml" Id="R7bb938707ea5405b" /><Relationship Type="http://schemas.openxmlformats.org/officeDocument/2006/relationships/worksheet" Target="/xl/worksheets/sheet2.xml" Id="Rb4516acbff37432c" /><Relationship Type="http://schemas.openxmlformats.org/officeDocument/2006/relationships/worksheet" Target="/xl/worksheets/sheet3.xml" Id="R8199938e818b46ae" /><Relationship Type="http://schemas.openxmlformats.org/officeDocument/2006/relationships/worksheet" Target="/xl/worksheets/sheet4.xml" Id="R747725307ce3412f" /><Relationship Type="http://schemas.openxmlformats.org/officeDocument/2006/relationships/worksheet" Target="/xl/worksheets/sheet5.xml" Id="R79babe499a694d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월간 매출·부가세 관리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거래처별 판매내역을 입력하면 공급가액·부가세·합계와 월간 요약이 계산되는 실무형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반복 수식 영역의 함수 패턴 이탈, 상대참조 이탈, 상수 덮어쓰기, 빈 수식 셀과 정상 소계·조정 행 구분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거래처</x:v>
      </x:c>
      <x:c r="B13" s="60" t="str">
        <x:v>거래처 마스터</x:v>
      </x:c>
    </x:row>
    <x:row r="14">
      <x:c r="A14" s="57" t="str">
        <x:v>판매내역</x:v>
      </x:c>
      <x:c r="B14" s="60" t="str">
        <x:v>일별 판매 입력 및 금액 계산</x:v>
      </x:c>
    </x:row>
    <x:row r="15">
      <x:c r="A15" s="57" t="str">
        <x:v>월간요약</x:v>
      </x:c>
      <x:c r="B15" s="60" t="str">
        <x:v>월별 매출·부가세·건수 집계</x:v>
      </x:c>
    </x:row>
    <x:row r="16">
      <x:c r="A16" s="57" t="str">
        <x:v>대시보드</x:v>
      </x:c>
      <x:c r="B16" s="60" t="str">
        <x:v>핵심 지표 요약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4" hidden="0" customWidth="1"/>
    <x:col min="5" max="5" width="12" hidden="0" customWidth="1"/>
    <x:col min="6" max="6" width="10" hidden="0" customWidth="1"/>
  </x:cols>
  <x:sheetData>
    <x:row r="1" ht="30" customHeight="1">
      <x:c r="A1" s="5" t="str">
        <x:v>거래처 마스터</x:v>
      </x:c>
      <x:c r="B1" s="5"/>
      <x:c r="C1" s="5"/>
      <x:c r="D1" s="5"/>
      <x:c r="E1" s="5"/>
      <x:c r="F1" s="5"/>
    </x:row>
    <x:row r="2" ht="24" customHeight="1">
      <x:c r="A2" s="12" t="str">
        <x:v>판매내역에서 사용하는 합성 거래처 정보</x:v>
      </x:c>
      <x:c r="B2" s="12"/>
      <x:c r="C2" s="12"/>
      <x:c r="D2" s="12"/>
      <x:c r="E2" s="12"/>
      <x:c r="F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거래처코드</x:v>
      </x:c>
      <x:c r="B5" s="65" t="str">
        <x:v>거래처명</x:v>
      </x:c>
      <x:c r="C5" s="65" t="str">
        <x:v>지역</x:v>
      </x:c>
      <x:c r="D5" s="65" t="str">
        <x:v>담당자</x:v>
      </x:c>
      <x:c r="E5" s="65" t="str">
        <x:v>결제조건</x:v>
      </x:c>
      <x:c r="F5" s="31" t="str">
        <x:v>사용여부</x:v>
      </x:c>
    </x:row>
    <x:row r="6">
      <x:c r="A6" s="71" t="str">
        <x:v>C001</x:v>
      </x:c>
      <x:c r="B6" s="72" t="str">
        <x:v>거래처01</x:v>
      </x:c>
      <x:c r="C6" s="72" t="str">
        <x:v>서울</x:v>
      </x:c>
      <x:c r="D6" s="72" t="str">
        <x:v>담당자01</x:v>
      </x:c>
      <x:c r="E6" s="72" t="str">
        <x:v>30일</x:v>
      </x:c>
      <x:c r="F6" s="73" t="str">
        <x:v>Y</x:v>
      </x:c>
    </x:row>
    <x:row r="7">
      <x:c r="A7" s="74" t="str">
        <x:v>C002</x:v>
      </x:c>
      <x:c r="B7" s="70" t="str">
        <x:v>거래처02</x:v>
      </x:c>
      <x:c r="C7" s="70" t="str">
        <x:v>경기</x:v>
      </x:c>
      <x:c r="D7" s="70" t="str">
        <x:v>담당자02</x:v>
      </x:c>
      <x:c r="E7" s="70" t="str">
        <x:v>45일</x:v>
      </x:c>
      <x:c r="F7" s="75" t="str">
        <x:v>Y</x:v>
      </x:c>
    </x:row>
    <x:row r="8">
      <x:c r="A8" s="74" t="str">
        <x:v>C003</x:v>
      </x:c>
      <x:c r="B8" s="70" t="str">
        <x:v>거래처03</x:v>
      </x:c>
      <x:c r="C8" s="70" t="str">
        <x:v>인천</x:v>
      </x:c>
      <x:c r="D8" s="70" t="str">
        <x:v>담당자03</x:v>
      </x:c>
      <x:c r="E8" s="70" t="str">
        <x:v>현금</x:v>
      </x:c>
      <x:c r="F8" s="75" t="str">
        <x:v>Y</x:v>
      </x:c>
    </x:row>
    <x:row r="9">
      <x:c r="A9" s="74" t="str">
        <x:v>C004</x:v>
      </x:c>
      <x:c r="B9" s="70" t="str">
        <x:v>거래처04</x:v>
      </x:c>
      <x:c r="C9" s="70" t="str">
        <x:v>부산</x:v>
      </x:c>
      <x:c r="D9" s="70" t="str">
        <x:v>담당자04</x:v>
      </x:c>
      <x:c r="E9" s="70" t="str">
        <x:v>30일</x:v>
      </x:c>
      <x:c r="F9" s="75" t="str">
        <x:v>Y</x:v>
      </x:c>
    </x:row>
    <x:row r="10">
      <x:c r="A10" s="74" t="str">
        <x:v>C005</x:v>
      </x:c>
      <x:c r="B10" s="70" t="str">
        <x:v>거래처05</x:v>
      </x:c>
      <x:c r="C10" s="70" t="str">
        <x:v>대전</x:v>
      </x:c>
      <x:c r="D10" s="70" t="str">
        <x:v>담당자05</x:v>
      </x:c>
      <x:c r="E10" s="70" t="str">
        <x:v>45일</x:v>
      </x:c>
      <x:c r="F10" s="75" t="str">
        <x:v>Y</x:v>
      </x:c>
    </x:row>
    <x:row r="11">
      <x:c r="A11" s="74" t="str">
        <x:v>C006</x:v>
      </x:c>
      <x:c r="B11" s="70" t="str">
        <x:v>거래처06</x:v>
      </x:c>
      <x:c r="C11" s="70" t="str">
        <x:v>서울</x:v>
      </x:c>
      <x:c r="D11" s="70" t="str">
        <x:v>담당자06</x:v>
      </x:c>
      <x:c r="E11" s="70" t="str">
        <x:v>현금</x:v>
      </x:c>
      <x:c r="F11" s="75" t="str">
        <x:v>Y</x:v>
      </x:c>
    </x:row>
    <x:row r="12">
      <x:c r="A12" s="74" t="str">
        <x:v>C007</x:v>
      </x:c>
      <x:c r="B12" s="70" t="str">
        <x:v>거래처07</x:v>
      </x:c>
      <x:c r="C12" s="70" t="str">
        <x:v>경기</x:v>
      </x:c>
      <x:c r="D12" s="70" t="str">
        <x:v>담당자07</x:v>
      </x:c>
      <x:c r="E12" s="70" t="str">
        <x:v>30일</x:v>
      </x:c>
      <x:c r="F12" s="75" t="str">
        <x:v>Y</x:v>
      </x:c>
    </x:row>
    <x:row r="13">
      <x:c r="A13" s="74" t="str">
        <x:v>C008</x:v>
      </x:c>
      <x:c r="B13" s="70" t="str">
        <x:v>거래처08</x:v>
      </x:c>
      <x:c r="C13" s="70" t="str">
        <x:v>인천</x:v>
      </x:c>
      <x:c r="D13" s="70" t="str">
        <x:v>담당자08</x:v>
      </x:c>
      <x:c r="E13" s="70" t="str">
        <x:v>45일</x:v>
      </x:c>
      <x:c r="F13" s="75" t="str">
        <x:v>Y</x:v>
      </x:c>
    </x:row>
    <x:row r="14">
      <x:c r="A14" s="74" t="str">
        <x:v>C009</x:v>
      </x:c>
      <x:c r="B14" s="70" t="str">
        <x:v>거래처09</x:v>
      </x:c>
      <x:c r="C14" s="70" t="str">
        <x:v>부산</x:v>
      </x:c>
      <x:c r="D14" s="70" t="str">
        <x:v>담당자09</x:v>
      </x:c>
      <x:c r="E14" s="70" t="str">
        <x:v>현금</x:v>
      </x:c>
      <x:c r="F14" s="75" t="str">
        <x:v>Y</x:v>
      </x:c>
    </x:row>
    <x:row r="15">
      <x:c r="A15" s="74" t="str">
        <x:v>C010</x:v>
      </x:c>
      <x:c r="B15" s="70" t="str">
        <x:v>거래처10</x:v>
      </x:c>
      <x:c r="C15" s="70" t="str">
        <x:v>대전</x:v>
      </x:c>
      <x:c r="D15" s="70" t="str">
        <x:v>담당자10</x:v>
      </x:c>
      <x:c r="E15" s="70" t="str">
        <x:v>30일</x:v>
      </x:c>
      <x:c r="F15" s="75" t="str">
        <x:v>Y</x:v>
      </x:c>
    </x:row>
    <x:row r="16">
      <x:c r="A16" s="74" t="str">
        <x:v>C011</x:v>
      </x:c>
      <x:c r="B16" s="70" t="str">
        <x:v>거래처11</x:v>
      </x:c>
      <x:c r="C16" s="70" t="str">
        <x:v>서울</x:v>
      </x:c>
      <x:c r="D16" s="70" t="str">
        <x:v>담당자11</x:v>
      </x:c>
      <x:c r="E16" s="70" t="str">
        <x:v>45일</x:v>
      </x:c>
      <x:c r="F16" s="75" t="str">
        <x:v>Y</x:v>
      </x:c>
    </x:row>
    <x:row r="17">
      <x:c r="A17" s="76" t="str">
        <x:v>C012</x:v>
      </x:c>
      <x:c r="B17" s="77" t="str">
        <x:v>거래처12</x:v>
      </x:c>
      <x:c r="C17" s="77" t="str">
        <x:v>경기</x:v>
      </x:c>
      <x:c r="D17" s="77" t="str">
        <x:v>담당자12</x:v>
      </x:c>
      <x:c r="E17" s="77" t="str">
        <x:v>현금</x:v>
      </x:c>
      <x:c r="F17" s="78" t="str">
        <x:v>Y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10" hidden="0" customWidth="1"/>
    <x:col min="5" max="5" width="12" hidden="0" customWidth="1"/>
    <x:col min="6" max="6" width="10" hidden="0" customWidth="1"/>
    <x:col min="7" max="7" width="14" hidden="0" customWidth="1"/>
    <x:col min="8" max="8" width="12" hidden="0" customWidth="1"/>
    <x:col min="9" max="9" width="14" hidden="0" customWidth="1"/>
    <x:col min="10" max="10" width="18" hidden="0" customWidth="1"/>
  </x:cols>
  <x:sheetData>
    <x:row r="1" ht="30" customHeight="1">
      <x:c r="A1" s="5" t="str">
        <x:v>판매내역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노란색 입력값을 기준으로 공급가액·부가세·합계가 자동 계산됩니다.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5" ht="28" customHeight="1">
      <x:c r="A5" s="30" t="str">
        <x:v>판매일</x:v>
      </x:c>
      <x:c r="B5" s="65" t="str">
        <x:v>거래처코드</x:v>
      </x:c>
      <x:c r="C5" s="65" t="str">
        <x:v>제품</x:v>
      </x:c>
      <x:c r="D5" s="65" t="str">
        <x:v>수량</x:v>
      </x:c>
      <x:c r="E5" s="65" t="str">
        <x:v>단가</x:v>
      </x:c>
      <x:c r="F5" s="65" t="str">
        <x:v>할인율</x:v>
      </x:c>
      <x:c r="G5" s="65" t="str">
        <x:v>공급가액</x:v>
      </x:c>
      <x:c r="H5" s="65" t="str">
        <x:v>부가세</x:v>
      </x:c>
      <x:c r="I5" s="65" t="str">
        <x:v>합계</x:v>
      </x:c>
      <x:c r="J5" s="31" t="str">
        <x:v>비고</x:v>
      </x:c>
    </x:row>
    <x:row r="6">
      <x:c r="A6" s="110" t="n">
        <x:v>46024</x:v>
      </x:c>
      <x:c r="B6" s="72" t="str">
        <x:v>C001</x:v>
      </x:c>
      <x:c r="C6" s="72" t="str">
        <x:v>프리미엄비누</x:v>
      </x:c>
      <x:c r="D6" s="116" t="n">
        <x:v>40</x:v>
      </x:c>
      <x:c r="E6" s="116" t="n">
        <x:v>9500</x:v>
      </x:c>
      <x:c r="F6" s="122" t="n">
        <x:v>0</x:v>
      </x:c>
      <x:c r="G6" s="128" t="n">
        <x:f>D6*E6*(1-F6)</x:f>
        <x:v>380000</x:v>
      </x:c>
      <x:c r="H6" s="129" t="n">
        <x:f>ROUND(G6*0.1,0)</x:f>
        <x:v>38000</x:v>
      </x:c>
      <x:c r="I6" s="130" t="n">
        <x:f>G6+H6</x:f>
        <x:v>418000</x:v>
      </x:c>
      <x:c r="J6" s="88" t="str">
        <x:v>정기주문</x:v>
      </x:c>
    </x:row>
    <x:row r="7">
      <x:c r="A7" s="111" t="n">
        <x:v>46027</x:v>
      </x:c>
      <x:c r="B7" s="70" t="str">
        <x:v>C002</x:v>
      </x:c>
      <x:c r="C7" s="70" t="str">
        <x:v>세안비누</x:v>
      </x:c>
      <x:c r="D7" s="117" t="n">
        <x:v>15</x:v>
      </x:c>
      <x:c r="E7" s="117" t="n">
        <x:v>6500</x:v>
      </x:c>
      <x:c r="F7" s="123" t="n">
        <x:v>0.03</x:v>
      </x:c>
      <x:c r="G7" s="131" t="n">
        <x:f>D7*E7*(1-F7)</x:f>
        <x:v>94575</x:v>
      </x:c>
      <x:c r="H7" s="132" t="n">
        <x:f>ROUND(G7*0.1,0)</x:f>
        <x:v>9458</x:v>
      </x:c>
      <x:c r="I7" s="133" t="n">
        <x:f>G7+H7</x:f>
        <x:v>104033</x:v>
      </x:c>
      <x:c r="J7" s="89" t="str"/>
    </x:row>
    <x:row r="8">
      <x:c r="A8" s="111" t="n">
        <x:v>46030</x:v>
      </x:c>
      <x:c r="B8" s="70" t="str">
        <x:v>C003</x:v>
      </x:c>
      <x:c r="C8" s="70" t="str">
        <x:v>샴푸바</x:v>
      </x:c>
      <x:c r="D8" s="117" t="n">
        <x:v>37</x:v>
      </x:c>
      <x:c r="E8" s="117" t="n">
        <x:v>11600</x:v>
      </x:c>
      <x:c r="F8" s="123" t="n">
        <x:v>0.05</x:v>
      </x:c>
      <x:c r="G8" s="131" t="n">
        <x:f>D8*E8*(1-F8)</x:f>
        <x:v>407740</x:v>
      </x:c>
      <x:c r="H8" s="132" t="n">
        <x:f>ROUND(G8*0.1,0)</x:f>
        <x:v>40774</x:v>
      </x:c>
      <x:c r="I8" s="133" t="n">
        <x:f>G8+H8</x:f>
        <x:v>448514</x:v>
      </x:c>
      <x:c r="J8" s="89" t="str"/>
    </x:row>
    <x:row r="9">
      <x:c r="A9" s="111" t="n">
        <x:v>46033</x:v>
      </x:c>
      <x:c r="B9" s="70" t="str">
        <x:v>C004</x:v>
      </x:c>
      <x:c r="C9" s="70" t="str">
        <x:v>선물세트</x:v>
      </x:c>
      <x:c r="D9" s="117" t="n">
        <x:v>25</x:v>
      </x:c>
      <x:c r="E9" s="117" t="n">
        <x:v>24900</x:v>
      </x:c>
      <x:c r="F9" s="123" t="n">
        <x:v>0.1</x:v>
      </x:c>
      <x:c r="G9" s="131" t="n">
        <x:f>D9*E9*(1-F9)</x:f>
        <x:v>560250</x:v>
      </x:c>
      <x:c r="H9" s="132" t="n">
        <x:f>ROUND(G9*0.1,0)</x:f>
        <x:v>56025</x:v>
      </x:c>
      <x:c r="I9" s="133" t="n">
        <x:f>G9+H9</x:f>
        <x:v>616275</x:v>
      </x:c>
      <x:c r="J9" s="89" t="str"/>
    </x:row>
    <x:row r="10">
      <x:c r="A10" s="111" t="n">
        <x:v>46036</x:v>
      </x:c>
      <x:c r="B10" s="70" t="str">
        <x:v>C005</x:v>
      </x:c>
      <x:c r="C10" s="70" t="str">
        <x:v>프리미엄비누</x:v>
      </x:c>
      <x:c r="D10" s="117" t="n">
        <x:v>32</x:v>
      </x:c>
      <x:c r="E10" s="117" t="n">
        <x:v>9500</x:v>
      </x:c>
      <x:c r="F10" s="123" t="n">
        <x:v>0</x:v>
      </x:c>
      <x:c r="G10" s="131" t="n">
        <x:f>D10*E10*(1-F10)</x:f>
        <x:v>304000</x:v>
      </x:c>
      <x:c r="H10" s="132" t="n">
        <x:f>ROUND(G10*0.1,0)</x:f>
        <x:v>30400</x:v>
      </x:c>
      <x:c r="I10" s="133" t="n">
        <x:f>G10+H10</x:f>
        <x:v>334400</x:v>
      </x:c>
      <x:c r="J10" s="89" t="str"/>
    </x:row>
    <x:row r="11">
      <x:c r="A11" s="111" t="n">
        <x:v>46039</x:v>
      </x:c>
      <x:c r="B11" s="70" t="str">
        <x:v>C006</x:v>
      </x:c>
      <x:c r="C11" s="70" t="str">
        <x:v>세안비누</x:v>
      </x:c>
      <x:c r="D11" s="117" t="n">
        <x:v>6</x:v>
      </x:c>
      <x:c r="E11" s="117" t="n">
        <x:v>6500</x:v>
      </x:c>
      <x:c r="F11" s="123" t="n">
        <x:v>0.03</x:v>
      </x:c>
      <x:c r="G11" s="131" t="n">
        <x:f>D11*E11*(1-F11)</x:f>
        <x:v>37830</x:v>
      </x:c>
      <x:c r="H11" s="132" t="n">
        <x:f>ROUND(G11*0.1,0)</x:f>
        <x:v>3783</x:v>
      </x:c>
      <x:c r="I11" s="133" t="n">
        <x:f>G11+H11</x:f>
        <x:v>41613</x:v>
      </x:c>
      <x:c r="J11" s="89" t="str"/>
    </x:row>
    <x:row r="12">
      <x:c r="A12" s="111" t="n">
        <x:v>46042</x:v>
      </x:c>
      <x:c r="B12" s="70" t="str">
        <x:v>C007</x:v>
      </x:c>
      <x:c r="C12" s="70" t="str">
        <x:v>샴푸바</x:v>
      </x:c>
      <x:c r="D12" s="117" t="n">
        <x:v>45</x:v>
      </x:c>
      <x:c r="E12" s="117" t="n">
        <x:v>11600</x:v>
      </x:c>
      <x:c r="F12" s="123" t="n">
        <x:v>0.05</x:v>
      </x:c>
      <x:c r="G12" s="131" t="n">
        <x:f>D12*E12*(1-F12)</x:f>
        <x:v>495900</x:v>
      </x:c>
      <x:c r="H12" s="132" t="n">
        <x:f>ROUND(G12*0.1,0)</x:f>
        <x:v>49590</x:v>
      </x:c>
      <x:c r="I12" s="133" t="n">
        <x:f>G12+H12</x:f>
        <x:v>545490</x:v>
      </x:c>
      <x:c r="J12" s="89" t="str"/>
    </x:row>
    <x:row r="13">
      <x:c r="A13" s="111" t="n">
        <x:v>46045</x:v>
      </x:c>
      <x:c r="B13" s="70" t="str">
        <x:v>C008</x:v>
      </x:c>
      <x:c r="C13" s="70" t="str">
        <x:v>선물세트</x:v>
      </x:c>
      <x:c r="D13" s="117" t="n">
        <x:v>35</x:v>
      </x:c>
      <x:c r="E13" s="117" t="n">
        <x:v>24900</x:v>
      </x:c>
      <x:c r="F13" s="123" t="n">
        <x:v>0.1</x:v>
      </x:c>
      <x:c r="G13" s="131" t="n">
        <x:f>D13*E13*(1-F13)</x:f>
        <x:v>784350</x:v>
      </x:c>
      <x:c r="H13" s="132" t="n">
        <x:f>ROUND(G13*0.1,0)</x:f>
        <x:v>78435</x:v>
      </x:c>
      <x:c r="I13" s="133" t="n">
        <x:f>G13+H13</x:f>
        <x:v>862785</x:v>
      </x:c>
      <x:c r="J13" s="89" t="str">
        <x:v>정기주문</x:v>
      </x:c>
    </x:row>
    <x:row r="14">
      <x:c r="A14" s="111" t="n">
        <x:v>46048</x:v>
      </x:c>
      <x:c r="B14" s="70" t="str">
        <x:v>C009</x:v>
      </x:c>
      <x:c r="C14" s="70" t="str">
        <x:v>프리미엄비누</x:v>
      </x:c>
      <x:c r="D14" s="117" t="n">
        <x:v>16</x:v>
      </x:c>
      <x:c r="E14" s="117" t="n">
        <x:v>9500</x:v>
      </x:c>
      <x:c r="F14" s="123" t="n">
        <x:v>0</x:v>
      </x:c>
      <x:c r="G14" s="131" t="n">
        <x:f>D14*E14*(1-F14)</x:f>
        <x:v>152000</x:v>
      </x:c>
      <x:c r="H14" s="132" t="n">
        <x:f>ROUND(G14*0.1,0)</x:f>
        <x:v>15200</x:v>
      </x:c>
      <x:c r="I14" s="133" t="n">
        <x:f>G14+H14</x:f>
        <x:v>167200</x:v>
      </x:c>
      <x:c r="J14" s="89" t="str"/>
    </x:row>
    <x:row r="15">
      <x:c r="A15" s="111" t="n">
        <x:v>46051</x:v>
      </x:c>
      <x:c r="B15" s="70" t="str">
        <x:v>C010</x:v>
      </x:c>
      <x:c r="C15" s="70" t="str">
        <x:v>세안비누</x:v>
      </x:c>
      <x:c r="D15" s="117" t="n">
        <x:v>41</x:v>
      </x:c>
      <x:c r="E15" s="117" t="n">
        <x:v>6500</x:v>
      </x:c>
      <x:c r="F15" s="123" t="n">
        <x:v>0.03</x:v>
      </x:c>
      <x:c r="G15" s="131" t="n">
        <x:f>D15*E15*(1-F15)</x:f>
        <x:v>258505</x:v>
      </x:c>
      <x:c r="H15" s="132" t="n">
        <x:f>ROUND(G15*0.1,0)</x:f>
        <x:v>25851</x:v>
      </x:c>
      <x:c r="I15" s="133" t="n">
        <x:f>G15+H15</x:f>
        <x:v>284356</x:v>
      </x:c>
      <x:c r="J15" s="89" t="str"/>
    </x:row>
    <x:row r="16">
      <x:c r="A16" s="111" t="n">
        <x:v>46054</x:v>
      </x:c>
      <x:c r="B16" s="70" t="str">
        <x:v>C011</x:v>
      </x:c>
      <x:c r="C16" s="70" t="str">
        <x:v>샴푸바</x:v>
      </x:c>
      <x:c r="D16" s="117" t="n">
        <x:v>17</x:v>
      </x:c>
      <x:c r="E16" s="117" t="n">
        <x:v>11600</x:v>
      </x:c>
      <x:c r="F16" s="123" t="n">
        <x:v>0.05</x:v>
      </x:c>
      <x:c r="G16" s="131" t="n">
        <x:f>D16*E16*(1-F16)</x:f>
        <x:v>187340</x:v>
      </x:c>
      <x:c r="H16" s="132" t="n">
        <x:f>ROUND(G16*0.1,0)</x:f>
        <x:v>18734</x:v>
      </x:c>
      <x:c r="I16" s="133" t="n">
        <x:f>G16+H16</x:f>
        <x:v>206074</x:v>
      </x:c>
      <x:c r="J16" s="89" t="str"/>
    </x:row>
    <x:row r="17">
      <x:c r="A17" s="111" t="n">
        <x:v>46057</x:v>
      </x:c>
      <x:c r="B17" s="70" t="str">
        <x:v>C012</x:v>
      </x:c>
      <x:c r="C17" s="70" t="str">
        <x:v>선물세트</x:v>
      </x:c>
      <x:c r="D17" s="117" t="n">
        <x:v>21</x:v>
      </x:c>
      <x:c r="E17" s="117" t="n">
        <x:v>24900</x:v>
      </x:c>
      <x:c r="F17" s="123" t="n">
        <x:v>0.1</x:v>
      </x:c>
      <x:c r="G17" s="131" t="n">
        <x:f>D17*E17*(1-F17)</x:f>
        <x:v>470610</x:v>
      </x:c>
      <x:c r="H17" s="132" t="n">
        <x:f>ROUND(G17*0.1,0)</x:f>
        <x:v>47061</x:v>
      </x:c>
      <x:c r="I17" s="133" t="n">
        <x:f>G17+H17</x:f>
        <x:v>517671</x:v>
      </x:c>
      <x:c r="J17" s="89" t="str"/>
    </x:row>
    <x:row r="18">
      <x:c r="A18" s="111" t="n">
        <x:v>46060</x:v>
      </x:c>
      <x:c r="B18" s="70" t="str">
        <x:v>C001</x:v>
      </x:c>
      <x:c r="C18" s="70" t="str">
        <x:v>프리미엄비누</x:v>
      </x:c>
      <x:c r="D18" s="117" t="n">
        <x:v>34</x:v>
      </x:c>
      <x:c r="E18" s="117" t="n">
        <x:v>9500</x:v>
      </x:c>
      <x:c r="F18" s="123" t="n">
        <x:v>0</x:v>
      </x:c>
      <x:c r="G18" s="131" t="n">
        <x:f>D18*E18*(1-F18)</x:f>
        <x:v>323000</x:v>
      </x:c>
      <x:c r="H18" s="132" t="n">
        <x:f>ROUND(G18*0.1,0)</x:f>
        <x:v>32300</x:v>
      </x:c>
      <x:c r="I18" s="133" t="n">
        <x:f>G18+H18</x:f>
        <x:v>355300</x:v>
      </x:c>
      <x:c r="J18" s="89" t="str"/>
    </x:row>
    <x:row r="19">
      <x:c r="A19" s="111" t="n">
        <x:v>46063</x:v>
      </x:c>
      <x:c r="B19" s="70" t="str">
        <x:v>C002</x:v>
      </x:c>
      <x:c r="C19" s="70" t="str">
        <x:v>세안비누</x:v>
      </x:c>
      <x:c r="D19" s="117" t="n">
        <x:v>16</x:v>
      </x:c>
      <x:c r="E19" s="117" t="n">
        <x:v>6500</x:v>
      </x:c>
      <x:c r="F19" s="123" t="n">
        <x:v>0.03</x:v>
      </x:c>
      <x:c r="G19" s="131" t="n">
        <x:f>D19*E19*(1-F19)</x:f>
        <x:v>100880</x:v>
      </x:c>
      <x:c r="H19" s="132" t="n">
        <x:f>ROUND(G19*0.1,0)</x:f>
        <x:v>10088</x:v>
      </x:c>
      <x:c r="I19" s="133" t="n">
        <x:f>G19+H19</x:f>
        <x:v>110968</x:v>
      </x:c>
      <x:c r="J19" s="89" t="str"/>
    </x:row>
    <x:row r="20">
      <x:c r="A20" s="111" t="n">
        <x:v>46066</x:v>
      </x:c>
      <x:c r="B20" s="70" t="str">
        <x:v>C003</x:v>
      </x:c>
      <x:c r="C20" s="70" t="str">
        <x:v>샴푸바</x:v>
      </x:c>
      <x:c r="D20" s="117" t="n">
        <x:v>24</x:v>
      </x:c>
      <x:c r="E20" s="117" t="n">
        <x:v>11600</x:v>
      </x:c>
      <x:c r="F20" s="123" t="n">
        <x:v>0.05</x:v>
      </x:c>
      <x:c r="G20" s="131" t="n">
        <x:f>D20*E20*(1-F20)</x:f>
        <x:v>264480</x:v>
      </x:c>
      <x:c r="H20" s="132" t="n">
        <x:f>ROUND(G20*0.1,0)</x:f>
        <x:v>26448</x:v>
      </x:c>
      <x:c r="I20" s="133" t="n">
        <x:f>G20+H20</x:f>
        <x:v>290928</x:v>
      </x:c>
      <x:c r="J20" s="89" t="str">
        <x:v>정기주문</x:v>
      </x:c>
    </x:row>
    <x:row r="21">
      <x:c r="A21" s="111" t="n">
        <x:v>46069</x:v>
      </x:c>
      <x:c r="B21" s="70" t="str">
        <x:v>C004</x:v>
      </x:c>
      <x:c r="C21" s="70" t="str">
        <x:v>선물세트</x:v>
      </x:c>
      <x:c r="D21" s="117" t="n">
        <x:v>31</x:v>
      </x:c>
      <x:c r="E21" s="117" t="n">
        <x:v>24900</x:v>
      </x:c>
      <x:c r="F21" s="123" t="n">
        <x:v>0.1</x:v>
      </x:c>
      <x:c r="G21" s="131" t="n">
        <x:f>D21*E21*(1-F21)</x:f>
        <x:v>694710</x:v>
      </x:c>
      <x:c r="H21" s="132" t="n">
        <x:f>ROUND(G21*0.1,0)</x:f>
        <x:v>69471</x:v>
      </x:c>
      <x:c r="I21" s="133" t="n">
        <x:f>G21+H21</x:f>
        <x:v>764181</x:v>
      </x:c>
      <x:c r="J21" s="89" t="str"/>
    </x:row>
    <x:row r="22">
      <x:c r="A22" s="111" t="n">
        <x:v>46072</x:v>
      </x:c>
      <x:c r="B22" s="70" t="str">
        <x:v>C005</x:v>
      </x:c>
      <x:c r="C22" s="70" t="str">
        <x:v>프리미엄비누</x:v>
      </x:c>
      <x:c r="D22" s="117" t="n">
        <x:v>7</x:v>
      </x:c>
      <x:c r="E22" s="117" t="n">
        <x:v>9500</x:v>
      </x:c>
      <x:c r="F22" s="123" t="n">
        <x:v>0</x:v>
      </x:c>
      <x:c r="G22" s="131" t="n">
        <x:f>D22*E22*(1-F22)</x:f>
        <x:v>66500</x:v>
      </x:c>
      <x:c r="H22" s="132" t="n">
        <x:f>ROUND(G22*0.1,0)</x:f>
        <x:v>6650</x:v>
      </x:c>
      <x:c r="I22" s="133" t="n">
        <x:f>G22+H22</x:f>
        <x:v>73150</x:v>
      </x:c>
      <x:c r="J22" s="89" t="str"/>
    </x:row>
    <x:row r="23">
      <x:c r="A23" s="111" t="n">
        <x:v>46075</x:v>
      </x:c>
      <x:c r="B23" s="70" t="str">
        <x:v>C006</x:v>
      </x:c>
      <x:c r="C23" s="70" t="str">
        <x:v>세안비누</x:v>
      </x:c>
      <x:c r="D23" s="117" t="n">
        <x:v>19</x:v>
      </x:c>
      <x:c r="E23" s="117" t="n">
        <x:v>6500</x:v>
      </x:c>
      <x:c r="F23" s="123" t="n">
        <x:v>0.03</x:v>
      </x:c>
      <x:c r="G23" s="131" t="n">
        <x:f>SUM(D23:E23)</x:f>
        <x:v>6519</x:v>
      </x:c>
      <x:c r="H23" s="132" t="n">
        <x:f>ROUND(G23*0.1,0)</x:f>
        <x:v>652</x:v>
      </x:c>
      <x:c r="I23" s="133" t="n">
        <x:f>G23+H23</x:f>
        <x:v>7171</x:v>
      </x:c>
      <x:c r="J23" s="89" t="str"/>
    </x:row>
    <x:row r="24">
      <x:c r="A24" s="111" t="n">
        <x:v>46078</x:v>
      </x:c>
      <x:c r="B24" s="70" t="str">
        <x:v>C007</x:v>
      </x:c>
      <x:c r="C24" s="70" t="str">
        <x:v>샴푸바</x:v>
      </x:c>
      <x:c r="D24" s="117" t="n">
        <x:v>15</x:v>
      </x:c>
      <x:c r="E24" s="117" t="n">
        <x:v>11600</x:v>
      </x:c>
      <x:c r="F24" s="123" t="n">
        <x:v>0.05</x:v>
      </x:c>
      <x:c r="G24" s="131" t="n">
        <x:f>D24*E24*(1-F24)</x:f>
        <x:v>165300</x:v>
      </x:c>
      <x:c r="H24" s="132" t="n">
        <x:f>ROUND(G24*0.1,0)</x:f>
        <x:v>16530</x:v>
      </x:c>
      <x:c r="I24" s="133" t="n">
        <x:f>G24+H24</x:f>
        <x:v>181830</x:v>
      </x:c>
      <x:c r="J24" s="89" t="str"/>
    </x:row>
    <x:row r="25">
      <x:c r="A25" s="111" t="n">
        <x:v>46081</x:v>
      </x:c>
      <x:c r="B25" s="70" t="str">
        <x:v>C008</x:v>
      </x:c>
      <x:c r="C25" s="70" t="str">
        <x:v>선물세트</x:v>
      </x:c>
      <x:c r="D25" s="117" t="n">
        <x:v>13</x:v>
      </x:c>
      <x:c r="E25" s="117" t="n">
        <x:v>24900</x:v>
      </x:c>
      <x:c r="F25" s="123" t="n">
        <x:v>0.1</x:v>
      </x:c>
      <x:c r="G25" s="131" t="n">
        <x:f>D25*E25*(1-F25)</x:f>
        <x:v>291330</x:v>
      </x:c>
      <x:c r="H25" s="132" t="n">
        <x:f>ROUND(G25*0.1,0)</x:f>
        <x:v>29133</x:v>
      </x:c>
      <x:c r="I25" s="133" t="n">
        <x:f>G25+H25</x:f>
        <x:v>320463</x:v>
      </x:c>
      <x:c r="J25" s="89" t="str"/>
    </x:row>
    <x:row r="26">
      <x:c r="A26" s="111" t="n">
        <x:v>46084</x:v>
      </x:c>
      <x:c r="B26" s="70" t="str">
        <x:v>C009</x:v>
      </x:c>
      <x:c r="C26" s="70" t="str">
        <x:v>프리미엄비누</x:v>
      </x:c>
      <x:c r="D26" s="117" t="n">
        <x:v>8</x:v>
      </x:c>
      <x:c r="E26" s="117" t="n">
        <x:v>9500</x:v>
      </x:c>
      <x:c r="F26" s="123" t="n">
        <x:v>0</x:v>
      </x:c>
      <x:c r="G26" s="131" t="n">
        <x:f>D26*E26*(1-F26)</x:f>
        <x:v>76000</x:v>
      </x:c>
      <x:c r="H26" s="132" t="n">
        <x:f>ROUND(G26*0.1,0)</x:f>
        <x:v>7600</x:v>
      </x:c>
      <x:c r="I26" s="133" t="n">
        <x:f>G26+H26</x:f>
        <x:v>83600</x:v>
      </x:c>
      <x:c r="J26" s="89" t="str"/>
    </x:row>
    <x:row r="27">
      <x:c r="A27" s="111" t="n">
        <x:v>46087</x:v>
      </x:c>
      <x:c r="B27" s="70" t="str">
        <x:v>C010</x:v>
      </x:c>
      <x:c r="C27" s="70" t="str">
        <x:v>세안비누</x:v>
      </x:c>
      <x:c r="D27" s="117" t="n">
        <x:v>31</x:v>
      </x:c>
      <x:c r="E27" s="117" t="n">
        <x:v>6500</x:v>
      </x:c>
      <x:c r="F27" s="123" t="n">
        <x:v>0.03</x:v>
      </x:c>
      <x:c r="G27" s="131" t="n">
        <x:f>D27*E27*(1-F27)</x:f>
        <x:v>195455</x:v>
      </x:c>
      <x:c r="H27" s="132" t="n">
        <x:f>ROUND(G27*0.1,0)</x:f>
        <x:v>19546</x:v>
      </x:c>
      <x:c r="I27" s="133" t="n">
        <x:f>G27+H27</x:f>
        <x:v>215001</x:v>
      </x:c>
      <x:c r="J27" s="89" t="str">
        <x:v>정기주문</x:v>
      </x:c>
    </x:row>
    <x:row r="28">
      <x:c r="A28" s="111" t="n">
        <x:v>46090</x:v>
      </x:c>
      <x:c r="B28" s="70" t="str">
        <x:v>C011</x:v>
      </x:c>
      <x:c r="C28" s="70" t="str">
        <x:v>샴푸바</x:v>
      </x:c>
      <x:c r="D28" s="117" t="n">
        <x:v>37</x:v>
      </x:c>
      <x:c r="E28" s="117" t="n">
        <x:v>11600</x:v>
      </x:c>
      <x:c r="F28" s="123" t="n">
        <x:v>0.05</x:v>
      </x:c>
      <x:c r="G28" s="131" t="n">
        <x:f>D28*E28*(1-F28)</x:f>
        <x:v>407740</x:v>
      </x:c>
      <x:c r="H28" s="132" t="n">
        <x:f>ROUND(G28*0.1,0)</x:f>
        <x:v>40774</x:v>
      </x:c>
      <x:c r="I28" s="133" t="n">
        <x:f>G28+H28</x:f>
        <x:v>448514</x:v>
      </x:c>
      <x:c r="J28" s="89" t="str"/>
    </x:row>
    <x:row r="29">
      <x:c r="A29" s="111" t="n">
        <x:v>46093</x:v>
      </x:c>
      <x:c r="B29" s="70" t="str">
        <x:v>C012</x:v>
      </x:c>
      <x:c r="C29" s="70" t="str">
        <x:v>선물세트</x:v>
      </x:c>
      <x:c r="D29" s="117" t="n">
        <x:v>26</x:v>
      </x:c>
      <x:c r="E29" s="117" t="n">
        <x:v>24900</x:v>
      </x:c>
      <x:c r="F29" s="123" t="n">
        <x:v>0.1</x:v>
      </x:c>
      <x:c r="G29" s="131" t="n">
        <x:f>D29*E29*(1-F29)</x:f>
        <x:v>582660</x:v>
      </x:c>
      <x:c r="H29" s="132" t="n">
        <x:f>ROUND(G29*0.1,0)</x:f>
        <x:v>58266</x:v>
      </x:c>
      <x:c r="I29" s="133" t="n">
        <x:f>G29+H29</x:f>
        <x:v>640926</x:v>
      </x:c>
      <x:c r="J29" s="89" t="str"/>
    </x:row>
    <x:row r="30">
      <x:c r="A30" s="111" t="n">
        <x:v>46096</x:v>
      </x:c>
      <x:c r="B30" s="70" t="str">
        <x:v>C001</x:v>
      </x:c>
      <x:c r="C30" s="70" t="str">
        <x:v>프리미엄비누</x:v>
      </x:c>
      <x:c r="D30" s="117" t="n">
        <x:v>15</x:v>
      </x:c>
      <x:c r="E30" s="117" t="n">
        <x:v>9500</x:v>
      </x:c>
      <x:c r="F30" s="123" t="n">
        <x:v>0</x:v>
      </x:c>
      <x:c r="G30" s="131" t="n">
        <x:f>D30*E30*(1-F30)</x:f>
        <x:v>142500</x:v>
      </x:c>
      <x:c r="H30" s="132" t="n">
        <x:f>ROUND(G30*0.1,0)</x:f>
        <x:v>14250</x:v>
      </x:c>
      <x:c r="I30" s="133" t="n">
        <x:f>G30+H30</x:f>
        <x:v>156750</x:v>
      </x:c>
      <x:c r="J30" s="89" t="str"/>
    </x:row>
    <x:row r="31">
      <x:c r="A31" s="111" t="n">
        <x:v>46099</x:v>
      </x:c>
      <x:c r="B31" s="70" t="str">
        <x:v>C002</x:v>
      </x:c>
      <x:c r="C31" s="70" t="str">
        <x:v>세안비누</x:v>
      </x:c>
      <x:c r="D31" s="117" t="n">
        <x:v>33</x:v>
      </x:c>
      <x:c r="E31" s="117" t="n">
        <x:v>6500</x:v>
      </x:c>
      <x:c r="F31" s="123" t="n">
        <x:v>0.03</x:v>
      </x:c>
      <x:c r="G31" s="131" t="n">
        <x:f>D31*E31*(1-F31)</x:f>
        <x:v>208065</x:v>
      </x:c>
      <x:c r="H31" s="132" t="n">
        <x:f>ROUND(G31*0.1,0)</x:f>
        <x:v>20807</x:v>
      </x:c>
      <x:c r="I31" s="133" t="n">
        <x:f>G31+H31</x:f>
        <x:v>228872</x:v>
      </x:c>
      <x:c r="J31" s="89" t="str"/>
    </x:row>
    <x:row r="32">
      <x:c r="A32" s="111" t="n">
        <x:v>46102</x:v>
      </x:c>
      <x:c r="B32" s="70" t="str">
        <x:v>C003</x:v>
      </x:c>
      <x:c r="C32" s="70" t="str">
        <x:v>샴푸바</x:v>
      </x:c>
      <x:c r="D32" s="117" t="n">
        <x:v>23</x:v>
      </x:c>
      <x:c r="E32" s="117" t="n">
        <x:v>11600</x:v>
      </x:c>
      <x:c r="F32" s="123" t="n">
        <x:v>0.05</x:v>
      </x:c>
      <x:c r="G32" s="131" t="n">
        <x:f>D32*E32*(1-F32)</x:f>
        <x:v>253460</x:v>
      </x:c>
      <x:c r="H32" s="132" t="n">
        <x:f>ROUND(G32*0.1,0)</x:f>
        <x:v>25346</x:v>
      </x:c>
      <x:c r="I32" s="133" t="n">
        <x:f>G32+H32</x:f>
        <x:v>278806</x:v>
      </x:c>
      <x:c r="J32" s="89" t="str"/>
    </x:row>
    <x:row r="33">
      <x:c r="A33" s="111" t="n">
        <x:v>46105</x:v>
      </x:c>
      <x:c r="B33" s="70" t="str">
        <x:v>C004</x:v>
      </x:c>
      <x:c r="C33" s="70" t="str">
        <x:v>선물세트</x:v>
      </x:c>
      <x:c r="D33" s="117" t="n">
        <x:v>18</x:v>
      </x:c>
      <x:c r="E33" s="117" t="n">
        <x:v>24900</x:v>
      </x:c>
      <x:c r="F33" s="123" t="n">
        <x:v>0.1</x:v>
      </x:c>
      <x:c r="G33" s="131" t="n">
        <x:f>D33*E33*(1-F33)</x:f>
        <x:v>403380</x:v>
      </x:c>
      <x:c r="H33" s="132" t="n">
        <x:f>ROUND(G33*0.1,0)</x:f>
        <x:v>40338</x:v>
      </x:c>
      <x:c r="I33" s="133" t="n">
        <x:f>G33+H33</x:f>
        <x:v>443718</x:v>
      </x:c>
      <x:c r="J33" s="89" t="str"/>
    </x:row>
    <x:row r="34">
      <x:c r="A34" s="111" t="n">
        <x:v>46108</x:v>
      </x:c>
      <x:c r="B34" s="70" t="str">
        <x:v>C005</x:v>
      </x:c>
      <x:c r="C34" s="70" t="str">
        <x:v>프리미엄비누</x:v>
      </x:c>
      <x:c r="D34" s="117" t="n">
        <x:v>43</x:v>
      </x:c>
      <x:c r="E34" s="117" t="n">
        <x:v>9500</x:v>
      </x:c>
      <x:c r="F34" s="123" t="n">
        <x:v>0</x:v>
      </x:c>
      <x:c r="G34" s="131" t="n">
        <x:f>D34*E34*(1-F34)</x:f>
        <x:v>408500</x:v>
      </x:c>
      <x:c r="H34" s="132" t="n">
        <x:f>ROUND(G34*0.1,0)</x:f>
        <x:v>40850</x:v>
      </x:c>
      <x:c r="I34" s="133" t="n">
        <x:f>G34+H34</x:f>
        <x:v>449350</x:v>
      </x:c>
      <x:c r="J34" s="89" t="str">
        <x:v>정기주문</x:v>
      </x:c>
    </x:row>
    <x:row r="35">
      <x:c r="A35" s="111" t="n">
        <x:v>46111</x:v>
      </x:c>
      <x:c r="B35" s="70" t="str">
        <x:v>C006</x:v>
      </x:c>
      <x:c r="C35" s="70" t="str">
        <x:v>세안비누</x:v>
      </x:c>
      <x:c r="D35" s="117" t="n">
        <x:v>28</x:v>
      </x:c>
      <x:c r="E35" s="117" t="n">
        <x:v>6500</x:v>
      </x:c>
      <x:c r="F35" s="123" t="n">
        <x:v>0.03</x:v>
      </x:c>
      <x:c r="G35" s="131" t="n">
        <x:f>D35*E35*(1-F35)</x:f>
        <x:v>176540</x:v>
      </x:c>
      <x:c r="H35" s="132" t="n">
        <x:f>ROUND(G35*0.1,0)</x:f>
        <x:v>17654</x:v>
      </x:c>
      <x:c r="I35" s="133" t="n">
        <x:f>G35+H35</x:f>
        <x:v>194194</x:v>
      </x:c>
      <x:c r="J35" s="89" t="str"/>
    </x:row>
    <x:row r="36">
      <x:c r="A36" s="111" t="n">
        <x:v>46114</x:v>
      </x:c>
      <x:c r="B36" s="70" t="str">
        <x:v>C007</x:v>
      </x:c>
      <x:c r="C36" s="70" t="str">
        <x:v>샴푸바</x:v>
      </x:c>
      <x:c r="D36" s="117" t="n">
        <x:v>30</x:v>
      </x:c>
      <x:c r="E36" s="117" t="n">
        <x:v>11600</x:v>
      </x:c>
      <x:c r="F36" s="123" t="n">
        <x:v>0.05</x:v>
      </x:c>
      <x:c r="G36" s="131" t="n">
        <x:f>D36*E36*(1-F36)</x:f>
        <x:v>330600</x:v>
      </x:c>
      <x:c r="H36" s="132" t="n">
        <x:f>ROUND(G36*0.1,0)</x:f>
        <x:v>33060</x:v>
      </x:c>
      <x:c r="I36" s="133" t="n">
        <x:f>G36+H36</x:f>
        <x:v>363660</x:v>
      </x:c>
      <x:c r="J36" s="89" t="str"/>
    </x:row>
    <x:row r="37">
      <x:c r="A37" s="111" t="n">
        <x:v>46117</x:v>
      </x:c>
      <x:c r="B37" s="70" t="str">
        <x:v>C008</x:v>
      </x:c>
      <x:c r="C37" s="70" t="str">
        <x:v>선물세트</x:v>
      </x:c>
      <x:c r="D37" s="117" t="n">
        <x:v>16</x:v>
      </x:c>
      <x:c r="E37" s="117" t="n">
        <x:v>24900</x:v>
      </x:c>
      <x:c r="F37" s="123" t="n">
        <x:v>0.1</x:v>
      </x:c>
      <x:c r="G37" s="131" t="n">
        <x:f>D37*E37*(1-F37)</x:f>
        <x:v>358560</x:v>
      </x:c>
      <x:c r="H37" s="132" t="n">
        <x:v>4500</x:v>
      </x:c>
      <x:c r="I37" s="133" t="n">
        <x:f>G37+H37</x:f>
        <x:v>363060</x:v>
      </x:c>
      <x:c r="J37" s="89" t="str"/>
    </x:row>
    <x:row r="38">
      <x:c r="A38" s="111" t="n">
        <x:v>46120</x:v>
      </x:c>
      <x:c r="B38" s="70" t="str">
        <x:v>C009</x:v>
      </x:c>
      <x:c r="C38" s="70" t="str">
        <x:v>프리미엄비누</x:v>
      </x:c>
      <x:c r="D38" s="117" t="n">
        <x:v>7</x:v>
      </x:c>
      <x:c r="E38" s="117" t="n">
        <x:v>9500</x:v>
      </x:c>
      <x:c r="F38" s="123" t="n">
        <x:v>0</x:v>
      </x:c>
      <x:c r="G38" s="131" t="n">
        <x:f>D38*E38*(1-F38)</x:f>
        <x:v>66500</x:v>
      </x:c>
      <x:c r="H38" s="132" t="n">
        <x:f>ROUND(G38*0.1,0)</x:f>
        <x:v>6650</x:v>
      </x:c>
      <x:c r="I38" s="133" t="n">
        <x:f>G38+H38</x:f>
        <x:v>73150</x:v>
      </x:c>
      <x:c r="J38" s="89" t="str"/>
    </x:row>
    <x:row r="39">
      <x:c r="A39" s="111" t="n">
        <x:v>46123</x:v>
      </x:c>
      <x:c r="B39" s="70" t="str">
        <x:v>C010</x:v>
      </x:c>
      <x:c r="C39" s="70" t="str">
        <x:v>세안비누</x:v>
      </x:c>
      <x:c r="D39" s="117" t="n">
        <x:v>30</x:v>
      </x:c>
      <x:c r="E39" s="117" t="n">
        <x:v>6500</x:v>
      </x:c>
      <x:c r="F39" s="123" t="n">
        <x:v>0.03</x:v>
      </x:c>
      <x:c r="G39" s="131" t="n">
        <x:f>D39*E39*(1-F39)</x:f>
        <x:v>189150</x:v>
      </x:c>
      <x:c r="H39" s="132" t="n">
        <x:f>ROUND(G39*0.1,0)</x:f>
        <x:v>18915</x:v>
      </x:c>
      <x:c r="I39" s="133" t="n">
        <x:f>G39+H39</x:f>
        <x:v>208065</x:v>
      </x:c>
      <x:c r="J39" s="89" t="str"/>
    </x:row>
    <x:row r="40">
      <x:c r="A40" s="111" t="n">
        <x:v>46126</x:v>
      </x:c>
      <x:c r="B40" s="70" t="str">
        <x:v>C011</x:v>
      </x:c>
      <x:c r="C40" s="70" t="str">
        <x:v>샴푸바</x:v>
      </x:c>
      <x:c r="D40" s="117" t="n">
        <x:v>32</x:v>
      </x:c>
      <x:c r="E40" s="117" t="n">
        <x:v>11600</x:v>
      </x:c>
      <x:c r="F40" s="123" t="n">
        <x:v>0.05</x:v>
      </x:c>
      <x:c r="G40" s="131" t="n">
        <x:f>D40*E40*(1-F40)</x:f>
        <x:v>352640</x:v>
      </x:c>
      <x:c r="H40" s="132" t="n">
        <x:f>ROUND(G40*0.1,0)</x:f>
        <x:v>35264</x:v>
      </x:c>
      <x:c r="I40" s="133" t="n">
        <x:f>G40+H40</x:f>
        <x:v>387904</x:v>
      </x:c>
      <x:c r="J40" s="89" t="str"/>
    </x:row>
    <x:row r="41">
      <x:c r="A41" s="111" t="n">
        <x:v>46129</x:v>
      </x:c>
      <x:c r="B41" s="70" t="str">
        <x:v>C012</x:v>
      </x:c>
      <x:c r="C41" s="70" t="str">
        <x:v>선물세트</x:v>
      </x:c>
      <x:c r="D41" s="117" t="n">
        <x:v>22</x:v>
      </x:c>
      <x:c r="E41" s="117" t="n">
        <x:v>24900</x:v>
      </x:c>
      <x:c r="F41" s="123" t="n">
        <x:v>0.1</x:v>
      </x:c>
      <x:c r="G41" s="131" t="n">
        <x:f>D41*E41*(1-F41)</x:f>
        <x:v>493020</x:v>
      </x:c>
      <x:c r="H41" s="132" t="n">
        <x:f>ROUND(G41*0.1,0)</x:f>
        <x:v>49302</x:v>
      </x:c>
      <x:c r="I41" s="133" t="n">
        <x:f>G41+H41</x:f>
        <x:v>542322</x:v>
      </x:c>
      <x:c r="J41" s="89" t="str">
        <x:v>정기주문</x:v>
      </x:c>
    </x:row>
    <x:row r="42">
      <x:c r="A42" s="111" t="n">
        <x:v>46132</x:v>
      </x:c>
      <x:c r="B42" s="70" t="str">
        <x:v>C001</x:v>
      </x:c>
      <x:c r="C42" s="70" t="str">
        <x:v>프리미엄비누</x:v>
      </x:c>
      <x:c r="D42" s="117" t="n">
        <x:v>16</x:v>
      </x:c>
      <x:c r="E42" s="117" t="n">
        <x:v>9500</x:v>
      </x:c>
      <x:c r="F42" s="123" t="n">
        <x:v>0</x:v>
      </x:c>
      <x:c r="G42" s="131" t="n">
        <x:f>D42*E42*(1-F42)</x:f>
        <x:v>152000</x:v>
      </x:c>
      <x:c r="H42" s="132" t="n">
        <x:f>ROUND(G42*0.1,0)</x:f>
        <x:v>15200</x:v>
      </x:c>
      <x:c r="I42" s="133" t="n">
        <x:f>G42+H42</x:f>
        <x:v>167200</x:v>
      </x:c>
      <x:c r="J42" s="89" t="str"/>
    </x:row>
    <x:row r="43">
      <x:c r="A43" s="111" t="n">
        <x:v>46135</x:v>
      </x:c>
      <x:c r="B43" s="70" t="str">
        <x:v>C002</x:v>
      </x:c>
      <x:c r="C43" s="70" t="str">
        <x:v>세안비누</x:v>
      </x:c>
      <x:c r="D43" s="117" t="n">
        <x:v>10</x:v>
      </x:c>
      <x:c r="E43" s="117" t="n">
        <x:v>6500</x:v>
      </x:c>
      <x:c r="F43" s="123" t="n">
        <x:v>0.03</x:v>
      </x:c>
      <x:c r="G43" s="131" t="n">
        <x:f>D43*E43*(1-F43)</x:f>
        <x:v>63050</x:v>
      </x:c>
      <x:c r="H43" s="132" t="n">
        <x:f>ROUND(G43*0.1,0)</x:f>
        <x:v>6305</x:v>
      </x:c>
      <x:c r="I43" s="133" t="n">
        <x:f>G43+H43</x:f>
        <x:v>69355</x:v>
      </x:c>
      <x:c r="J43" s="89" t="str"/>
    </x:row>
    <x:row r="44">
      <x:c r="A44" s="111" t="n">
        <x:v>46138</x:v>
      </x:c>
      <x:c r="B44" s="70" t="str">
        <x:v>C003</x:v>
      </x:c>
      <x:c r="C44" s="70" t="str">
        <x:v>샴푸바</x:v>
      </x:c>
      <x:c r="D44" s="117" t="n">
        <x:v>44</x:v>
      </x:c>
      <x:c r="E44" s="117" t="n">
        <x:v>11600</x:v>
      </x:c>
      <x:c r="F44" s="123" t="n">
        <x:v>0.05</x:v>
      </x:c>
      <x:c r="G44" s="131" t="n">
        <x:f>D44*E44*(1-F44)</x:f>
        <x:v>484880</x:v>
      </x:c>
      <x:c r="H44" s="132" t="n">
        <x:f>ROUND(G44*0.1,0)</x:f>
        <x:v>48488</x:v>
      </x:c>
      <x:c r="I44" s="133" t="n">
        <x:f>G44+H44</x:f>
        <x:v>533368</x:v>
      </x:c>
      <x:c r="J44" s="89" t="str"/>
    </x:row>
    <x:row r="45">
      <x:c r="A45" s="111" t="n">
        <x:v>46141</x:v>
      </x:c>
      <x:c r="B45" s="70" t="str">
        <x:v>C004</x:v>
      </x:c>
      <x:c r="C45" s="70" t="str">
        <x:v>선물세트</x:v>
      </x:c>
      <x:c r="D45" s="117" t="n">
        <x:v>42</x:v>
      </x:c>
      <x:c r="E45" s="117" t="n">
        <x:v>24900</x:v>
      </x:c>
      <x:c r="F45" s="123" t="n">
        <x:v>0.1</x:v>
      </x:c>
      <x:c r="G45" s="131" t="n">
        <x:f>D45*E45*(1-F45)</x:f>
        <x:v>941220</x:v>
      </x:c>
      <x:c r="H45" s="132" t="n">
        <x:f>ROUND(G45*0.1,0)</x:f>
        <x:v>94122</x:v>
      </x:c>
      <x:c r="I45" s="133" t="n">
        <x:f>G45+H45</x:f>
        <x:v>1035342</x:v>
      </x:c>
      <x:c r="J45" s="89" t="str"/>
    </x:row>
    <x:row r="46">
      <x:c r="A46" s="111" t="n">
        <x:v>46144</x:v>
      </x:c>
      <x:c r="B46" s="70" t="str">
        <x:v>C005</x:v>
      </x:c>
      <x:c r="C46" s="70" t="str">
        <x:v>프리미엄비누</x:v>
      </x:c>
      <x:c r="D46" s="117" t="n">
        <x:v>24</x:v>
      </x:c>
      <x:c r="E46" s="117" t="n">
        <x:v>9500</x:v>
      </x:c>
      <x:c r="F46" s="123" t="n">
        <x:v>0</x:v>
      </x:c>
      <x:c r="G46" s="131" t="n">
        <x:f>D46*E46*(1-F46)</x:f>
        <x:v>228000</x:v>
      </x:c>
      <x:c r="H46" s="132" t="n">
        <x:f>ROUND(G46*0.1,0)</x:f>
        <x:v>22800</x:v>
      </x:c>
      <x:c r="I46" s="133" t="n">
        <x:f>G46+H46</x:f>
        <x:v>250800</x:v>
      </x:c>
      <x:c r="J46" s="89" t="str"/>
    </x:row>
    <x:row r="47">
      <x:c r="A47" s="111" t="n">
        <x:v>46147</x:v>
      </x:c>
      <x:c r="B47" s="70" t="str">
        <x:v>C006</x:v>
      </x:c>
      <x:c r="C47" s="70" t="str">
        <x:v>세안비누</x:v>
      </x:c>
      <x:c r="D47" s="117" t="n">
        <x:v>45</x:v>
      </x:c>
      <x:c r="E47" s="117" t="n">
        <x:v>6500</x:v>
      </x:c>
      <x:c r="F47" s="123" t="n">
        <x:v>0.03</x:v>
      </x:c>
      <x:c r="G47" s="131" t="n">
        <x:f>D47*E47*(1-F47)</x:f>
        <x:v>283725</x:v>
      </x:c>
      <x:c r="H47" s="132" t="n">
        <x:f>ROUND(G47*0.1,0)</x:f>
        <x:v>28373</x:v>
      </x:c>
      <x:c r="I47" s="133" t="n">
        <x:f>G47+H47</x:f>
        <x:v>312098</x:v>
      </x:c>
      <x:c r="J47" s="89" t="str"/>
    </x:row>
    <x:row r="48">
      <x:c r="A48" s="111" t="n">
        <x:v>46150</x:v>
      </x:c>
      <x:c r="B48" s="70" t="str">
        <x:v>C007</x:v>
      </x:c>
      <x:c r="C48" s="70" t="str">
        <x:v>샴푸바</x:v>
      </x:c>
      <x:c r="D48" s="117" t="n">
        <x:v>20</x:v>
      </x:c>
      <x:c r="E48" s="117" t="n">
        <x:v>11600</x:v>
      </x:c>
      <x:c r="F48" s="123" t="n">
        <x:v>0.05</x:v>
      </x:c>
      <x:c r="G48" s="131" t="n">
        <x:f>D48*E48*(1-F48)</x:f>
        <x:v>220400</x:v>
      </x:c>
      <x:c r="H48" s="132" t="n">
        <x:f>ROUND(G48*0.1,0)</x:f>
        <x:v>22040</x:v>
      </x:c>
      <x:c r="I48" s="133"/>
      <x:c r="J48" s="89" t="str">
        <x:v>정기주문</x:v>
      </x:c>
    </x:row>
    <x:row r="49">
      <x:c r="A49" s="111" t="n">
        <x:v>46153</x:v>
      </x:c>
      <x:c r="B49" s="70" t="str">
        <x:v>C008</x:v>
      </x:c>
      <x:c r="C49" s="70" t="str">
        <x:v>선물세트</x:v>
      </x:c>
      <x:c r="D49" s="117" t="n">
        <x:v>28</x:v>
      </x:c>
      <x:c r="E49" s="117" t="n">
        <x:v>24900</x:v>
      </x:c>
      <x:c r="F49" s="123" t="n">
        <x:v>0.1</x:v>
      </x:c>
      <x:c r="G49" s="131" t="n">
        <x:f>D49*E49*(1-F49)</x:f>
        <x:v>627480</x:v>
      </x:c>
      <x:c r="H49" s="132" t="n">
        <x:f>ROUND(G49*0.1,0)</x:f>
        <x:v>62748</x:v>
      </x:c>
      <x:c r="I49" s="133" t="n">
        <x:f>G49+H49</x:f>
        <x:v>690228</x:v>
      </x:c>
      <x:c r="J49" s="89" t="str"/>
    </x:row>
    <x:row r="50">
      <x:c r="A50" s="111" t="n">
        <x:v>46156</x:v>
      </x:c>
      <x:c r="B50" s="70" t="str">
        <x:v>C009</x:v>
      </x:c>
      <x:c r="C50" s="70" t="str">
        <x:v>프리미엄비누</x:v>
      </x:c>
      <x:c r="D50" s="117" t="n">
        <x:v>27</x:v>
      </x:c>
      <x:c r="E50" s="117" t="n">
        <x:v>9500</x:v>
      </x:c>
      <x:c r="F50" s="123" t="n">
        <x:v>0</x:v>
      </x:c>
      <x:c r="G50" s="131" t="n">
        <x:f>D50*E50*(1-F50)</x:f>
        <x:v>256500</x:v>
      </x:c>
      <x:c r="H50" s="132" t="n">
        <x:f>ROUND(G50*0.1,0)</x:f>
        <x:v>25650</x:v>
      </x:c>
      <x:c r="I50" s="133" t="n">
        <x:f>G50+H50</x:f>
        <x:v>282150</x:v>
      </x:c>
      <x:c r="J50" s="89" t="str"/>
    </x:row>
    <x:row r="51">
      <x:c r="A51" s="111" t="n">
        <x:v>46159</x:v>
      </x:c>
      <x:c r="B51" s="70" t="str">
        <x:v>C010</x:v>
      </x:c>
      <x:c r="C51" s="70" t="str">
        <x:v>세안비누</x:v>
      </x:c>
      <x:c r="D51" s="117" t="n">
        <x:v>17</x:v>
      </x:c>
      <x:c r="E51" s="117" t="n">
        <x:v>6500</x:v>
      </x:c>
      <x:c r="F51" s="123" t="n">
        <x:v>0.03</x:v>
      </x:c>
      <x:c r="G51" s="131" t="n">
        <x:f>D51*E51*(1-F51)</x:f>
        <x:v>107185</x:v>
      </x:c>
      <x:c r="H51" s="132" t="n">
        <x:f>ROUND(G51*0.1,0)</x:f>
        <x:v>10719</x:v>
      </x:c>
      <x:c r="I51" s="133" t="n">
        <x:f>G51+H51</x:f>
        <x:v>117904</x:v>
      </x:c>
      <x:c r="J51" s="89" t="str"/>
    </x:row>
    <x:row r="52">
      <x:c r="A52" s="111" t="n">
        <x:v>46162</x:v>
      </x:c>
      <x:c r="B52" s="70" t="str">
        <x:v>C011</x:v>
      </x:c>
      <x:c r="C52" s="70" t="str">
        <x:v>샴푸바</x:v>
      </x:c>
      <x:c r="D52" s="117" t="n">
        <x:v>30</x:v>
      </x:c>
      <x:c r="E52" s="117" t="n">
        <x:v>11600</x:v>
      </x:c>
      <x:c r="F52" s="123" t="n">
        <x:v>0.05</x:v>
      </x:c>
      <x:c r="G52" s="131" t="n">
        <x:f>D51*E52*(1-F52)</x:f>
        <x:v>187340</x:v>
      </x:c>
      <x:c r="H52" s="132" t="n">
        <x:f>ROUND(G52*0.1,0)</x:f>
        <x:v>18734</x:v>
      </x:c>
      <x:c r="I52" s="133" t="n">
        <x:f>G52+H52</x:f>
        <x:v>206074</x:v>
      </x:c>
      <x:c r="J52" s="89" t="str"/>
    </x:row>
    <x:row r="53">
      <x:c r="A53" s="111" t="n">
        <x:v>46165</x:v>
      </x:c>
      <x:c r="B53" s="70" t="str">
        <x:v>C012</x:v>
      </x:c>
      <x:c r="C53" s="70" t="str">
        <x:v>선물세트</x:v>
      </x:c>
      <x:c r="D53" s="117" t="n">
        <x:v>7</x:v>
      </x:c>
      <x:c r="E53" s="117" t="n">
        <x:v>24900</x:v>
      </x:c>
      <x:c r="F53" s="123" t="n">
        <x:v>0.1</x:v>
      </x:c>
      <x:c r="G53" s="131" t="n">
        <x:f>D53*E53*(1-F53)</x:f>
        <x:v>156870</x:v>
      </x:c>
      <x:c r="H53" s="132" t="n">
        <x:f>ROUND(G53*0.1,0)</x:f>
        <x:v>15687</x:v>
      </x:c>
      <x:c r="I53" s="133" t="n">
        <x:f>G53+H53</x:f>
        <x:v>172557</x:v>
      </x:c>
      <x:c r="J53" s="89" t="str"/>
    </x:row>
    <x:row r="54">
      <x:c r="A54" s="111" t="n">
        <x:v>46168</x:v>
      </x:c>
      <x:c r="B54" s="70" t="str">
        <x:v>C001</x:v>
      </x:c>
      <x:c r="C54" s="70" t="str">
        <x:v>프리미엄비누</x:v>
      </x:c>
      <x:c r="D54" s="117" t="n">
        <x:v>28</x:v>
      </x:c>
      <x:c r="E54" s="117" t="n">
        <x:v>9500</x:v>
      </x:c>
      <x:c r="F54" s="123" t="n">
        <x:v>0</x:v>
      </x:c>
      <x:c r="G54" s="131" t="n">
        <x:f>D54*E54*(1-F54)</x:f>
        <x:v>266000</x:v>
      </x:c>
      <x:c r="H54" s="132" t="n">
        <x:f>ROUND(G54*0.1,0)</x:f>
        <x:v>26600</x:v>
      </x:c>
      <x:c r="I54" s="133" t="n">
        <x:f>G54+H54</x:f>
        <x:v>292600</x:v>
      </x:c>
      <x:c r="J54" s="89" t="str"/>
    </x:row>
    <x:row r="55">
      <x:c r="A55" s="111" t="n">
        <x:v>46171</x:v>
      </x:c>
      <x:c r="B55" s="70" t="str">
        <x:v>C002</x:v>
      </x:c>
      <x:c r="C55" s="70" t="str">
        <x:v>세안비누</x:v>
      </x:c>
      <x:c r="D55" s="117" t="n">
        <x:v>45</x:v>
      </x:c>
      <x:c r="E55" s="117" t="n">
        <x:v>6500</x:v>
      </x:c>
      <x:c r="F55" s="123" t="n">
        <x:v>0.03</x:v>
      </x:c>
      <x:c r="G55" s="131" t="n">
        <x:f>D55*E55*(1-F55)</x:f>
        <x:v>283725</x:v>
      </x:c>
      <x:c r="H55" s="132" t="n">
        <x:f>ROUND(G55*0.1,0)</x:f>
        <x:v>28373</x:v>
      </x:c>
      <x:c r="I55" s="133" t="n">
        <x:f>G55+H55</x:f>
        <x:v>312098</x:v>
      </x:c>
      <x:c r="J55" s="89" t="str">
        <x:v>정기주문</x:v>
      </x:c>
    </x:row>
    <x:row r="56">
      <x:c r="A56" s="111" t="n">
        <x:v>46174</x:v>
      </x:c>
      <x:c r="B56" s="70" t="str">
        <x:v>C003</x:v>
      </x:c>
      <x:c r="C56" s="70" t="str">
        <x:v>샴푸바</x:v>
      </x:c>
      <x:c r="D56" s="117" t="n">
        <x:v>29</x:v>
      </x:c>
      <x:c r="E56" s="117" t="n">
        <x:v>11600</x:v>
      </x:c>
      <x:c r="F56" s="123" t="n">
        <x:v>0.05</x:v>
      </x:c>
      <x:c r="G56" s="131" t="n">
        <x:f>D56*E56*(1-F56)</x:f>
        <x:v>319580</x:v>
      </x:c>
      <x:c r="H56" s="132" t="n">
        <x:f>ROUND(G56*0.1,0)</x:f>
        <x:v>31958</x:v>
      </x:c>
      <x:c r="I56" s="133" t="n">
        <x:f>G56+H56</x:f>
        <x:v>351538</x:v>
      </x:c>
      <x:c r="J56" s="89" t="str"/>
    </x:row>
    <x:row r="57">
      <x:c r="A57" s="111" t="n">
        <x:v>46177</x:v>
      </x:c>
      <x:c r="B57" s="70" t="str">
        <x:v>C004</x:v>
      </x:c>
      <x:c r="C57" s="70" t="str">
        <x:v>선물세트</x:v>
      </x:c>
      <x:c r="D57" s="117" t="n">
        <x:v>3</x:v>
      </x:c>
      <x:c r="E57" s="117" t="n">
        <x:v>24900</x:v>
      </x:c>
      <x:c r="F57" s="123" t="n">
        <x:v>0.1</x:v>
      </x:c>
      <x:c r="G57" s="131" t="n">
        <x:f>D57*E57*(1-F57)</x:f>
        <x:v>67230</x:v>
      </x:c>
      <x:c r="H57" s="132" t="n">
        <x:f>ROUND(G57*0.1,0)</x:f>
        <x:v>6723</x:v>
      </x:c>
      <x:c r="I57" s="133" t="n">
        <x:f>G57+H57</x:f>
        <x:v>73953</x:v>
      </x:c>
      <x:c r="J57" s="89" t="str"/>
    </x:row>
    <x:row r="58">
      <x:c r="A58" s="111" t="n">
        <x:v>46180</x:v>
      </x:c>
      <x:c r="B58" s="70" t="str">
        <x:v>C005</x:v>
      </x:c>
      <x:c r="C58" s="70" t="str">
        <x:v>프리미엄비누</x:v>
      </x:c>
      <x:c r="D58" s="117" t="n">
        <x:v>32</x:v>
      </x:c>
      <x:c r="E58" s="117" t="n">
        <x:v>9500</x:v>
      </x:c>
      <x:c r="F58" s="123" t="n">
        <x:v>0</x:v>
      </x:c>
      <x:c r="G58" s="131" t="n">
        <x:f>D58*E58*(1-F58)</x:f>
        <x:v>304000</x:v>
      </x:c>
      <x:c r="H58" s="132" t="n">
        <x:f>ROUND(G58*0.1,0)</x:f>
        <x:v>30400</x:v>
      </x:c>
      <x:c r="I58" s="133" t="n">
        <x:f>G58+H58</x:f>
        <x:v>334400</x:v>
      </x:c>
      <x:c r="J58" s="89" t="str"/>
    </x:row>
    <x:row r="59">
      <x:c r="A59" s="111" t="n">
        <x:v>46183</x:v>
      </x:c>
      <x:c r="B59" s="70" t="str">
        <x:v>C006</x:v>
      </x:c>
      <x:c r="C59" s="70" t="str">
        <x:v>세안비누</x:v>
      </x:c>
      <x:c r="D59" s="117" t="n">
        <x:v>16</x:v>
      </x:c>
      <x:c r="E59" s="117" t="n">
        <x:v>6500</x:v>
      </x:c>
      <x:c r="F59" s="123" t="n">
        <x:v>0.03</x:v>
      </x:c>
      <x:c r="G59" s="131" t="n">
        <x:f>D59*E59*(1-F59)</x:f>
        <x:v>100880</x:v>
      </x:c>
      <x:c r="H59" s="132" t="n">
        <x:f>ROUND(G59*0.1,0)</x:f>
        <x:v>10088</x:v>
      </x:c>
      <x:c r="I59" s="133" t="n">
        <x:f>G59+H59</x:f>
        <x:v>110968</x:v>
      </x:c>
      <x:c r="J59" s="89" t="str"/>
    </x:row>
    <x:row r="60">
      <x:c r="A60" s="111" t="n">
        <x:v>46186</x:v>
      </x:c>
      <x:c r="B60" s="70" t="str">
        <x:v>C007</x:v>
      </x:c>
      <x:c r="C60" s="70" t="str">
        <x:v>샴푸바</x:v>
      </x:c>
      <x:c r="D60" s="117" t="n">
        <x:v>37</x:v>
      </x:c>
      <x:c r="E60" s="117" t="n">
        <x:v>11600</x:v>
      </x:c>
      <x:c r="F60" s="123" t="n">
        <x:v>0.05</x:v>
      </x:c>
      <x:c r="G60" s="131" t="n">
        <x:f>D60*E60*(1-F60)</x:f>
        <x:v>407740</x:v>
      </x:c>
      <x:c r="H60" s="132" t="n">
        <x:f>ROUND(G60*0.1,0)</x:f>
        <x:v>40774</x:v>
      </x:c>
      <x:c r="I60" s="133" t="n">
        <x:f>G60+H60</x:f>
        <x:v>448514</x:v>
      </x:c>
      <x:c r="J60" s="89" t="str"/>
    </x:row>
    <x:row r="61">
      <x:c r="A61" s="111" t="n">
        <x:v>46189</x:v>
      </x:c>
      <x:c r="B61" s="70" t="str">
        <x:v>C008</x:v>
      </x:c>
      <x:c r="C61" s="70" t="str">
        <x:v>선물세트</x:v>
      </x:c>
      <x:c r="D61" s="117" t="n">
        <x:v>9</x:v>
      </x:c>
      <x:c r="E61" s="117" t="n">
        <x:v>24900</x:v>
      </x:c>
      <x:c r="F61" s="123" t="n">
        <x:v>0.1</x:v>
      </x:c>
      <x:c r="G61" s="131" t="n">
        <x:f>D61*E61*(1-F61)</x:f>
        <x:v>201690</x:v>
      </x:c>
      <x:c r="H61" s="132" t="n">
        <x:f>ROUND(G61*0.1,0)</x:f>
        <x:v>20169</x:v>
      </x:c>
      <x:c r="I61" s="133" t="n">
        <x:f>G61+H61</x:f>
        <x:v>221859</x:v>
      </x:c>
      <x:c r="J61" s="89" t="str"/>
    </x:row>
    <x:row r="62">
      <x:c r="A62" s="111" t="n">
        <x:v>46192</x:v>
      </x:c>
      <x:c r="B62" s="70" t="str">
        <x:v>C009</x:v>
      </x:c>
      <x:c r="C62" s="70" t="str">
        <x:v>프리미엄비누</x:v>
      </x:c>
      <x:c r="D62" s="117" t="n">
        <x:v>25</x:v>
      </x:c>
      <x:c r="E62" s="117" t="n">
        <x:v>9500</x:v>
      </x:c>
      <x:c r="F62" s="123" t="n">
        <x:v>0</x:v>
      </x:c>
      <x:c r="G62" s="131" t="n">
        <x:f>D62*E62*(1-F62)</x:f>
        <x:v>237500</x:v>
      </x:c>
      <x:c r="H62" s="132" t="n">
        <x:f>ROUND(G62*0.1,0)</x:f>
        <x:v>23750</x:v>
      </x:c>
      <x:c r="I62" s="133" t="n">
        <x:f>G62+H62</x:f>
        <x:v>261250</x:v>
      </x:c>
      <x:c r="J62" s="89" t="str">
        <x:v>정기주문</x:v>
      </x:c>
    </x:row>
    <x:row r="63">
      <x:c r="A63" s="111" t="n">
        <x:v>46195</x:v>
      </x:c>
      <x:c r="B63" s="70" t="str">
        <x:v>C010</x:v>
      </x:c>
      <x:c r="C63" s="70" t="str">
        <x:v>세안비누</x:v>
      </x:c>
      <x:c r="D63" s="117" t="n">
        <x:v>4</x:v>
      </x:c>
      <x:c r="E63" s="117" t="n">
        <x:v>6500</x:v>
      </x:c>
      <x:c r="F63" s="123" t="n">
        <x:v>0.03</x:v>
      </x:c>
      <x:c r="G63" s="131" t="n">
        <x:f>D63*E63*(1-F63)</x:f>
        <x:v>25220</x:v>
      </x:c>
      <x:c r="H63" s="132" t="n">
        <x:f>ROUND(G63*0.1,0)</x:f>
        <x:v>2522</x:v>
      </x:c>
      <x:c r="I63" s="133" t="n">
        <x:f>G63+H63</x:f>
        <x:v>27742</x:v>
      </x:c>
      <x:c r="J63" s="89" t="str"/>
    </x:row>
    <x:row r="64">
      <x:c r="A64" s="111" t="n">
        <x:v>46198</x:v>
      </x:c>
      <x:c r="B64" s="70" t="str">
        <x:v>C011</x:v>
      </x:c>
      <x:c r="C64" s="70" t="str">
        <x:v>샴푸바</x:v>
      </x:c>
      <x:c r="D64" s="117" t="n">
        <x:v>26</x:v>
      </x:c>
      <x:c r="E64" s="117" t="n">
        <x:v>11600</x:v>
      </x:c>
      <x:c r="F64" s="123" t="n">
        <x:v>0.05</x:v>
      </x:c>
      <x:c r="G64" s="131" t="n">
        <x:f>D64*E64*(1-F64)</x:f>
        <x:v>286520</x:v>
      </x:c>
      <x:c r="H64" s="132" t="n">
        <x:f>ROUND(G64*0.1,0)</x:f>
        <x:v>28652</x:v>
      </x:c>
      <x:c r="I64" s="133" t="n">
        <x:f>G64+H64</x:f>
        <x:v>315172</x:v>
      </x:c>
      <x:c r="J64" s="89" t="str"/>
    </x:row>
    <x:row r="65">
      <x:c r="A65" s="112" t="n">
        <x:v>46201</x:v>
      </x:c>
      <x:c r="B65" s="77" t="str">
        <x:v>C012</x:v>
      </x:c>
      <x:c r="C65" s="77" t="str">
        <x:v>선물세트</x:v>
      </x:c>
      <x:c r="D65" s="118" t="n">
        <x:v>26</x:v>
      </x:c>
      <x:c r="E65" s="118" t="n">
        <x:v>24900</x:v>
      </x:c>
      <x:c r="F65" s="124" t="n">
        <x:v>0.1</x:v>
      </x:c>
      <x:c r="G65" s="134" t="n">
        <x:f>D65*E65*(1-F65)</x:f>
        <x:v>582660</x:v>
      </x:c>
      <x:c r="H65" s="135" t="n">
        <x:f>ROUND(G65*0.1,0)</x:f>
        <x:v>58266</x:v>
      </x:c>
      <x:c r="I65" s="136" t="n">
        <x:f>G65+H65</x:f>
        <x:v>640926</x:v>
      </x:c>
      <x:c r="J65" s="90" t="str"/>
    </x:row>
    <x:row r="66">
      <x:c r="A66" s="152" t="str">
        <x:v>소계</x:v>
      </x:c>
      <x:c r="B66" s="153" t="str"/>
      <x:c r="C66" s="153" t="str"/>
      <x:c r="D66" s="153" t="str"/>
      <x:c r="E66" s="153" t="str"/>
      <x:c r="F66" s="153" t="str"/>
      <x:c r="G66" s="154" t="n">
        <x:f>SUM(G6:G65)</x:f>
        <x:v>17481984</x:v>
      </x:c>
      <x:c r="H66" s="154" t="n">
        <x:f>SUM(H6:H65)</x:f>
        <x:v>1716846</x:v>
      </x:c>
      <x:c r="I66" s="154" t="n">
        <x:f>SUM(I6:I65)</x:f>
        <x:v>18956390</x:v>
      </x:c>
      <x:c r="J66" s="155" t="str">
        <x:v>월말 소계</x:v>
      </x:c>
    </x:row>
    <x:row r="67">
      <x:c r="A67" s="168" t="str">
        <x:v>조정</x:v>
      </x:c>
      <x:c r="B67" s="169" t="str"/>
      <x:c r="C67" s="169" t="str"/>
      <x:c r="D67" s="169" t="str"/>
      <x:c r="E67" s="169" t="str"/>
      <x:c r="F67" s="169" t="str"/>
      <x:c r="G67" s="170" t="n">
        <x:v>12000</x:v>
      </x:c>
      <x:c r="H67" s="170" t="n">
        <x:v>1200</x:v>
      </x:c>
      <x:c r="I67" s="170" t="n">
        <x:v>13200</x:v>
      </x:c>
      <x:c r="J67" s="171" t="str">
        <x:v>반품 차이 수기 조정</x:v>
      </x:c>
    </x:row>
    <x:row r="68">
      <x:c r="A68" s="152" t="str">
        <x:v>합계</x:v>
      </x:c>
      <x:c r="B68" s="153" t="str"/>
      <x:c r="C68" s="153" t="str"/>
      <x:c r="D68" s="153" t="str"/>
      <x:c r="E68" s="153" t="str"/>
      <x:c r="F68" s="153" t="str"/>
      <x:c r="G68" s="154" t="n">
        <x:f>G66+G67</x:f>
        <x:v>17493984</x:v>
      </x:c>
      <x:c r="H68" s="154" t="n">
        <x:f>H66+H67</x:f>
        <x:v>1718046</x:v>
      </x:c>
      <x:c r="I68" s="154" t="n">
        <x:f>I66+I67</x:f>
        <x:v>18969590</x:v>
      </x:c>
      <x:c r="J68" s="155" t="str">
        <x:v>소계+조정</x:v>
      </x:c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15" hidden="0" customWidth="1"/>
    <x:col min="5" max="5" width="12" hidden="0" customWidth="1"/>
    <x:col min="6" max="6" width="14" hidden="0" customWidth="1"/>
  </x:cols>
  <x:sheetData>
    <x:row r="1" ht="30" customHeight="1">
      <x:c r="A1" s="5" t="str">
        <x:v>월간 요약</x:v>
      </x:c>
      <x:c r="B1" s="5"/>
      <x:c r="C1" s="5"/>
      <x:c r="D1" s="5"/>
      <x:c r="E1" s="5"/>
      <x:c r="F1" s="5"/>
    </x:row>
    <x:row r="2" ht="24" customHeight="1">
      <x:c r="A2" s="12" t="str">
        <x:v>판매내역을 기준으로 월별 금액과 건수를 집계합니다.</x:v>
      </x:c>
      <x:c r="B2" s="12"/>
      <x:c r="C2" s="12"/>
      <x:c r="D2" s="12"/>
      <x:c r="E2" s="12"/>
      <x:c r="F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월</x:v>
      </x:c>
      <x:c r="B5" s="65" t="str">
        <x:v>공급가액</x:v>
      </x:c>
      <x:c r="C5" s="65" t="str">
        <x:v>부가세</x:v>
      </x:c>
      <x:c r="D5" s="65" t="str">
        <x:v>합계</x:v>
      </x:c>
      <x:c r="E5" s="65" t="str">
        <x:v>판매건수</x:v>
      </x:c>
      <x:c r="F5" s="31" t="str">
        <x:v>평균주문액</x:v>
      </x:c>
    </x:row>
    <x:row r="6">
      <x:c r="A6" s="180" t="n">
        <x:v>46023</x:v>
      </x:c>
      <x:c r="B6" s="128" t="n">
        <x:f>SUMIFS('판매내역'!$G$6:$G$65,'판매내역'!$A$6:$A$65,"&gt;="&amp;A6,'판매내역'!$A$6:$A$65,"&lt;"&amp;EDATE(A6,1))</x:f>
        <x:v>3475150</x:v>
      </x:c>
      <x:c r="C6" s="129" t="n">
        <x:f>SUMIFS('판매내역'!$H$6:$H$65,'판매내역'!$A$6:$A$65,"&gt;="&amp;A6,'판매내역'!$A$6:$A$65,"&lt;"&amp;EDATE(A6,1))</x:f>
        <x:v>347516</x:v>
      </x:c>
      <x:c r="D6" s="129" t="n">
        <x:f>SUMIFS('판매내역'!$I$6:$I$65,'판매내역'!$A$6:$A$65,"&gt;="&amp;A6,'판매내역'!$A$6:$A$65,"&lt;"&amp;EDATE(A6,1))</x:f>
        <x:v>3822666</x:v>
      </x:c>
      <x:c r="E6" s="129" t="n">
        <x:f>COUNTIFS('판매내역'!$A$6:$A$65,"&gt;="&amp;A6,'판매내역'!$A$6:$A$65,"&lt;"&amp;EDATE(A6,1))</x:f>
        <x:v>10</x:v>
      </x:c>
      <x:c r="F6" s="130" t="n">
        <x:f>IFERROR(D6/E6,0)</x:f>
        <x:v>382266.6</x:v>
      </x:c>
    </x:row>
    <x:row r="7">
      <x:c r="A7" s="181" t="n">
        <x:v>46054</x:v>
      </x:c>
      <x:c r="B7" s="131" t="n">
        <x:f>SUMIFS('판매내역'!$G$6:$G$65,'판매내역'!$A$6:$A$65,"&gt;="&amp;A7,'판매내역'!$A$6:$A$65,"&lt;"&amp;EDATE(A7,1))</x:f>
        <x:v>2570669</x:v>
      </x:c>
      <x:c r="C7" s="132" t="n">
        <x:f>SUMIFS('판매내역'!$H$6:$H$65,'판매내역'!$A$6:$A$65,"&gt;="&amp;A7,'판매내역'!$A$6:$A$65,"&lt;"&amp;EDATE(A7,1))</x:f>
        <x:v>257067</x:v>
      </x:c>
      <x:c r="D7" s="132" t="n">
        <x:f>SUMIFS('판매내역'!$I$6:$I$65,'판매내역'!$A$6:$A$65,"&gt;="&amp;A7,'판매내역'!$A$6:$A$65,"&lt;"&amp;EDATE(A7,1))</x:f>
        <x:v>2827736</x:v>
      </x:c>
      <x:c r="E7" s="132" t="n">
        <x:f>COUNTIFS('판매내역'!$A$6:$A$65,"&gt;="&amp;A7,'판매내역'!$A$6:$A$65,"&lt;"&amp;EDATE(A7,1))</x:f>
        <x:v>10</x:v>
      </x:c>
      <x:c r="F7" s="133" t="n">
        <x:f>IFERROR(D7/E7,0)</x:f>
        <x:v>282773.6</x:v>
      </x:c>
    </x:row>
    <x:row r="8">
      <x:c r="A8" s="181" t="n">
        <x:v>46082</x:v>
      </x:c>
      <x:c r="B8" s="131" t="n">
        <x:f>SUMIFS('판매내역'!$G$6:$G$65,'판매내역'!$A$6:$A$65,"&gt;="&amp;A8,'판매내역'!$A$6:$A$65,"&lt;"&amp;EDATE(A8,1))</x:f>
        <x:v>2854300</x:v>
      </x:c>
      <x:c r="C8" s="132" t="n">
        <x:f>SUMIFS('판매내역'!$H$6:$H$65,'판매내역'!$A$6:$A$65,"&gt;="&amp;A8,'판매내역'!$A$6:$A$65,"&lt;"&amp;EDATE(A8,1))</x:f>
        <x:v>285431</x:v>
      </x:c>
      <x:c r="D8" s="132" t="n">
        <x:f>SUMIFS('판매내역'!$I$6:$I$65,'판매내역'!$A$6:$A$65,"&gt;="&amp;A8,'판매내역'!$A$6:$A$65,"&lt;"&amp;EDATE(A8,1))</x:f>
        <x:v>3139731</x:v>
      </x:c>
      <x:c r="E8" s="132" t="n">
        <x:f>COUNTIFS('판매내역'!$A$6:$A$65,"&gt;="&amp;A8,'판매내역'!$A$6:$A$65,"&lt;"&amp;EDATE(A8,1))</x:f>
        <x:v>10</x:v>
      </x:c>
      <x:c r="F8" s="133" t="n">
        <x:f>IFERROR(D8/E8,0)</x:f>
        <x:v>313973.1</x:v>
      </x:c>
    </x:row>
    <x:row r="9">
      <x:c r="A9" s="181" t="n">
        <x:v>46113</x:v>
      </x:c>
      <x:c r="B9" s="131" t="n">
        <x:f>SUMIFS('판매내역'!$G$6:$G$65,'판매내역'!$A$6:$A$65,"&gt;="&amp;A9,'판매내역'!$A$6:$A$65,"&lt;"&amp;EDATE(A9,1))</x:f>
        <x:v>3431620</x:v>
      </x:c>
      <x:c r="C9" s="132" t="n">
        <x:f>SUMIFS('판매내역'!$H$6:$H$65,'판매내역'!$A$6:$A$65,"&gt;="&amp;A9,'판매내역'!$A$6:$A$65,"&lt;"&amp;EDATE(A9,1))</x:f>
        <x:v>311806</x:v>
      </x:c>
      <x:c r="D9" s="132" t="n">
        <x:f>SUMIFS('판매내역'!$I$6:$I$65,'판매내역'!$A$6:$A$65,"&gt;="&amp;A9,'판매내역'!$A$6:$A$65,"&lt;"&amp;EDATE(A9,1))</x:f>
        <x:v>3743426</x:v>
      </x:c>
      <x:c r="E9" s="132" t="n">
        <x:f>COUNTIFS('판매내역'!$A$6:$A$65,"&gt;="&amp;A9,'판매내역'!$A$6:$A$65,"&lt;"&amp;EDATE(A9,1))</x:f>
        <x:v>10</x:v>
      </x:c>
      <x:c r="F9" s="133" t="n">
        <x:f>IFERROR(D9/E9,0)</x:f>
        <x:v>374342.6</x:v>
      </x:c>
    </x:row>
    <x:row r="10">
      <x:c r="A10" s="181" t="n">
        <x:v>46143</x:v>
      </x:c>
      <x:c r="B10" s="131" t="n">
        <x:f>SUMIFS('판매내역'!$G$6:$G$65,'판매내역'!$A$6:$A$65,"&gt;="&amp;A10,'판매내역'!$A$6:$A$65,"&lt;"&amp;EDATE(A10,1))</x:f>
        <x:v>2617225</x:v>
      </x:c>
      <x:c r="C10" s="132" t="n">
        <x:f>SUMIFS('판매내역'!$H$6:$H$65,'판매내역'!$A$6:$A$65,"&gt;="&amp;A10,'판매내역'!$A$6:$A$65,"&lt;"&amp;EDATE(A10,1))</x:f>
        <x:v>261724</x:v>
      </x:c>
      <x:c r="D10" s="132" t="n">
        <x:f>SUMIFS('판매내역'!$I$6:$I$65,'판매내역'!$A$6:$A$65,"&gt;="&amp;A10,'판매내역'!$A$6:$A$65,"&lt;"&amp;EDATE(A10,1))</x:f>
        <x:v>2636509</x:v>
      </x:c>
      <x:c r="E10" s="132" t="n">
        <x:f>COUNTIFS('판매내역'!$A$6:$A$65,"&gt;="&amp;A10,'판매내역'!$A$6:$A$65,"&lt;"&amp;EDATE(A10,1))</x:f>
        <x:v>10</x:v>
      </x:c>
      <x:c r="F10" s="133" t="n">
        <x:f>IFERROR(D10/E10,0)</x:f>
        <x:v>263650.9</x:v>
      </x:c>
    </x:row>
    <x:row r="11">
      <x:c r="A11" s="181" t="n">
        <x:v>46174</x:v>
      </x:c>
      <x:c r="B11" s="131" t="n">
        <x:f>SUMIFS('판매내역'!$G$6:$G$65,'판매내역'!$A$6:$A$65,"&gt;="&amp;A11,'판매내역'!$A$6:$A$65,"&lt;"&amp;EDATE(A11,1))</x:f>
        <x:v>2533020</x:v>
      </x:c>
      <x:c r="C11" s="132" t="n">
        <x:f>SUMIFS('판매내역'!$H$6:$H$65,'판매내역'!$A$6:$A$65,"&gt;="&amp;A11,'판매내역'!$A$6:$A$65,"&lt;"&amp;EDATE(A11,1))</x:f>
        <x:v>253302</x:v>
      </x:c>
      <x:c r="D11" s="132" t="n">
        <x:f>SUMIFS('판매내역'!$I$6:$I$65,'판매내역'!$A$6:$A$65,"&gt;="&amp;A11,'판매내역'!$A$6:$A$65,"&lt;"&amp;EDATE(A11,1))</x:f>
        <x:v>2786322</x:v>
      </x:c>
      <x:c r="E11" s="132" t="n">
        <x:f>COUNTIFS('판매내역'!$A$6:$A$65,"&gt;="&amp;A11,'판매내역'!$A$6:$A$65,"&lt;"&amp;EDATE(A11,1))</x:f>
        <x:v>10</x:v>
      </x:c>
      <x:c r="F11" s="133" t="n">
        <x:f>IFERROR(D11/E11,0)</x:f>
        <x:v>278632.2</x:v>
      </x:c>
    </x:row>
    <x:row r="12">
      <x:c r="A12" s="181" t="n">
        <x:v>46204</x:v>
      </x:c>
      <x:c r="B12" s="131" t="n">
        <x:f>SUMIFS('판매내역'!$G$6:$G$65,'판매내역'!$A$6:$A$65,"&gt;="&amp;A12,'판매내역'!$A$6:$A$65,"&lt;"&amp;EDATE(A12,1))</x:f>
        <x:v>0</x:v>
      </x:c>
      <x:c r="C12" s="132" t="n">
        <x:f>SUMIFS('판매내역'!$H$6:$H$65,'판매내역'!$A$6:$A$65,"&gt;="&amp;A12,'판매내역'!$A$6:$A$65,"&lt;"&amp;EDATE(A12,1))</x:f>
        <x:v>0</x:v>
      </x:c>
      <x:c r="D12" s="132" t="n">
        <x:f>SUMIFS('판매내역'!$I$6:$I$65,'판매내역'!$A$6:$A$65,"&gt;="&amp;A12,'판매내역'!$A$6:$A$65,"&lt;"&amp;EDATE(A12,1))</x:f>
        <x:v>0</x:v>
      </x:c>
      <x:c r="E12" s="132" t="n">
        <x:f>COUNTIFS('판매내역'!$A$6:$A$65,"&gt;="&amp;A12,'판매내역'!$A$6:$A$65,"&lt;"&amp;EDATE(A12,1))</x:f>
        <x:v>0</x:v>
      </x:c>
      <x:c r="F12" s="133" t="n">
        <x:f>IFERROR(D12/E12,0)</x:f>
        <x:v>0</x:v>
      </x:c>
    </x:row>
    <x:row r="13">
      <x:c r="A13" s="181" t="n">
        <x:v>46235</x:v>
      </x:c>
      <x:c r="B13" s="131" t="n">
        <x:f>SUMIFS('판매내역'!$G$6:$G$65,'판매내역'!$A$6:$A$65,"&gt;="&amp;A13,'판매내역'!$A$6:$A$65,"&lt;"&amp;EDATE(A13,1))</x:f>
        <x:v>0</x:v>
      </x:c>
      <x:c r="C13" s="132" t="n">
        <x:f>SUMIFS('판매내역'!$H$6:$H$65,'판매내역'!$A$6:$A$65,"&gt;="&amp;A13,'판매내역'!$A$6:$A$65,"&lt;"&amp;EDATE(A13,1))</x:f>
        <x:v>0</x:v>
      </x:c>
      <x:c r="D13" s="132" t="n">
        <x:f>SUMIFS('판매내역'!$I$6:$I$65,'판매내역'!$A$6:$A$65,"&gt;="&amp;A13,'판매내역'!$A$6:$A$65,"&lt;"&amp;EDATE(A13,1))</x:f>
        <x:v>0</x:v>
      </x:c>
      <x:c r="E13" s="132" t="n">
        <x:f>COUNTIFS('판매내역'!$A$6:$A$65,"&gt;="&amp;A13,'판매내역'!$A$6:$A$65,"&lt;"&amp;EDATE(A13,1))</x:f>
        <x:v>0</x:v>
      </x:c>
      <x:c r="F13" s="133" t="n">
        <x:f>IFERROR(D13/E13,0)</x:f>
        <x:v>0</x:v>
      </x:c>
    </x:row>
    <x:row r="14">
      <x:c r="A14" s="181" t="n">
        <x:v>46266</x:v>
      </x:c>
      <x:c r="B14" s="131" t="n">
        <x:f>SUMIFS('판매내역'!$G$6:$G$65,'판매내역'!$A$6:$A$65,"&gt;="&amp;A14,'판매내역'!$A$6:$A$65,"&lt;"&amp;EDATE(A14,1))</x:f>
        <x:v>0</x:v>
      </x:c>
      <x:c r="C14" s="132" t="n">
        <x:f>SUMIFS('판매내역'!$H$6:$H$65,'판매내역'!$A$6:$A$65,"&gt;="&amp;A14,'판매내역'!$A$6:$A$65,"&lt;"&amp;EDATE(A14,1))</x:f>
        <x:v>0</x:v>
      </x:c>
      <x:c r="D14" s="132" t="n">
        <x:f>SUMIFS('판매내역'!$I$6:$I$65,'판매내역'!$A$6:$A$65,"&gt;="&amp;A14,'판매내역'!$A$6:$A$65,"&lt;"&amp;EDATE(A14,1))</x:f>
        <x:v>0</x:v>
      </x:c>
      <x:c r="E14" s="132" t="n">
        <x:f>COUNTIFS('판매내역'!$A$6:$A$65,"&gt;="&amp;A14,'판매내역'!$A$6:$A$65,"&lt;"&amp;EDATE(A14,1))</x:f>
        <x:v>0</x:v>
      </x:c>
      <x:c r="F14" s="133" t="n">
        <x:f>IFERROR(D14/E14,0)</x:f>
        <x:v>0</x:v>
      </x:c>
    </x:row>
    <x:row r="15">
      <x:c r="A15" s="181" t="n">
        <x:v>46296</x:v>
      </x:c>
      <x:c r="B15" s="131" t="n">
        <x:f>SUMIFS('판매내역'!$G$6:$G$65,'판매내역'!$A$6:$A$65,"&gt;="&amp;A15,'판매내역'!$A$6:$A$65,"&lt;"&amp;EDATE(A15,1))</x:f>
        <x:v>0</x:v>
      </x:c>
      <x:c r="C15" s="132" t="n">
        <x:f>SUMIFS('판매내역'!$H$6:$H$65,'판매내역'!$A$6:$A$65,"&gt;="&amp;A15,'판매내역'!$A$6:$A$65,"&lt;"&amp;EDATE(A15,1))</x:f>
        <x:v>0</x:v>
      </x:c>
      <x:c r="D15" s="132" t="n">
        <x:f>SUMIFS('판매내역'!$I$6:$I$65,'판매내역'!$A$6:$A$65,"&gt;="&amp;A15,'판매내역'!$A$6:$A$65,"&lt;"&amp;EDATE(A15,1))</x:f>
        <x:v>0</x:v>
      </x:c>
      <x:c r="E15" s="132" t="n">
        <x:f>COUNTIFS('판매내역'!$A$6:$A$65,"&gt;="&amp;A15,'판매내역'!$A$6:$A$65,"&lt;"&amp;EDATE(A15,1))</x:f>
        <x:v>0</x:v>
      </x:c>
      <x:c r="F15" s="133" t="n">
        <x:f>IFERROR(D15/E15,0)</x:f>
        <x:v>0</x:v>
      </x:c>
    </x:row>
    <x:row r="16">
      <x:c r="A16" s="181" t="n">
        <x:v>46327</x:v>
      </x:c>
      <x:c r="B16" s="131" t="n">
        <x:f>SUMIFS('판매내역'!$G$6:$G$65,'판매내역'!$A$6:$A$65,"&gt;="&amp;A16,'판매내역'!$A$6:$A$65,"&lt;"&amp;EDATE(A16,1))</x:f>
        <x:v>0</x:v>
      </x:c>
      <x:c r="C16" s="132" t="n">
        <x:f>SUMIFS('판매내역'!$H$6:$H$65,'판매내역'!$A$6:$A$65,"&gt;="&amp;A16,'판매내역'!$A$6:$A$65,"&lt;"&amp;EDATE(A16,1))</x:f>
        <x:v>0</x:v>
      </x:c>
      <x:c r="D16" s="132" t="n">
        <x:f>SUMIFS('판매내역'!$I$6:$I$65,'판매내역'!$A$6:$A$65,"&gt;="&amp;A16,'판매내역'!$A$6:$A$65,"&lt;"&amp;EDATE(A16,1))</x:f>
        <x:v>0</x:v>
      </x:c>
      <x:c r="E16" s="132" t="n">
        <x:f>COUNTIFS('판매내역'!$A$6:$A$65,"&gt;="&amp;A16,'판매내역'!$A$6:$A$65,"&lt;"&amp;EDATE(A16,1))</x:f>
        <x:v>0</x:v>
      </x:c>
      <x:c r="F16" s="133" t="n">
        <x:f>IFERROR(D16/E16,0)</x:f>
        <x:v>0</x:v>
      </x:c>
    </x:row>
    <x:row r="17">
      <x:c r="A17" s="182" t="n">
        <x:v>46357</x:v>
      </x:c>
      <x:c r="B17" s="134" t="n">
        <x:f>SUMIFS('판매내역'!$G$6:$G$65,'판매내역'!$A$6:$A$65,"&gt;="&amp;A17,'판매내역'!$A$6:$A$65,"&lt;"&amp;EDATE(A17,1))</x:f>
        <x:v>0</x:v>
      </x:c>
      <x:c r="C17" s="135" t="n">
        <x:f>SUMIFS('판매내역'!$H$6:$H$65,'판매내역'!$A$6:$A$65,"&gt;="&amp;A17,'판매내역'!$A$6:$A$65,"&lt;"&amp;EDATE(A17,1))</x:f>
        <x:v>0</x:v>
      </x:c>
      <x:c r="D17" s="135" t="n">
        <x:f>SUMIFS('판매내역'!$I$6:$I$65,'판매내역'!$A$6:$A$65,"&gt;="&amp;A17,'판매내역'!$A$6:$A$65,"&lt;"&amp;EDATE(A17,1))</x:f>
        <x:v>0</x:v>
      </x:c>
      <x:c r="E17" s="135" t="n">
        <x:f>COUNTIFS('판매내역'!$A$6:$A$65,"&gt;="&amp;A17,'판매내역'!$A$6:$A$65,"&lt;"&amp;EDATE(A17,1))</x:f>
        <x:v>0</x:v>
      </x:c>
      <x:c r="F17" s="136" t="n">
        <x:f>IFERROR(D17/E17,0)</x:f>
        <x:v>0</x:v>
      </x:c>
    </x:row>
    <x:row r="18">
      <x:c r="A18" s="152" t="str">
        <x:v>연간 합계</x:v>
      </x:c>
      <x:c r="B18" s="153" t="n">
        <x:f>SUM(B6:B17)</x:f>
        <x:v>17481984</x:v>
      </x:c>
      <x:c r="C18" s="153" t="n">
        <x:f>SUM(C6:C17)</x:f>
        <x:v>1716846</x:v>
      </x:c>
      <x:c r="D18" s="153" t="n">
        <x:f>SUM(D6:D17)</x:f>
        <x:v>18956390</x:v>
      </x:c>
      <x:c r="E18" s="153" t="n">
        <x:f>SUM(E6:E17)</x:f>
        <x:v>60</x:v>
      </x:c>
      <x:c r="F18" s="155" t="n">
        <x:f>IFERROR(D18/E18,0)</x:f>
        <x:v>315939.8333333333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매출 대시보드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판매내역과 월간요약의 주요 지표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87" t="str">
        <x:v>연간 공급가액</x:v>
      </x:c>
      <x:c r="B5" s="187"/>
      <x:c r="C5" s="187" t="str">
        <x:v>연간 부가세</x:v>
      </x:c>
      <x:c r="D5" s="187"/>
      <x:c r="E5" s="187" t="str">
        <x:v>연간 합계</x:v>
      </x:c>
      <x:c r="F5" s="187"/>
      <x:c r="G5" s="187" t="str">
        <x:v>총 판매건수</x:v>
      </x:c>
      <x:c r="H5" s="187"/>
    </x:row>
    <x:row r="6">
      <x:c r="A6" s="192" t="n">
        <x:f>'월간요약'!B18</x:f>
        <x:v>17481984</x:v>
      </x:c>
      <x:c r="B6" s="192"/>
      <x:c r="C6" s="192" t="n">
        <x:f>'월간요약'!C18</x:f>
        <x:v>1716846</x:v>
      </x:c>
      <x:c r="D6" s="192"/>
      <x:c r="E6" s="192" t="n">
        <x:f>'월간요약'!D18</x:f>
        <x:v>18956390</x:v>
      </x:c>
      <x:c r="F6" s="192"/>
      <x:c r="G6" s="192" t="n">
        <x:f>'월간요약'!E18</x:f>
        <x:v>60</x:v>
      </x:c>
      <x:c r="H6" s="192"/>
    </x:row>
    <x:row r="7">
      <x:c r="A7" s="192"/>
      <x:c r="B7" s="192"/>
      <x:c r="C7" s="192"/>
      <x:c r="D7" s="192"/>
      <x:c r="E7" s="192"/>
      <x:c r="F7" s="192"/>
      <x:c r="G7" s="192"/>
      <x:c r="H7" s="192"/>
    </x:row>
    <x:row r="10" ht="28" customHeight="1">
      <x:c r="A10" s="30" t="str">
        <x:v>월</x:v>
      </x:c>
      <x:c r="B10" s="65" t="str">
        <x:v>합계</x:v>
      </x:c>
      <x:c r="C10" s="65" t="str">
        <x:v>판매건수</x:v>
      </x:c>
      <x:c r="D10" s="31" t="str">
        <x:v>평균주문액</x:v>
      </x:c>
    </x:row>
    <x:row r="11">
      <x:c r="A11" s="196" t="n">
        <x:f>'월간요약'!A6</x:f>
        <x:v>46023</x:v>
      </x:c>
      <x:c r="B11" s="129" t="n">
        <x:f>'월간요약'!D6</x:f>
        <x:v>3822666</x:v>
      </x:c>
      <x:c r="C11" s="95" t="n">
        <x:f>'월간요약'!E6</x:f>
        <x:v>10</x:v>
      </x:c>
      <x:c r="D11" s="96" t="n">
        <x:f>'월간요약'!F6</x:f>
        <x:v>382266.6</x:v>
      </x:c>
    </x:row>
    <x:row r="12">
      <x:c r="A12" s="197" t="n">
        <x:f>'월간요약'!A7</x:f>
        <x:v>46054</x:v>
      </x:c>
      <x:c r="B12" s="132" t="n">
        <x:f>'월간요약'!D7</x:f>
        <x:v>2827736</x:v>
      </x:c>
      <x:c r="C12" s="56" t="n">
        <x:f>'월간요약'!E7</x:f>
        <x:v>10</x:v>
      </x:c>
      <x:c r="D12" s="98" t="n">
        <x:f>'월간요약'!F7</x:f>
        <x:v>282773.6</x:v>
      </x:c>
    </x:row>
    <x:row r="13">
      <x:c r="A13" s="197" t="n">
        <x:f>'월간요약'!A8</x:f>
        <x:v>46082</x:v>
      </x:c>
      <x:c r="B13" s="132" t="n">
        <x:f>'월간요약'!D8</x:f>
        <x:v>3139731</x:v>
      </x:c>
      <x:c r="C13" s="56" t="n">
        <x:f>'월간요약'!E8</x:f>
        <x:v>10</x:v>
      </x:c>
      <x:c r="D13" s="98" t="n">
        <x:f>'월간요약'!F8</x:f>
        <x:v>313973.1</x:v>
      </x:c>
    </x:row>
    <x:row r="14">
      <x:c r="A14" s="197" t="n">
        <x:f>'월간요약'!A9</x:f>
        <x:v>46113</x:v>
      </x:c>
      <x:c r="B14" s="132" t="n">
        <x:f>'월간요약'!D9</x:f>
        <x:v>3743426</x:v>
      </x:c>
      <x:c r="C14" s="56" t="n">
        <x:f>'월간요약'!E9</x:f>
        <x:v>10</x:v>
      </x:c>
      <x:c r="D14" s="98" t="n">
        <x:f>'월간요약'!F9</x:f>
        <x:v>374342.6</x:v>
      </x:c>
    </x:row>
    <x:row r="15">
      <x:c r="A15" s="197" t="n">
        <x:f>'월간요약'!A10</x:f>
        <x:v>46143</x:v>
      </x:c>
      <x:c r="B15" s="132" t="n">
        <x:f>'월간요약'!D10</x:f>
        <x:v>2636509</x:v>
      </x:c>
      <x:c r="C15" s="56" t="n">
        <x:f>'월간요약'!E10</x:f>
        <x:v>10</x:v>
      </x:c>
      <x:c r="D15" s="98" t="n">
        <x:f>'월간요약'!F10</x:f>
        <x:v>263650.9</x:v>
      </x:c>
    </x:row>
    <x:row r="16">
      <x:c r="A16" s="197" t="n">
        <x:f>'월간요약'!A11</x:f>
        <x:v>46174</x:v>
      </x:c>
      <x:c r="B16" s="132" t="n">
        <x:f>'월간요약'!D11</x:f>
        <x:v>2786322</x:v>
      </x:c>
      <x:c r="C16" s="56" t="n">
        <x:f>'월간요약'!E11</x:f>
        <x:v>10</x:v>
      </x:c>
      <x:c r="D16" s="98" t="n">
        <x:f>'월간요약'!F11</x:f>
        <x:v>278632.2</x:v>
      </x:c>
    </x:row>
    <x:row r="17">
      <x:c r="A17" s="197" t="n">
        <x:f>'월간요약'!A12</x:f>
        <x:v>46204</x:v>
      </x:c>
      <x:c r="B17" s="132" t="n">
        <x:f>'월간요약'!D12</x:f>
        <x:v>0</x:v>
      </x:c>
      <x:c r="C17" s="56" t="n">
        <x:f>'월간요약'!E12</x:f>
        <x:v>0</x:v>
      </x:c>
      <x:c r="D17" s="98" t="n">
        <x:f>'월간요약'!F12</x:f>
        <x:v>0</x:v>
      </x:c>
    </x:row>
    <x:row r="18">
      <x:c r="A18" s="197" t="n">
        <x:f>'월간요약'!A13</x:f>
        <x:v>46235</x:v>
      </x:c>
      <x:c r="B18" s="132" t="n">
        <x:f>'월간요약'!D13</x:f>
        <x:v>0</x:v>
      </x:c>
      <x:c r="C18" s="56" t="n">
        <x:f>'월간요약'!E13</x:f>
        <x:v>0</x:v>
      </x:c>
      <x:c r="D18" s="98" t="n">
        <x:f>'월간요약'!F13</x:f>
        <x:v>0</x:v>
      </x:c>
    </x:row>
    <x:row r="19">
      <x:c r="A19" s="197" t="n">
        <x:f>'월간요약'!A14</x:f>
        <x:v>46266</x:v>
      </x:c>
      <x:c r="B19" s="132" t="n">
        <x:f>'월간요약'!D14</x:f>
        <x:v>0</x:v>
      </x:c>
      <x:c r="C19" s="56" t="n">
        <x:f>'월간요약'!E14</x:f>
        <x:v>0</x:v>
      </x:c>
      <x:c r="D19" s="98" t="n">
        <x:f>'월간요약'!F14</x:f>
        <x:v>0</x:v>
      </x:c>
    </x:row>
    <x:row r="20">
      <x:c r="A20" s="197" t="n">
        <x:f>'월간요약'!A15</x:f>
        <x:v>46296</x:v>
      </x:c>
      <x:c r="B20" s="132" t="n">
        <x:f>'월간요약'!D15</x:f>
        <x:v>0</x:v>
      </x:c>
      <x:c r="C20" s="56" t="n">
        <x:f>'월간요약'!E15</x:f>
        <x:v>0</x:v>
      </x:c>
      <x:c r="D20" s="98" t="n">
        <x:f>'월간요약'!F15</x:f>
        <x:v>0</x:v>
      </x:c>
    </x:row>
    <x:row r="21">
      <x:c r="A21" s="197" t="n">
        <x:f>'월간요약'!A16</x:f>
        <x:v>46327</x:v>
      </x:c>
      <x:c r="B21" s="132" t="n">
        <x:f>'월간요약'!D16</x:f>
        <x:v>0</x:v>
      </x:c>
      <x:c r="C21" s="56" t="n">
        <x:f>'월간요약'!E16</x:f>
        <x:v>0</x:v>
      </x:c>
      <x:c r="D21" s="98" t="n">
        <x:f>'월간요약'!F16</x:f>
        <x:v>0</x:v>
      </x:c>
    </x:row>
    <x:row r="22">
      <x:c r="A22" s="198" t="n">
        <x:f>'월간요약'!A17</x:f>
        <x:v>46357</x:v>
      </x:c>
      <x:c r="B22" s="135" t="n">
        <x:f>'월간요약'!D17</x:f>
        <x:v>0</x:v>
      </x:c>
      <x:c r="C22" s="100" t="n">
        <x:f>'월간요약'!E17</x:f>
        <x:v>0</x:v>
      </x:c>
      <x:c r="D22" s="101" t="n">
        <x:f>'월간요약'!F17</x:f>
        <x:v>0</x:v>
      </x:c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