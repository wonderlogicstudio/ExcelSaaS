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e936ec574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1c7bea4062db4ab3"/>
    <x:sheet xmlns:r="http://schemas.openxmlformats.org/officeDocument/2006/relationships" name="조건" sheetId="2" r:id="R41d43a5184214d60"/>
    <x:sheet xmlns:r="http://schemas.openxmlformats.org/officeDocument/2006/relationships" name="상환스케줄" sheetId="3" r:id="Ra4a966c0e73342bd"/>
    <x:sheet xmlns:r="http://schemas.openxmlformats.org/officeDocument/2006/relationships" name="요약" sheetId="4" r:id="R51255ae9a23c4a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"/>
    <x:numFmt numFmtId="203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595959"/>
      <x:name val="Carlito"/>
    </x:font>
    <x:font>
      <x:b/>
      <x:sz val="16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</x:fills>
  <x:borders count="36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6" xfId="0" applyNumberFormat="1" applyFont="1" applyFill="1" applyBorder="1"/>
    <x:xf numFmtId="0" fontId="0" fillId="9" borderId="7" xfId="0" applyNumberFormat="1" applyFont="1" applyFill="1" applyBorder="1"/>
    <x:xf numFmtId="0" fontId="0" fillId="9" borderId="8" xfId="0" applyNumberFormat="1" applyFont="1" applyFill="1" applyBorder="1"/>
    <x:xf numFmtId="0" fontId="0" fillId="9" borderId="1" xfId="0" applyNumberFormat="1" applyFont="1" applyFill="1" applyBorder="1"/>
    <x:xf numFmtId="0" fontId="0" fillId="9" borderId="9" xfId="0" applyNumberFormat="1" applyFont="1" applyFill="1" applyBorder="1"/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200" fontId="0" fillId="9" borderId="6" xfId="0" applyNumberFormat="1" applyFont="1" applyFill="1" applyBorder="1"/>
    <x:xf numFmtId="200" fontId="0" fillId="9" borderId="9" xfId="0" applyNumberFormat="1" applyFont="1" applyFill="1" applyBorder="1"/>
    <x:xf numFmtId="201" fontId="0" fillId="9" borderId="7" xfId="0" applyNumberFormat="1" applyFont="1" applyFill="1" applyBorder="1"/>
    <x:xf numFmtId="201" fontId="0" fillId="9" borderId="10" xfId="0" applyNumberFormat="1" applyFont="1" applyFill="1" applyBorder="1"/>
    <x:xf numFmtId="202" fontId="0" fillId="9" borderId="7" xfId="0" applyNumberFormat="1" applyFont="1" applyFill="1" applyBorder="1"/>
    <x:xf numFmtId="202" fontId="0" fillId="9" borderId="10" xfId="0" applyNumberFormat="1" applyFont="1" applyFill="1" applyBorder="1"/>
    <x:xf numFmtId="200" fontId="0" fillId="9" borderId="7" xfId="0" applyNumberFormat="1" applyFont="1" applyFill="1" applyBorder="1"/>
    <x:xf numFmtId="200" fontId="0" fillId="9" borderId="10" xfId="0" applyNumberFormat="1" applyFont="1" applyFill="1" applyBorder="1"/>
    <x:xf numFmtId="203" fontId="0" fillId="9" borderId="8" xfId="0" applyNumberFormat="1" applyFont="1" applyFill="1" applyBorder="1"/>
    <x:xf numFmtId="203" fontId="0" fillId="9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2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/>
    <x:xf numFmtId="0" fontId="4" fillId="5" borderId="13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0" fontId="0" fillId="8" borderId="24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0" fillId="8" borderId="27" xfId="0" applyNumberFormat="1" applyFont="1" applyFill="1" applyBorder="1"/>
    <x:xf numFmtId="0" fontId="0" fillId="8" borderId="28" xfId="0" applyNumberFormat="1" applyFont="1" applyFill="1" applyBorder="1"/>
    <x:xf numFmtId="0" fontId="0" fillId="8" borderId="29" xfId="0" applyNumberFormat="1" applyFont="1" applyFill="1" applyBorder="1"/>
    <x:xf numFmtId="203" fontId="0" fillId="8" borderId="6" xfId="0" applyNumberFormat="1" applyFont="1" applyFill="1" applyBorder="1"/>
    <x:xf numFmtId="203" fontId="0" fillId="8" borderId="7" xfId="0" applyNumberFormat="1" applyFont="1" applyFill="1" applyBorder="1"/>
    <x:xf numFmtId="203" fontId="0" fillId="8" borderId="8" xfId="0" applyNumberFormat="1" applyFont="1" applyFill="1" applyBorder="1"/>
    <x:xf numFmtId="203" fontId="0" fillId="8" borderId="9" xfId="0" applyNumberFormat="1" applyFont="1" applyFill="1" applyBorder="1"/>
    <x:xf numFmtId="203" fontId="0" fillId="8" borderId="10" xfId="0" applyNumberFormat="1" applyFont="1" applyFill="1" applyBorder="1"/>
    <x:xf numFmtId="203" fontId="0" fillId="8" borderId="11" xfId="0" applyNumberFormat="1" applyFont="1" applyFill="1" applyBorder="1"/>
    <x:xf numFmtId="200" fontId="0" fillId="8" borderId="14" xfId="0" applyNumberFormat="1" applyFont="1" applyFill="1" applyBorder="1"/>
    <x:xf numFmtId="200" fontId="0" fillId="8" borderId="15" xfId="0" applyNumberFormat="1" applyFont="1" applyFill="1" applyBorder="1"/>
    <x:xf numFmtId="200" fontId="0" fillId="8" borderId="16" xfId="0" applyNumberFormat="1" applyFont="1" applyFill="1" applyBorder="1"/>
    <x:xf numFmtId="200" fontId="0" fillId="8" borderId="17" xfId="0" applyNumberFormat="1" applyFont="1" applyFill="1" applyBorder="1"/>
    <x:xf numFmtId="200" fontId="0" fillId="8" borderId="0" xfId="0" applyNumberFormat="1" applyFont="1" applyFill="1" applyBorder="1"/>
    <x:xf numFmtId="200" fontId="0" fillId="8" borderId="18" xfId="0" applyNumberFormat="1" applyFont="1" applyFill="1" applyBorder="1"/>
    <x:xf numFmtId="200" fontId="0" fillId="8" borderId="19" xfId="0" applyNumberFormat="1" applyFont="1" applyFill="1" applyBorder="1"/>
    <x:xf numFmtId="200" fontId="0" fillId="8" borderId="20" xfId="0" applyNumberFormat="1" applyFont="1" applyFill="1" applyBorder="1"/>
    <x:xf numFmtId="200" fontId="0" fillId="8" borderId="21" xfId="0" applyNumberFormat="1" applyFont="1" applyFill="1" applyBorder="1"/>
    <x:xf numFmtId="200" fontId="0" fillId="0" borderId="0" xfId="0" applyNumberFormat="1" applyFont="1" applyFill="1" applyBorder="1"/>
    <x:xf numFmtId="200" fontId="0" fillId="8" borderId="22" xfId="0" applyNumberFormat="1" applyFont="1" applyFill="1" applyBorder="1"/>
    <x:xf numFmtId="200" fontId="0" fillId="8" borderId="23" xfId="0" applyNumberFormat="1" applyFont="1" applyFill="1" applyBorder="1"/>
    <x:xf numFmtId="200" fontId="0" fillId="8" borderId="24" xfId="0" applyNumberFormat="1" applyFont="1" applyFill="1" applyBorder="1"/>
    <x:xf numFmtId="200" fontId="0" fillId="8" borderId="25" xfId="0" applyNumberFormat="1" applyFont="1" applyFill="1" applyBorder="1"/>
    <x:xf numFmtId="200" fontId="0" fillId="8" borderId="1" xfId="0" applyNumberFormat="1" applyFont="1" applyFill="1" applyBorder="1"/>
    <x:xf numFmtId="200" fontId="0" fillId="8" borderId="26" xfId="0" applyNumberFormat="1" applyFont="1" applyFill="1" applyBorder="1"/>
    <x:xf numFmtId="200" fontId="0" fillId="8" borderId="27" xfId="0" applyNumberFormat="1" applyFont="1" applyFill="1" applyBorder="1"/>
    <x:xf numFmtId="200" fontId="0" fillId="8" borderId="28" xfId="0" applyNumberFormat="1" applyFont="1" applyFill="1" applyBorder="1"/>
    <x:xf numFmtId="200" fontId="0" fillId="8" borderId="29" xfId="0" applyNumberFormat="1" applyFont="1" applyFill="1" applyBorder="1"/>
    <x:xf numFmtId="200" fontId="0" fillId="0" borderId="1" xfId="0" applyNumberFormat="1" applyFont="1" applyFill="1" applyBorder="1"/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4" fillId="10" borderId="0" xfId="0" applyNumberFormat="1" applyFont="1" applyFill="1" applyBorder="1"/>
    <x:xf numFmtId="200" fontId="4" fillId="10" borderId="0" xfId="0" applyNumberFormat="1" applyFont="1" applyFill="1" applyBorder="1"/>
    <x:xf numFmtId="0" fontId="4" fillId="10" borderId="30" xfId="0" applyNumberFormat="1" applyFont="1" applyFill="1" applyBorder="1"/>
    <x:xf numFmtId="0" fontId="4" fillId="10" borderId="31" xfId="0" applyNumberFormat="1" applyFont="1" applyFill="1" applyBorder="1"/>
    <x:xf numFmtId="200" fontId="4" fillId="10" borderId="31" xfId="0" applyNumberFormat="1" applyFont="1" applyFill="1" applyBorder="1"/>
    <x:xf numFmtId="200" fontId="4" fillId="10" borderId="32" xfId="0" applyNumberFormat="1" applyFont="1" applyFill="1" applyBorder="1"/>
    <x:xf numFmtId="0" fontId="0" fillId="10" borderId="1" xfId="0" applyNumberFormat="1" applyFont="1" applyFill="1" applyBorder="1"/>
    <x:xf numFmtId="200" fontId="0" fillId="10" borderId="1" xfId="0" applyNumberFormat="1" applyFont="1" applyFill="1" applyBorder="1"/>
    <x:xf numFmtId="0" fontId="4" fillId="10" borderId="1" xfId="0" applyNumberFormat="1" applyFont="1" applyFill="1" applyBorder="1"/>
    <x:xf numFmtId="200" fontId="4" fillId="10" borderId="1" xfId="0" applyNumberFormat="1" applyFont="1" applyFill="1" applyBorder="1"/>
    <x:xf numFmtId="0" fontId="4" fillId="10" borderId="33" xfId="0" applyNumberFormat="1" applyFont="1" applyFill="1" applyBorder="1"/>
    <x:xf numFmtId="0" fontId="4" fillId="10" borderId="34" xfId="0" applyNumberFormat="1" applyFont="1" applyFill="1" applyBorder="1"/>
    <x:xf numFmtId="200" fontId="4" fillId="10" borderId="34" xfId="0" applyNumberFormat="1" applyFont="1" applyFill="1" applyBorder="1"/>
    <x:xf numFmtId="200" fontId="4" fillId="10" borderId="35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e012506a14a4f" /><Relationship Type="http://schemas.openxmlformats.org/officeDocument/2006/relationships/theme" Target="/xl/theme/theme1.xml" Id="R93bec306b2e44a0e" /><Relationship Type="http://schemas.openxmlformats.org/officeDocument/2006/relationships/sharedStrings" Target="/xl/sharedStrings.xml" Id="R475f6f654fca44f1" /><Relationship Type="http://schemas.openxmlformats.org/officeDocument/2006/relationships/worksheet" Target="/xl/worksheets/sheet1.xml" Id="R1c7bea4062db4ab3" /><Relationship Type="http://schemas.openxmlformats.org/officeDocument/2006/relationships/worksheet" Target="/xl/worksheets/sheet2.xml" Id="R41d43a5184214d60" /><Relationship Type="http://schemas.openxmlformats.org/officeDocument/2006/relationships/worksheet" Target="/xl/worksheets/sheet3.xml" Id="Ra4a966c0e73342bd" /><Relationship Type="http://schemas.openxmlformats.org/officeDocument/2006/relationships/worksheet" Target="/xl/worksheets/sheet4.xml" Id="R51255ae9a23c4a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5" t="str">
        <x:v>원리금 균등 대출 상환표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대출조건을 기준으로 60개월 상환 스케줄과 이자·원금·잔액을 계산하는 합성 재무 샘플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2" t="str">
        <x:v>실제 회사·개인정보를 사용하지 않은 합성 업무 파일</x:v>
      </x:c>
    </x:row>
    <x:row r="7">
      <x:c r="A7" s="45" t="str">
        <x:v>검증 목적</x:v>
      </x:c>
      <x:c r="B7" s="52" t="str">
        <x:v>금리 참조 이탈, 원금 상수 덮어쓰기, 기말잔액 빈 셀, 납입액 함수 패턴 이탈과 첫 회차·합계 예외</x:v>
      </x:c>
    </x:row>
    <x:row r="8">
      <x:c r="A8" s="45" t="str">
        <x:v>사용 방법</x:v>
      </x:c>
      <x:c r="B8" s="52" t="str">
        <x:v>WorkbookCare 기본 진단 후 내부 베타 수식 패턴 정밀검사를 선택 실행</x:v>
      </x:c>
    </x:row>
    <x:row r="9">
      <x:c r="A9" s="45" t="str">
        <x:v>주의</x:v>
      </x:c>
      <x:c r="B9" s="52" t="str">
        <x:v>탐지 결과는 업무상 오류 확정이 아니라 사람이 확인할 이상 후보입니다.</x:v>
      </x:c>
    </x:row>
    <x:row r="10">
      <x:c r="A10" s="45" t="str">
        <x:v>권장 기록</x:v>
      </x:c>
      <x:c r="B10" s="52" t="str">
        <x:v>별도 예상결과 문서에 실제 탐지 여부와 전문가 판정을 기록하세요.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7" t="str">
        <x:v>조건</x:v>
      </x:c>
      <x:c r="B13" s="60" t="str">
        <x:v>대출원금·이율·기간·월상환액</x:v>
      </x:c>
    </x:row>
    <x:row r="14">
      <x:c r="A14" s="57" t="str">
        <x:v>상환스케줄</x:v>
      </x:c>
      <x:c r="B14" s="60" t="str">
        <x:v>회차별 원금·이자·잔액 계산</x:v>
      </x:c>
    </x:row>
    <x:row r="15">
      <x:c r="A15" s="57" t="str">
        <x:v>요약</x:v>
      </x:c>
      <x:c r="B15" s="60" t="str">
        <x:v>총이자·총상환액·최종잔액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</x:cols>
  <x:sheetData>
    <x:row r="1" ht="30" customHeight="1">
      <x:c r="A1" s="5" t="str">
        <x:v>대출 조건</x:v>
      </x:c>
      <x:c r="B1" s="5"/>
      <x:c r="C1" s="5"/>
      <x:c r="D1" s="5"/>
    </x:row>
    <x:row r="2" ht="24" customHeight="1">
      <x:c r="A2" s="12" t="str">
        <x:v>합성 원리금 균등상환 조건</x:v>
      </x:c>
      <x:c r="B2" s="12"/>
      <x:c r="C2" s="12"/>
      <x:c r="D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</x:row>
    <x:row r="5" ht="28" customHeight="1">
      <x:c r="A5" s="30" t="str">
        <x:v>항목</x:v>
      </x:c>
      <x:c r="B5" s="31" t="str">
        <x:v>값</x:v>
      </x:c>
    </x:row>
    <x:row r="6">
      <x:c r="A6" s="43" t="str">
        <x:v>대출원금</x:v>
      </x:c>
      <x:c r="B6" s="70" t="n">
        <x:v>300000000</x:v>
      </x:c>
    </x:row>
    <x:row r="7">
      <x:c r="A7" s="43" t="str">
        <x:v>연이율</x:v>
      </x:c>
      <x:c r="B7" s="72" t="n">
        <x:v>0.042</x:v>
      </x:c>
    </x:row>
    <x:row r="8">
      <x:c r="A8" s="43" t="str">
        <x:v>기간(개월)</x:v>
      </x:c>
      <x:c r="B8" s="74" t="n">
        <x:v>60</x:v>
      </x:c>
    </x:row>
    <x:row r="9">
      <x:c r="A9" s="43" t="str">
        <x:v>월상환액</x:v>
      </x:c>
      <x:c r="B9" s="76" t="n">
        <x:f>-PMT(B7/12,B8,B6)</x:f>
        <x:v>5552074.40236392</x:v>
      </x:c>
    </x:row>
    <x:row r="10">
      <x:c r="A10" s="43" t="str">
        <x:v>대출실행일</x:v>
      </x:c>
      <x:c r="B10" s="78" t="n">
        <x:v>46053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</x:cols>
  <x:sheetData>
    <x:row r="1" ht="30" customHeight="1">
      <x:c r="A1" s="5" t="str">
        <x:v>대출 상환 스케줄</x:v>
      </x:c>
      <x:c r="B1" s="5"/>
      <x:c r="C1" s="5"/>
      <x:c r="D1" s="5"/>
      <x:c r="E1" s="5"/>
      <x:c r="F1" s="5"/>
      <x:c r="G1" s="5"/>
    </x:row>
    <x:row r="2" ht="24" customHeight="1">
      <x:c r="A2" s="12" t="str">
        <x:v>매월 기초잔액·이자·원금·납입액·기말잔액을 계산합니다.</x:v>
      </x:c>
      <x:c r="B2" s="12"/>
      <x:c r="C2" s="12"/>
      <x:c r="D2" s="12"/>
      <x:c r="E2" s="12"/>
      <x:c r="F2" s="12"/>
      <x:c r="G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</x:row>
    <x:row r="5" ht="28" customHeight="1">
      <x:c r="A5" s="30" t="str">
        <x:v>회차</x:v>
      </x:c>
      <x:c r="B5" s="83" t="str">
        <x:v>상환일</x:v>
      </x:c>
      <x:c r="C5" s="83" t="str">
        <x:v>기초잔액</x:v>
      </x:c>
      <x:c r="D5" s="83" t="str">
        <x:v>이자</x:v>
      </x:c>
      <x:c r="E5" s="83" t="str">
        <x:v>원금</x:v>
      </x:c>
      <x:c r="F5" s="83" t="str">
        <x:v>납입액</x:v>
      </x:c>
      <x:c r="G5" s="31" t="str">
        <x:v>기말잔액</x:v>
      </x:c>
    </x:row>
    <x:row r="6">
      <x:c r="A6" s="63" t="n">
        <x:v>1</x:v>
      </x:c>
      <x:c r="B6" s="110" t="n">
        <x:f>EDATE('조건'!$B$10,A6)</x:f>
        <x:v>46081</x:v>
      </x:c>
      <x:c r="C6" s="116" t="n">
        <x:f>'조건'!$B$6</x:f>
        <x:v>300000000</x:v>
      </x:c>
      <x:c r="D6" s="117" t="n">
        <x:f>C6*'조건'!$B$7/12</x:f>
        <x:v>1050000</x:v>
      </x:c>
      <x:c r="E6" s="117" t="n">
        <x:f>F6-D6</x:f>
        <x:v>4502074.40236392</x:v>
      </x:c>
      <x:c r="F6" s="117" t="n">
        <x:f>MIN('조건'!$B$9,C6+D6)</x:f>
        <x:v>5552074.40236392</x:v>
      </x:c>
      <x:c r="G6" s="118" t="n">
        <x:f>MAX(0,C6-E6)</x:f>
        <x:v>295497925.5976361</x:v>
      </x:c>
    </x:row>
    <x:row r="7">
      <x:c r="A7" s="64" t="n">
        <x:v>2</x:v>
      </x:c>
      <x:c r="B7" s="111" t="n">
        <x:f>EDATE('조건'!$B$10,A7)</x:f>
        <x:v>46112</x:v>
      </x:c>
      <x:c r="C7" s="119" t="n">
        <x:f>G6</x:f>
        <x:v>295497925.5976361</x:v>
      </x:c>
      <x:c r="D7" s="120" t="n">
        <x:f>C7*'조건'!$B$7/12</x:f>
        <x:v>1034242.7395917265</x:v>
      </x:c>
      <x:c r="E7" s="120" t="n">
        <x:f>F7-D7</x:f>
        <x:v>4517831.662772194</x:v>
      </x:c>
      <x:c r="F7" s="120" t="n">
        <x:f>MIN('조건'!$B$9,C7+D7)</x:f>
        <x:v>5552074.40236392</x:v>
      </x:c>
      <x:c r="G7" s="121" t="n">
        <x:f>MAX(0,C7-E7)</x:f>
        <x:v>290980093.9348639</x:v>
      </x:c>
    </x:row>
    <x:row r="8">
      <x:c r="A8" s="64" t="n">
        <x:v>3</x:v>
      </x:c>
      <x:c r="B8" s="111" t="n">
        <x:f>EDATE('조건'!$B$10,A8)</x:f>
        <x:v>46142</x:v>
      </x:c>
      <x:c r="C8" s="119" t="n">
        <x:f>G7</x:f>
        <x:v>290980093.9348639</x:v>
      </x:c>
      <x:c r="D8" s="120" t="n">
        <x:f>C8*'조건'!$B$7/12</x:f>
        <x:v>1018430.3287720238</x:v>
      </x:c>
      <x:c r="E8" s="120" t="n">
        <x:f>F8-D8</x:f>
        <x:v>4533644.073591895</x:v>
      </x:c>
      <x:c r="F8" s="120" t="n">
        <x:f>MIN('조건'!$B$9,C8+D8)</x:f>
        <x:v>5552074.40236392</x:v>
      </x:c>
      <x:c r="G8" s="121" t="n">
        <x:f>MAX(0,C8-E8)</x:f>
        <x:v>286446449.86127204</x:v>
      </x:c>
    </x:row>
    <x:row r="9">
      <x:c r="A9" s="64" t="n">
        <x:v>4</x:v>
      </x:c>
      <x:c r="B9" s="111" t="n">
        <x:f>EDATE('조건'!$B$10,A9)</x:f>
        <x:v>46173</x:v>
      </x:c>
      <x:c r="C9" s="119" t="n">
        <x:f>G8</x:f>
        <x:v>286446449.86127204</x:v>
      </x:c>
      <x:c r="D9" s="120" t="n">
        <x:f>C9*'조건'!$B$7/12</x:f>
        <x:v>1002562.5745144523</x:v>
      </x:c>
      <x:c r="E9" s="120" t="n">
        <x:f>F9-D9</x:f>
        <x:v>4549511.827849467</x:v>
      </x:c>
      <x:c r="F9" s="120" t="n">
        <x:f>MIN('조건'!$B$9,C9+D9)</x:f>
        <x:v>5552074.40236392</x:v>
      </x:c>
      <x:c r="G9" s="121" t="n">
        <x:f>MAX(0,C9-E9)</x:f>
        <x:v>281896938.0334226</x:v>
      </x:c>
    </x:row>
    <x:row r="10">
      <x:c r="A10" s="64" t="n">
        <x:v>5</x:v>
      </x:c>
      <x:c r="B10" s="111" t="n">
        <x:f>EDATE('조건'!$B$10,A10)</x:f>
        <x:v>46203</x:v>
      </x:c>
      <x:c r="C10" s="119" t="n">
        <x:f>G9</x:f>
        <x:v>281896938.0334226</x:v>
      </x:c>
      <x:c r="D10" s="120" t="n">
        <x:f>C10*'조건'!$B$7/12</x:f>
        <x:v>986639.2831169791</x:v>
      </x:c>
      <x:c r="E10" s="120" t="n">
        <x:f>F10-D10</x:f>
        <x:v>4565435.119246941</x:v>
      </x:c>
      <x:c r="F10" s="120" t="n">
        <x:f>MIN('조건'!$B$9,C10+D10)</x:f>
        <x:v>5552074.40236392</x:v>
      </x:c>
      <x:c r="G10" s="121" t="n">
        <x:f>MAX(0,C10-E10)</x:f>
        <x:v>277331502.9141756</x:v>
      </x:c>
    </x:row>
    <x:row r="11">
      <x:c r="A11" s="64" t="n">
        <x:v>6</x:v>
      </x:c>
      <x:c r="B11" s="111" t="n">
        <x:f>EDATE('조건'!$B$10,A11)</x:f>
        <x:v>46234</x:v>
      </x:c>
      <x:c r="C11" s="119" t="n">
        <x:f>G10</x:f>
        <x:v>277331502.9141756</x:v>
      </x:c>
      <x:c r="D11" s="120" t="n">
        <x:f>C11*'조건'!$B$7/12</x:f>
        <x:v>970660.2601996148</x:v>
      </x:c>
      <x:c r="E11" s="120" t="n">
        <x:f>F11-D11</x:f>
        <x:v>4581414.142164305</x:v>
      </x:c>
      <x:c r="F11" s="120" t="n">
        <x:f>MIN('조건'!$B$9,C11+D11)</x:f>
        <x:v>5552074.40236392</x:v>
      </x:c>
      <x:c r="G11" s="121" t="n">
        <x:f>MAX(0,C11-E11)</x:f>
        <x:v>272750088.77201134</x:v>
      </x:c>
    </x:row>
    <x:row r="12">
      <x:c r="A12" s="64" t="n">
        <x:v>7</x:v>
      </x:c>
      <x:c r="B12" s="111" t="n">
        <x:f>EDATE('조건'!$B$10,A12)</x:f>
        <x:v>46265</x:v>
      </x:c>
      <x:c r="C12" s="119" t="n">
        <x:f>G11</x:f>
        <x:v>272750088.77201134</x:v>
      </x:c>
      <x:c r="D12" s="120" t="n">
        <x:f>C12*'조건'!$B$7/12</x:f>
        <x:v>954625.3107020397</x:v>
      </x:c>
      <x:c r="E12" s="120" t="n">
        <x:f>F12-D12</x:f>
        <x:v>4597449.09166188</x:v>
      </x:c>
      <x:c r="F12" s="120" t="n">
        <x:f>MIN('조건'!$B$9,C12+D12)</x:f>
        <x:v>5552074.40236392</x:v>
      </x:c>
      <x:c r="G12" s="121" t="n">
        <x:f>MAX(0,C12-E12)</x:f>
        <x:v>268152639.68034947</x:v>
      </x:c>
    </x:row>
    <x:row r="13">
      <x:c r="A13" s="64" t="n">
        <x:v>8</x:v>
      </x:c>
      <x:c r="B13" s="111" t="n">
        <x:f>EDATE('조건'!$B$10,A13)</x:f>
        <x:v>46295</x:v>
      </x:c>
      <x:c r="C13" s="119" t="n">
        <x:f>G12</x:f>
        <x:v>268152639.68034947</x:v>
      </x:c>
      <x:c r="D13" s="120" t="n">
        <x:f>C13*'조건'!$B$7/12</x:f>
        <x:v>938534.2388812233</x:v>
      </x:c>
      <x:c r="E13" s="120" t="n">
        <x:f>F13-D13</x:f>
        <x:v>4613540.163482697</x:v>
      </x:c>
      <x:c r="F13" s="120" t="n">
        <x:f>MIN('조건'!$B$9,C13+D13)</x:f>
        <x:v>5552074.40236392</x:v>
      </x:c>
      <x:c r="G13" s="121" t="n">
        <x:f>MAX(0,C13-E13)</x:f>
        <x:v>263539099.51686677</x:v>
      </x:c>
    </x:row>
    <x:row r="14">
      <x:c r="A14" s="64" t="n">
        <x:v>9</x:v>
      </x:c>
      <x:c r="B14" s="111" t="n">
        <x:f>EDATE('조건'!$B$10,A14)</x:f>
        <x:v>46326</x:v>
      </x:c>
      <x:c r="C14" s="119" t="n">
        <x:f>G13</x:f>
        <x:v>263539099.51686677</x:v>
      </x:c>
      <x:c r="D14" s="120" t="n">
        <x:f>C14*'조건'!$B$7/12</x:f>
        <x:v>922386.8483090337</x:v>
      </x:c>
      <x:c r="E14" s="120" t="n">
        <x:f>F14-D14</x:f>
        <x:v>4629687.554054886</x:v>
      </x:c>
      <x:c r="F14" s="120" t="n">
        <x:f>MIN('조건'!$B$9,C14+D14)</x:f>
        <x:v>5552074.40236392</x:v>
      </x:c>
      <x:c r="G14" s="121" t="n">
        <x:f>MAX(0,C14-E14)</x:f>
        <x:v>258909411.9628119</x:v>
      </x:c>
    </x:row>
    <x:row r="15">
      <x:c r="A15" s="64" t="n">
        <x:v>10</x:v>
      </x:c>
      <x:c r="B15" s="111" t="n">
        <x:f>EDATE('조건'!$B$10,A15)</x:f>
        <x:v>46356</x:v>
      </x:c>
      <x:c r="C15" s="119" t="n">
        <x:f>G14</x:f>
        <x:v>258909411.9628119</x:v>
      </x:c>
      <x:c r="D15" s="120" t="n">
        <x:f>C15*'조건'!$B$7/12</x:f>
        <x:v>906182.9418698418</x:v>
      </x:c>
      <x:c r="E15" s="120" t="n">
        <x:f>F15-D15</x:f>
        <x:v>4645891.460494078</x:v>
      </x:c>
      <x:c r="F15" s="120" t="n">
        <x:f>MIN('조건'!$B$9,C15+D15)</x:f>
        <x:v>5552074.40236392</x:v>
      </x:c>
      <x:c r="G15" s="121" t="n">
        <x:f>MAX(0,C15-E15)</x:f>
        <x:v>254263520.50231782</x:v>
      </x:c>
    </x:row>
    <x:row r="16">
      <x:c r="A16" s="64" t="n">
        <x:v>11</x:v>
      </x:c>
      <x:c r="B16" s="111" t="n">
        <x:f>EDATE('조건'!$B$10,A16)</x:f>
        <x:v>46387</x:v>
      </x:c>
      <x:c r="C16" s="119" t="n">
        <x:f>G15</x:f>
        <x:v>254263520.50231782</x:v>
      </x:c>
      <x:c r="D16" s="120" t="n">
        <x:f>C16*'조건'!$B$7/12</x:f>
        <x:v>889922.3217581124</x:v>
      </x:c>
      <x:c r="E16" s="120" t="n">
        <x:f>F16-D16</x:f>
        <x:v>4662152.080605807</x:v>
      </x:c>
      <x:c r="F16" s="120" t="n">
        <x:f>MIN('조건'!$B$9,C16+D16)</x:f>
        <x:v>5552074.40236392</x:v>
      </x:c>
      <x:c r="G16" s="121" t="n">
        <x:f>MAX(0,C16-E16)</x:f>
        <x:v>249601368.421712</x:v>
      </x:c>
    </x:row>
    <x:row r="17">
      <x:c r="A17" s="64" t="n">
        <x:v>12</x:v>
      </x:c>
      <x:c r="B17" s="111" t="n">
        <x:f>EDATE('조건'!$B$10,A17)</x:f>
        <x:v>46418</x:v>
      </x:c>
      <x:c r="C17" s="119" t="n">
        <x:f>G16</x:f>
        <x:v>249601368.421712</x:v>
      </x:c>
      <x:c r="D17" s="120" t="n">
        <x:f>C17*'조건'!$B$7/12</x:f>
        <x:v>873604.7894759922</x:v>
      </x:c>
      <x:c r="E17" s="120" t="n">
        <x:f>F17-D17</x:f>
        <x:v>4678469.612887927</x:v>
      </x:c>
      <x:c r="F17" s="120" t="n">
        <x:f>MIN('조건'!$B$9,C17+D17)</x:f>
        <x:v>5552074.40236392</x:v>
      </x:c>
      <x:c r="G17" s="121" t="n">
        <x:f>MAX(0,C17-E17)</x:f>
        <x:v>244922898.8088241</x:v>
      </x:c>
    </x:row>
    <x:row r="18">
      <x:c r="A18" s="64" t="n">
        <x:v>13</x:v>
      </x:c>
      <x:c r="B18" s="111" t="n">
        <x:f>EDATE('조건'!$B$10,A18)</x:f>
        <x:v>46446</x:v>
      </x:c>
      <x:c r="C18" s="119" t="n">
        <x:f>G17</x:f>
        <x:v>244922898.8088241</x:v>
      </x:c>
      <x:c r="D18" s="120" t="n">
        <x:f>C18*'조건'!$B$7/12</x:f>
        <x:v>857230.1458308845</x:v>
      </x:c>
      <x:c r="E18" s="120" t="n">
        <x:f>F18-D18</x:f>
        <x:v>4694844.256533035</x:v>
      </x:c>
      <x:c r="F18" s="120" t="n">
        <x:f>MIN('조건'!$B$9,C18+D18)</x:f>
        <x:v>5552074.40236392</x:v>
      </x:c>
      <x:c r="G18" s="121" t="n">
        <x:f>MAX(0,C18-E18)</x:f>
        <x:v>240228054.55229107</x:v>
      </x:c>
    </x:row>
    <x:row r="19">
      <x:c r="A19" s="64" t="n">
        <x:v>14</x:v>
      </x:c>
      <x:c r="B19" s="111" t="n">
        <x:f>EDATE('조건'!$B$10,A19)</x:f>
        <x:v>46477</x:v>
      </x:c>
      <x:c r="C19" s="119" t="n">
        <x:f>G18</x:f>
        <x:v>240228054.55229107</x:v>
      </x:c>
      <x:c r="D19" s="120" t="n">
        <x:f>C19*'조건'!$B$7/12</x:f>
        <x:v>840798.1909330188</x:v>
      </x:c>
      <x:c r="E19" s="120" t="n">
        <x:f>F19-D19</x:f>
        <x:v>4711276.211430901</x:v>
      </x:c>
      <x:c r="F19" s="120" t="n">
        <x:f>MIN('조건'!$B$9,C19+D19)</x:f>
        <x:v>5552074.40236392</x:v>
      </x:c>
      <x:c r="G19" s="121" t="n">
        <x:f>MAX(0,C19-E19)</x:f>
        <x:v>235516778.34086016</x:v>
      </x:c>
    </x:row>
    <x:row r="20">
      <x:c r="A20" s="64" t="n">
        <x:v>15</x:v>
      </x:c>
      <x:c r="B20" s="111" t="n">
        <x:f>EDATE('조건'!$B$10,A20)</x:f>
        <x:v>46507</x:v>
      </x:c>
      <x:c r="C20" s="119" t="n">
        <x:f>G19</x:f>
        <x:v>235516778.34086016</x:v>
      </x:c>
      <x:c r="D20" s="120" t="n">
        <x:f>C20*'조건'!$B$8/12</x:f>
        <x:v>1177583891.7043006</x:v>
      </x:c>
      <x:c r="E20" s="120" t="n">
        <x:f>F20-D20</x:f>
        <x:v>-1172031817.3019366</x:v>
      </x:c>
      <x:c r="F20" s="120" t="n">
        <x:f>MIN('조건'!$B$9,C20+D20)</x:f>
        <x:v>5552074.40236392</x:v>
      </x:c>
      <x:c r="G20" s="121" t="n">
        <x:f>MAX(0,C20-E20)</x:f>
        <x:v>1407548595.6427968</x:v>
      </x:c>
    </x:row>
    <x:row r="21">
      <x:c r="A21" s="64" t="n">
        <x:v>16</x:v>
      </x:c>
      <x:c r="B21" s="111" t="n">
        <x:f>EDATE('조건'!$B$10,A21)</x:f>
        <x:v>46538</x:v>
      </x:c>
      <x:c r="C21" s="119" t="n">
        <x:f>G20</x:f>
        <x:v>1407548595.6427968</x:v>
      </x:c>
      <x:c r="D21" s="120" t="n">
        <x:f>C21*'조건'!$B$7/12</x:f>
        <x:v>4926420.084749789</x:v>
      </x:c>
      <x:c r="E21" s="120" t="n">
        <x:f>F21-D21</x:f>
        <x:v>625654.3176141307</x:v>
      </x:c>
      <x:c r="F21" s="120" t="n">
        <x:f>MIN('조건'!$B$9,C21+D21)</x:f>
        <x:v>5552074.40236392</x:v>
      </x:c>
      <x:c r="G21" s="121" t="n">
        <x:f>MAX(0,C21-E21)</x:f>
        <x:v>1406922941.3251827</x:v>
      </x:c>
    </x:row>
    <x:row r="22">
      <x:c r="A22" s="64" t="n">
        <x:v>17</x:v>
      </x:c>
      <x:c r="B22" s="111" t="n">
        <x:f>EDATE('조건'!$B$10,A22)</x:f>
        <x:v>46568</x:v>
      </x:c>
      <x:c r="C22" s="119" t="n">
        <x:f>G21</x:f>
        <x:v>1406922941.3251827</x:v>
      </x:c>
      <x:c r="D22" s="120" t="n">
        <x:f>C22*'조건'!$B$7/12</x:f>
        <x:v>4924230.294638139</x:v>
      </x:c>
      <x:c r="E22" s="120" t="n">
        <x:f>F22-D22</x:f>
        <x:v>627844.1077257805</x:v>
      </x:c>
      <x:c r="F22" s="120" t="n">
        <x:f>MIN('조건'!$B$9,C22+D22)</x:f>
        <x:v>5552074.40236392</x:v>
      </x:c>
      <x:c r="G22" s="121" t="n">
        <x:f>MAX(0,C22-E22)</x:f>
        <x:v>1406295097.2174568</x:v>
      </x:c>
    </x:row>
    <x:row r="23">
      <x:c r="A23" s="64" t="n">
        <x:v>18</x:v>
      </x:c>
      <x:c r="B23" s="111" t="n">
        <x:f>EDATE('조건'!$B$10,A23)</x:f>
        <x:v>46599</x:v>
      </x:c>
      <x:c r="C23" s="119" t="n">
        <x:f>G22</x:f>
        <x:v>1406295097.2174568</x:v>
      </x:c>
      <x:c r="D23" s="120" t="n">
        <x:f>C23*'조건'!$B$7/12</x:f>
        <x:v>4922032.840261099</x:v>
      </x:c>
      <x:c r="E23" s="120" t="n">
        <x:f>F23-D23</x:f>
        <x:v>630041.5621028207</x:v>
      </x:c>
      <x:c r="F23" s="120" t="n">
        <x:f>MIN('조건'!$B$9,C23+D23)</x:f>
        <x:v>5552074.40236392</x:v>
      </x:c>
      <x:c r="G23" s="121" t="n">
        <x:f>MAX(0,C23-E23)</x:f>
        <x:v>1405665055.655354</x:v>
      </x:c>
    </x:row>
    <x:row r="24">
      <x:c r="A24" s="64" t="n">
        <x:v>19</x:v>
      </x:c>
      <x:c r="B24" s="111" t="n">
        <x:f>EDATE('조건'!$B$10,A24)</x:f>
        <x:v>46630</x:v>
      </x:c>
      <x:c r="C24" s="119" t="n">
        <x:f>G23</x:f>
        <x:v>1405665055.655354</x:v>
      </x:c>
      <x:c r="D24" s="120" t="n">
        <x:f>C24*'조건'!$B$7/12</x:f>
        <x:v>4919827.694793739</x:v>
      </x:c>
      <x:c r="E24" s="120" t="n">
        <x:f>F24-D24</x:f>
        <x:v>632246.7075701803</x:v>
      </x:c>
      <x:c r="F24" s="120" t="n">
        <x:f>MIN('조건'!$B$9,C24+D24)</x:f>
        <x:v>5552074.40236392</x:v>
      </x:c>
      <x:c r="G24" s="121" t="n">
        <x:f>MAX(0,C24-E24)</x:f>
        <x:v>1405032808.947784</x:v>
      </x:c>
    </x:row>
    <x:row r="25">
      <x:c r="A25" s="64" t="n">
        <x:v>20</x:v>
      </x:c>
      <x:c r="B25" s="111" t="n">
        <x:f>EDATE('조건'!$B$10,A25)</x:f>
        <x:v>46660</x:v>
      </x:c>
      <x:c r="C25" s="119" t="n">
        <x:f>G24</x:f>
        <x:v>1405032808.947784</x:v>
      </x:c>
      <x:c r="D25" s="120" t="n">
        <x:f>C25*'조건'!$B$7/12</x:f>
        <x:v>4917614.831317244</x:v>
      </x:c>
      <x:c r="E25" s="120" t="n">
        <x:f>F25-D25</x:f>
        <x:v>634459.5710466756</x:v>
      </x:c>
      <x:c r="F25" s="120" t="n">
        <x:f>MIN('조건'!$B$9,C25+D25)</x:f>
        <x:v>5552074.40236392</x:v>
      </x:c>
      <x:c r="G25" s="121" t="n">
        <x:f>MAX(0,C25-E25)</x:f>
        <x:v>1404398349.3767374</x:v>
      </x:c>
    </x:row>
    <x:row r="26">
      <x:c r="A26" s="64" t="n">
        <x:v>21</x:v>
      </x:c>
      <x:c r="B26" s="111" t="n">
        <x:f>EDATE('조건'!$B$10,A26)</x:f>
        <x:v>46691</x:v>
      </x:c>
      <x:c r="C26" s="119" t="n">
        <x:f>G25</x:f>
        <x:v>1404398349.3767374</x:v>
      </x:c>
      <x:c r="D26" s="120" t="n">
        <x:f>C26*'조건'!$B$7/12</x:f>
        <x:v>4915394.22281858</x:v>
      </x:c>
      <x:c r="E26" s="120" t="n">
        <x:f>F26-D26</x:f>
        <x:v>636680.1795453392</x:v>
      </x:c>
      <x:c r="F26" s="120" t="n">
        <x:f>MIN('조건'!$B$9,C26+D26)</x:f>
        <x:v>5552074.40236392</x:v>
      </x:c>
      <x:c r="G26" s="121" t="n">
        <x:f>MAX(0,C26-E26)</x:f>
        <x:v>1403761669.197192</x:v>
      </x:c>
    </x:row>
    <x:row r="27">
      <x:c r="A27" s="64" t="n">
        <x:v>22</x:v>
      </x:c>
      <x:c r="B27" s="111" t="n">
        <x:f>EDATE('조건'!$B$10,A27)</x:f>
        <x:v>46721</x:v>
      </x:c>
      <x:c r="C27" s="119" t="n">
        <x:f>G26</x:f>
        <x:v>1403761669.197192</x:v>
      </x:c>
      <x:c r="D27" s="120" t="n">
        <x:f>C27*'조건'!$B$7/12</x:f>
        <x:v>4913165.842190172</x:v>
      </x:c>
      <x:c r="E27" s="120" t="n">
        <x:f>F27-D27</x:f>
        <x:v>638908.5601737481</x:v>
      </x:c>
      <x:c r="F27" s="120" t="n">
        <x:f>MIN('조건'!$B$9,C27+D27)</x:f>
        <x:v>5552074.40236392</x:v>
      </x:c>
      <x:c r="G27" s="121" t="n">
        <x:f>MAX(0,C27-E27)</x:f>
        <x:v>1403122760.6370182</x:v>
      </x:c>
    </x:row>
    <x:row r="28">
      <x:c r="A28" s="64" t="n">
        <x:v>23</x:v>
      </x:c>
      <x:c r="B28" s="111" t="n">
        <x:f>EDATE('조건'!$B$10,A28)</x:f>
        <x:v>46752</x:v>
      </x:c>
      <x:c r="C28" s="119" t="n">
        <x:f>G27</x:f>
        <x:v>1403122760.6370182</x:v>
      </x:c>
      <x:c r="D28" s="120" t="n">
        <x:f>C28*'조건'!$B$7/12</x:f>
        <x:v>4910929.662229564</x:v>
      </x:c>
      <x:c r="E28" s="120" t="n">
        <x:f>F28-D28</x:f>
        <x:v>641144.7401343556</x:v>
      </x:c>
      <x:c r="F28" s="120" t="n">
        <x:f>MIN('조건'!$B$9,C28+D28)</x:f>
        <x:v>5552074.40236392</x:v>
      </x:c>
      <x:c r="G28" s="121" t="n">
        <x:f>MAX(0,C28-E28)</x:f>
        <x:v>1402481615.896884</x:v>
      </x:c>
    </x:row>
    <x:row r="29">
      <x:c r="A29" s="64" t="n">
        <x:v>24</x:v>
      </x:c>
      <x:c r="B29" s="111" t="n">
        <x:f>EDATE('조건'!$B$10,A29)</x:f>
        <x:v>46783</x:v>
      </x:c>
      <x:c r="C29" s="119" t="n">
        <x:f>G28</x:f>
        <x:v>1402481615.896884</x:v>
      </x:c>
      <x:c r="D29" s="120" t="n">
        <x:f>C29*'조건'!$B$7/12</x:f>
        <x:v>4908685.655639094</x:v>
      </x:c>
      <x:c r="E29" s="120" t="n">
        <x:f>F29-D29</x:f>
        <x:v>643388.7467248254</x:v>
      </x:c>
      <x:c r="F29" s="120" t="n">
        <x:f>MIN('조건'!$B$9,C29+D29)</x:f>
        <x:v>5552074.40236392</x:v>
      </x:c>
      <x:c r="G29" s="121" t="n">
        <x:f>MAX(0,C29-E29)</x:f>
        <x:v>1401838227.1501591</x:v>
      </x:c>
    </x:row>
    <x:row r="30">
      <x:c r="A30" s="64" t="n">
        <x:v>25</x:v>
      </x:c>
      <x:c r="B30" s="111" t="n">
        <x:f>EDATE('조건'!$B$10,A30)</x:f>
        <x:v>46812</x:v>
      </x:c>
      <x:c r="C30" s="119" t="n">
        <x:f>G29</x:f>
        <x:v>1401838227.1501591</x:v>
      </x:c>
      <x:c r="D30" s="120" t="n">
        <x:f>C30*'조건'!$B$7/12</x:f>
        <x:v>4906433.795025557</x:v>
      </x:c>
      <x:c r="E30" s="120" t="n">
        <x:f>F30-D30</x:f>
        <x:v>645640.6073383624</x:v>
      </x:c>
      <x:c r="F30" s="120" t="n">
        <x:f>MIN('조건'!$B$9,C30+D30)</x:f>
        <x:v>5552074.40236392</x:v>
      </x:c>
      <x:c r="G30" s="121" t="n">
        <x:f>MAX(0,C30-E30)</x:f>
        <x:v>1401192586.5428207</x:v>
      </x:c>
    </x:row>
    <x:row r="31">
      <x:c r="A31" s="64" t="n">
        <x:v>26</x:v>
      </x:c>
      <x:c r="B31" s="111" t="n">
        <x:f>EDATE('조건'!$B$10,A31)</x:f>
        <x:v>46843</x:v>
      </x:c>
      <x:c r="C31" s="119" t="n">
        <x:f>G30</x:f>
        <x:v>1401192586.5428207</x:v>
      </x:c>
      <x:c r="D31" s="120" t="n">
        <x:f>C31*'조건'!$B$7/12</x:f>
        <x:v>4904174.052899873</x:v>
      </x:c>
      <x:c r="E31" s="120" t="n">
        <x:f>F31-D31</x:f>
        <x:v>647900.3494640468</x:v>
      </x:c>
      <x:c r="F31" s="120" t="n">
        <x:f>MIN('조건'!$B$9,C31+D31)</x:f>
        <x:v>5552074.40236392</x:v>
      </x:c>
      <x:c r="G31" s="121" t="n">
        <x:f>MAX(0,C31-E31)</x:f>
        <x:v>1400544686.1933568</x:v>
      </x:c>
    </x:row>
    <x:row r="32">
      <x:c r="A32" s="64" t="n">
        <x:v>27</x:v>
      </x:c>
      <x:c r="B32" s="111" t="n">
        <x:f>EDATE('조건'!$B$10,A32)</x:f>
        <x:v>46873</x:v>
      </x:c>
      <x:c r="C32" s="119" t="n">
        <x:f>G31</x:f>
        <x:v>1400544686.1933568</x:v>
      </x:c>
      <x:c r="D32" s="120" t="n">
        <x:f>C32*'조건'!$B$7/12</x:f>
        <x:v>4901906.401676749</x:v>
      </x:c>
      <x:c r="E32" s="120" t="n">
        <x:f>F32-D32</x:f>
        <x:v>650168.0006871708</x:v>
      </x:c>
      <x:c r="F32" s="120" t="n">
        <x:f>MIN('조건'!$B$9,C32+D32)</x:f>
        <x:v>5552074.40236392</x:v>
      </x:c>
      <x:c r="G32" s="121" t="n">
        <x:f>MAX(0,C32-E32)</x:f>
        <x:v>1399894518.1926696</x:v>
      </x:c>
    </x:row>
    <x:row r="33">
      <x:c r="A33" s="64" t="n">
        <x:v>28</x:v>
      </x:c>
      <x:c r="B33" s="111" t="n">
        <x:f>EDATE('조건'!$B$10,A33)</x:f>
        <x:v>46904</x:v>
      </x:c>
      <x:c r="C33" s="119" t="n">
        <x:f>G32</x:f>
        <x:v>1399894518.1926696</x:v>
      </x:c>
      <x:c r="D33" s="120" t="n">
        <x:f>C33*'조건'!$B$7/12</x:f>
        <x:v>4899630.813674344</x:v>
      </x:c>
      <x:c r="E33" s="120" t="n">
        <x:f>F33-D33</x:f>
        <x:v>652443.5886895759</x:v>
      </x:c>
      <x:c r="F33" s="120" t="n">
        <x:f>MIN('조건'!$B$9,C33+D33)</x:f>
        <x:v>5552074.40236392</x:v>
      </x:c>
      <x:c r="G33" s="121" t="n">
        <x:f>MAX(0,C33-E33)</x:f>
        <x:v>1399242074.60398</x:v>
      </x:c>
    </x:row>
    <x:row r="34">
      <x:c r="A34" s="64" t="n">
        <x:v>29</x:v>
      </x:c>
      <x:c r="B34" s="111" t="n">
        <x:f>EDATE('조건'!$B$10,A34)</x:f>
        <x:v>46934</x:v>
      </x:c>
      <x:c r="C34" s="119" t="n">
        <x:f>G33</x:f>
        <x:v>1399242074.60398</x:v>
      </x:c>
      <x:c r="D34" s="120" t="n">
        <x:f>C34*'조건'!$B$7/12</x:f>
        <x:v>4897347.2611139305</x:v>
      </x:c>
      <x:c r="E34" s="120" t="n">
        <x:v>4200000</x:v>
      </x:c>
      <x:c r="F34" s="120" t="n">
        <x:f>MIN('조건'!$B$9,C34+D34)</x:f>
        <x:v>5552074.40236392</x:v>
      </x:c>
      <x:c r="G34" s="121" t="n">
        <x:f>MAX(0,C34-E34)</x:f>
        <x:v>1395042074.60398</x:v>
      </x:c>
    </x:row>
    <x:row r="35">
      <x:c r="A35" s="64" t="n">
        <x:v>30</x:v>
      </x:c>
      <x:c r="B35" s="111" t="n">
        <x:f>EDATE('조건'!$B$10,A35)</x:f>
        <x:v>46965</x:v>
      </x:c>
      <x:c r="C35" s="119" t="n">
        <x:f>G34</x:f>
        <x:v>1395042074.60398</x:v>
      </x:c>
      <x:c r="D35" s="120" t="n">
        <x:f>C35*'조건'!$B$7/12</x:f>
        <x:v>4882647.2611139305</x:v>
      </x:c>
      <x:c r="E35" s="120" t="n">
        <x:f>F35-D35</x:f>
        <x:v>669427.1412499892</x:v>
      </x:c>
      <x:c r="F35" s="120" t="n">
        <x:f>MIN('조건'!$B$9,C35+D35)</x:f>
        <x:v>5552074.40236392</x:v>
      </x:c>
      <x:c r="G35" s="121" t="n">
        <x:f>MAX(0,C35-E35)</x:f>
        <x:v>1394372647.4627302</x:v>
      </x:c>
    </x:row>
    <x:row r="36">
      <x:c r="A36" s="64" t="n">
        <x:v>31</x:v>
      </x:c>
      <x:c r="B36" s="111" t="n">
        <x:f>EDATE('조건'!$B$10,A36)</x:f>
        <x:v>46996</x:v>
      </x:c>
      <x:c r="C36" s="119" t="n">
        <x:f>G35</x:f>
        <x:v>1394372647.4627302</x:v>
      </x:c>
      <x:c r="D36" s="120" t="n">
        <x:f>C36*'조건'!$B$7/12</x:f>
        <x:v>4880304.266119556</x:v>
      </x:c>
      <x:c r="E36" s="120" t="n">
        <x:f>F36-D36</x:f>
        <x:v>671770.1362443641</x:v>
      </x:c>
      <x:c r="F36" s="120" t="n">
        <x:f>MIN('조건'!$B$9,C36+D36)</x:f>
        <x:v>5552074.40236392</x:v>
      </x:c>
      <x:c r="G36" s="121" t="n">
        <x:f>MAX(0,C36-E36)</x:f>
        <x:v>1393700877.3264859</x:v>
      </x:c>
    </x:row>
    <x:row r="37">
      <x:c r="A37" s="64" t="n">
        <x:v>32</x:v>
      </x:c>
      <x:c r="B37" s="111" t="n">
        <x:f>EDATE('조건'!$B$10,A37)</x:f>
        <x:v>47026</x:v>
      </x:c>
      <x:c r="C37" s="119" t="n">
        <x:f>G36</x:f>
        <x:v>1393700877.3264859</x:v>
      </x:c>
      <x:c r="D37" s="120" t="n">
        <x:f>C37*'조건'!$B$7/12</x:f>
        <x:v>4877953.070642701</x:v>
      </x:c>
      <x:c r="E37" s="120" t="n">
        <x:f>F37-D37</x:f>
        <x:v>674121.3317212183</x:v>
      </x:c>
      <x:c r="F37" s="120" t="n">
        <x:f>MIN('조건'!$B$9,C37+D37)</x:f>
        <x:v>5552074.40236392</x:v>
      </x:c>
      <x:c r="G37" s="121" t="n">
        <x:f>MAX(0,C37-E37)</x:f>
        <x:v>1393026755.9947646</x:v>
      </x:c>
    </x:row>
    <x:row r="38">
      <x:c r="A38" s="64" t="n">
        <x:v>33</x:v>
      </x:c>
      <x:c r="B38" s="111" t="n">
        <x:f>EDATE('조건'!$B$10,A38)</x:f>
        <x:v>47057</x:v>
      </x:c>
      <x:c r="C38" s="119" t="n">
        <x:f>G37</x:f>
        <x:v>1393026755.9947646</x:v>
      </x:c>
      <x:c r="D38" s="120" t="n">
        <x:f>C38*'조건'!$B$7/12</x:f>
        <x:v>4875593.645981676</x:v>
      </x:c>
      <x:c r="E38" s="120" t="n">
        <x:f>F38-D38</x:f>
        <x:v>676480.7563822437</x:v>
      </x:c>
      <x:c r="F38" s="120" t="n">
        <x:f>MIN('조건'!$B$9,C38+D38)</x:f>
        <x:v>5552074.40236392</x:v>
      </x:c>
      <x:c r="G38" s="121" t="n">
        <x:f>MAX(0,C38-E38)</x:f>
        <x:v>1392350275.2383823</x:v>
      </x:c>
    </x:row>
    <x:row r="39">
      <x:c r="A39" s="64" t="n">
        <x:v>34</x:v>
      </x:c>
      <x:c r="B39" s="111" t="n">
        <x:f>EDATE('조건'!$B$10,A39)</x:f>
        <x:v>47087</x:v>
      </x:c>
      <x:c r="C39" s="119" t="n">
        <x:f>G38</x:f>
        <x:v>1392350275.2383823</x:v>
      </x:c>
      <x:c r="D39" s="120" t="n">
        <x:f>C39*'조건'!$B$7/12</x:f>
        <x:v>4873225.963334339</x:v>
      </x:c>
      <x:c r="E39" s="120" t="n">
        <x:f>F39-D39</x:f>
        <x:v>678848.4390295809</x:v>
      </x:c>
      <x:c r="F39" s="120" t="n">
        <x:f>MIN('조건'!$B$9,C39+D39)</x:f>
        <x:v>5552074.40236392</x:v>
      </x:c>
      <x:c r="G39" s="121" t="n">
        <x:f>MAX(0,C39-E39)</x:f>
        <x:v>1391671426.7993526</x:v>
      </x:c>
    </x:row>
    <x:row r="40">
      <x:c r="A40" s="64" t="n">
        <x:v>35</x:v>
      </x:c>
      <x:c r="B40" s="111" t="n">
        <x:f>EDATE('조건'!$B$10,A40)</x:f>
        <x:v>47118</x:v>
      </x:c>
      <x:c r="C40" s="119" t="n">
        <x:f>G39</x:f>
        <x:v>1391671426.7993526</x:v>
      </x:c>
      <x:c r="D40" s="120" t="n">
        <x:f>C40*'조건'!$B$7/12</x:f>
        <x:v>4870849.993797734</x:v>
      </x:c>
      <x:c r="E40" s="120" t="n">
        <x:f>F40-D40</x:f>
        <x:v>681224.4085661853</x:v>
      </x:c>
      <x:c r="F40" s="120" t="n">
        <x:f>MIN('조건'!$B$9,C40+D40)</x:f>
        <x:v>5552074.40236392</x:v>
      </x:c>
      <x:c r="G40" s="121" t="n">
        <x:f>MAX(0,C40-E40)</x:f>
        <x:v>1390990202.3907864</x:v>
      </x:c>
    </x:row>
    <x:row r="41">
      <x:c r="A41" s="64" t="n">
        <x:v>36</x:v>
      </x:c>
      <x:c r="B41" s="111" t="n">
        <x:f>EDATE('조건'!$B$10,A41)</x:f>
        <x:v>47149</x:v>
      </x:c>
      <x:c r="C41" s="119" t="n">
        <x:f>G40</x:f>
        <x:v>1390990202.3907864</x:v>
      </x:c>
      <x:c r="D41" s="120" t="n">
        <x:f>C41*'조건'!$B$7/12</x:f>
        <x:v>4868465.708367753</x:v>
      </x:c>
      <x:c r="E41" s="120" t="n">
        <x:f>F41-D41</x:f>
        <x:v>683608.6939961668</x:v>
      </x:c>
      <x:c r="F41" s="120" t="n">
        <x:f>MIN('조건'!$B$9,C41+D41)</x:f>
        <x:v>5552074.40236392</x:v>
      </x:c>
      <x:c r="G41" s="121" t="n">
        <x:f>MAX(0,C41-E41)</x:f>
        <x:v>1390306593.6967902</x:v>
      </x:c>
    </x:row>
    <x:row r="42">
      <x:c r="A42" s="64" t="n">
        <x:v>37</x:v>
      </x:c>
      <x:c r="B42" s="111" t="n">
        <x:f>EDATE('조건'!$B$10,A42)</x:f>
        <x:v>47177</x:v>
      </x:c>
      <x:c r="C42" s="119" t="n">
        <x:f>G41</x:f>
        <x:v>1390306593.6967902</x:v>
      </x:c>
      <x:c r="D42" s="120" t="n">
        <x:f>C42*'조건'!$B$7/12</x:f>
        <x:v>4866073.077938766</x:v>
      </x:c>
      <x:c r="E42" s="120" t="n">
        <x:f>F42-D42</x:f>
        <x:v>686001.3244251534</x:v>
      </x:c>
      <x:c r="F42" s="120" t="n">
        <x:f>MIN('조건'!$B$9,C42+D42)</x:f>
        <x:v>5552074.40236392</x:v>
      </x:c>
      <x:c r="G42" s="121" t="n">
        <x:f>MAX(0,C42-E42)</x:f>
        <x:v>1389620592.372365</x:v>
      </x:c>
    </x:row>
    <x:row r="43">
      <x:c r="A43" s="64" t="n">
        <x:v>38</x:v>
      </x:c>
      <x:c r="B43" s="111" t="n">
        <x:f>EDATE('조건'!$B$10,A43)</x:f>
        <x:v>47208</x:v>
      </x:c>
      <x:c r="C43" s="119" t="n">
        <x:f>G42</x:f>
        <x:v>1389620592.372365</x:v>
      </x:c>
      <x:c r="D43" s="120" t="n">
        <x:f>C43*'조건'!$B$7/12</x:f>
        <x:v>4863672.073303278</x:v>
      </x:c>
      <x:c r="E43" s="120" t="n">
        <x:f>F43-D43</x:f>
        <x:v>688402.329060642</x:v>
      </x:c>
      <x:c r="F43" s="120" t="n">
        <x:f>MIN('조건'!$B$9,C43+D43)</x:f>
        <x:v>5552074.40236392</x:v>
      </x:c>
      <x:c r="G43" s="121" t="n">
        <x:f>MAX(0,C43-E43)</x:f>
        <x:v>1388932190.0433044</x:v>
      </x:c>
    </x:row>
    <x:row r="44">
      <x:c r="A44" s="64" t="n">
        <x:v>39</x:v>
      </x:c>
      <x:c r="B44" s="111" t="n">
        <x:f>EDATE('조건'!$B$10,A44)</x:f>
        <x:v>47238</x:v>
      </x:c>
      <x:c r="C44" s="119" t="n">
        <x:f>G43</x:f>
        <x:v>1388932190.0433044</x:v>
      </x:c>
      <x:c r="D44" s="120" t="n">
        <x:f>C44*'조건'!$B$7/12</x:f>
        <x:v>4861262.665151565</x:v>
      </x:c>
      <x:c r="E44" s="120" t="n">
        <x:f>F44-D44</x:f>
        <x:v>690811.7372123543</x:v>
      </x:c>
      <x:c r="F44" s="120" t="n">
        <x:f>MIN('조건'!$B$9,C44+D44)</x:f>
        <x:v>5552074.40236392</x:v>
      </x:c>
      <x:c r="G44" s="121" t="n">
        <x:f>MAX(0,C44-E44)</x:f>
        <x:v>1388241378.306092</x:v>
      </x:c>
    </x:row>
    <x:row r="45">
      <x:c r="A45" s="64" t="n">
        <x:v>40</x:v>
      </x:c>
      <x:c r="B45" s="111" t="n">
        <x:f>EDATE('조건'!$B$10,A45)</x:f>
        <x:v>47269</x:v>
      </x:c>
      <x:c r="C45" s="119" t="n">
        <x:f>G44</x:f>
        <x:v>1388241378.306092</x:v>
      </x:c>
      <x:c r="D45" s="120" t="n">
        <x:f>C45*'조건'!$B$7/12</x:f>
        <x:v>4858844.824071323</x:v>
      </x:c>
      <x:c r="E45" s="120" t="n">
        <x:f>F45-D45</x:f>
        <x:v>693229.5782925971</x:v>
      </x:c>
      <x:c r="F45" s="120" t="n">
        <x:f>MIN('조건'!$B$9,C45+D45)</x:f>
        <x:v>5552074.40236392</x:v>
      </x:c>
      <x:c r="G45" s="121" t="n">
        <x:f>MAX(0,C45-E45)</x:f>
        <x:v>1387548148.7277994</x:v>
      </x:c>
    </x:row>
    <x:row r="46">
      <x:c r="A46" s="64" t="n">
        <x:v>41</x:v>
      </x:c>
      <x:c r="B46" s="111" t="n">
        <x:f>EDATE('조건'!$B$10,A46)</x:f>
        <x:v>47299</x:v>
      </x:c>
      <x:c r="C46" s="119" t="n">
        <x:f>G45</x:f>
        <x:v>1387548148.7277994</x:v>
      </x:c>
      <x:c r="D46" s="120" t="n">
        <x:f>C46*'조건'!$B$7/12</x:f>
        <x:v>4856418.520547298</x:v>
      </x:c>
      <x:c r="E46" s="120" t="n">
        <x:f>F46-D46</x:f>
        <x:v>695655.8818166219</x:v>
      </x:c>
      <x:c r="F46" s="120" t="n">
        <x:f>MIN('조건'!$B$9,C46+D46)</x:f>
        <x:v>5552074.40236392</x:v>
      </x:c>
      <x:c r="G46" s="121" t="n">
        <x:f>MAX(0,C46-E46)</x:f>
        <x:v>1386852492.8459828</x:v>
      </x:c>
    </x:row>
    <x:row r="47">
      <x:c r="A47" s="64" t="n">
        <x:v>42</x:v>
      </x:c>
      <x:c r="B47" s="111" t="n">
        <x:f>EDATE('조건'!$B$10,A47)</x:f>
        <x:v>47330</x:v>
      </x:c>
      <x:c r="C47" s="119" t="n">
        <x:f>G46</x:f>
        <x:v>1386852492.8459828</x:v>
      </x:c>
      <x:c r="D47" s="120" t="n">
        <x:f>C47*'조건'!$B$7/12</x:f>
        <x:v>4853983.72496094</x:v>
      </x:c>
      <x:c r="E47" s="120" t="n">
        <x:f>F47-D47</x:f>
        <x:v>698090.6774029797</x:v>
      </x:c>
      <x:c r="F47" s="120" t="n">
        <x:f>MIN('조건'!$B$9,C47+D47)</x:f>
        <x:v>5552074.40236392</x:v>
      </x:c>
      <x:c r="G47" s="121"/>
    </x:row>
    <x:row r="48">
      <x:c r="A48" s="64" t="n">
        <x:v>43</x:v>
      </x:c>
      <x:c r="B48" s="111" t="n">
        <x:f>EDATE('조건'!$B$10,A48)</x:f>
        <x:v>47361</x:v>
      </x:c>
      <x:c r="C48" s="119" t="n">
        <x:f>G47</x:f>
        <x:v>0</x:v>
      </x:c>
      <x:c r="D48" s="120" t="n">
        <x:f>C48*'조건'!$B$7/12</x:f>
        <x:v>0</x:v>
      </x:c>
      <x:c r="E48" s="120" t="n">
        <x:f>F48-D48</x:f>
        <x:v>0</x:v>
      </x:c>
      <x:c r="F48" s="120" t="n">
        <x:f>MIN('조건'!$B$9,C48+D48)</x:f>
        <x:v>0</x:v>
      </x:c>
      <x:c r="G48" s="121" t="n">
        <x:f>MAX(0,C48-E48)</x:f>
        <x:v>0</x:v>
      </x:c>
    </x:row>
    <x:row r="49">
      <x:c r="A49" s="64" t="n">
        <x:v>44</x:v>
      </x:c>
      <x:c r="B49" s="111" t="n">
        <x:f>EDATE('조건'!$B$10,A49)</x:f>
        <x:v>47391</x:v>
      </x:c>
      <x:c r="C49" s="119" t="n">
        <x:f>G48</x:f>
        <x:v>0</x:v>
      </x:c>
      <x:c r="D49" s="120" t="n">
        <x:f>C49*'조건'!$B$7/12</x:f>
        <x:v>0</x:v>
      </x:c>
      <x:c r="E49" s="120" t="n">
        <x:f>F49-D49</x:f>
        <x:v>0</x:v>
      </x:c>
      <x:c r="F49" s="120" t="n">
        <x:f>MIN('조건'!$B$9,C49+D49)</x:f>
        <x:v>0</x:v>
      </x:c>
      <x:c r="G49" s="121" t="n">
        <x:f>MAX(0,C49-E49)</x:f>
        <x:v>0</x:v>
      </x:c>
    </x:row>
    <x:row r="50">
      <x:c r="A50" s="64" t="n">
        <x:v>45</x:v>
      </x:c>
      <x:c r="B50" s="111" t="n">
        <x:f>EDATE('조건'!$B$10,A50)</x:f>
        <x:v>47422</x:v>
      </x:c>
      <x:c r="C50" s="119" t="n">
        <x:f>G49</x:f>
        <x:v>0</x:v>
      </x:c>
      <x:c r="D50" s="120" t="n">
        <x:f>C50*'조건'!$B$7/12</x:f>
        <x:v>0</x:v>
      </x:c>
      <x:c r="E50" s="120" t="n">
        <x:f>F50-D50</x:f>
        <x:v>0</x:v>
      </x:c>
      <x:c r="F50" s="120" t="n">
        <x:f>MIN('조건'!$B$9,C50+D50)</x:f>
        <x:v>0</x:v>
      </x:c>
      <x:c r="G50" s="121" t="n">
        <x:f>MAX(0,C50-E50)</x:f>
        <x:v>0</x:v>
      </x:c>
    </x:row>
    <x:row r="51">
      <x:c r="A51" s="64" t="n">
        <x:v>46</x:v>
      </x:c>
      <x:c r="B51" s="111" t="n">
        <x:f>EDATE('조건'!$B$10,A51)</x:f>
        <x:v>47452</x:v>
      </x:c>
      <x:c r="C51" s="119" t="n">
        <x:f>G50</x:f>
        <x:v>0</x:v>
      </x:c>
      <x:c r="D51" s="120" t="n">
        <x:f>C51*'조건'!$B$7/12</x:f>
        <x:v>0</x:v>
      </x:c>
      <x:c r="E51" s="120" t="n">
        <x:f>F51-D51</x:f>
        <x:v>0</x:v>
      </x:c>
      <x:c r="F51" s="120" t="n">
        <x:f>MIN('조건'!$B$9,C51+D51)</x:f>
        <x:v>0</x:v>
      </x:c>
      <x:c r="G51" s="121" t="n">
        <x:f>MAX(0,C51-E51)</x:f>
        <x:v>0</x:v>
      </x:c>
    </x:row>
    <x:row r="52">
      <x:c r="A52" s="64" t="n">
        <x:v>47</x:v>
      </x:c>
      <x:c r="B52" s="111" t="n">
        <x:f>EDATE('조건'!$B$10,A52)</x:f>
        <x:v>47483</x:v>
      </x:c>
      <x:c r="C52" s="119" t="n">
        <x:f>G51</x:f>
        <x:v>0</x:v>
      </x:c>
      <x:c r="D52" s="120" t="n">
        <x:f>C52*'조건'!$B$7/12</x:f>
        <x:v>0</x:v>
      </x:c>
      <x:c r="E52" s="120" t="n">
        <x:f>F52-D52</x:f>
        <x:v>5552074.40236392</x:v>
      </x:c>
      <x:c r="F52" s="120" t="n">
        <x:f>MAX('조건'!$B$9,C52+D52)</x:f>
        <x:v>5552074.40236392</x:v>
      </x:c>
      <x:c r="G52" s="121" t="n">
        <x:f>MAX(0,C52-E52)</x:f>
        <x:v>0</x:v>
      </x:c>
    </x:row>
    <x:row r="53">
      <x:c r="A53" s="64" t="n">
        <x:v>48</x:v>
      </x:c>
      <x:c r="B53" s="111" t="n">
        <x:f>EDATE('조건'!$B$10,A53)</x:f>
        <x:v>47514</x:v>
      </x:c>
      <x:c r="C53" s="119" t="n">
        <x:f>G52</x:f>
        <x:v>0</x:v>
      </x:c>
      <x:c r="D53" s="120" t="n">
        <x:f>C53*'조건'!$B$7/12</x:f>
        <x:v>0</x:v>
      </x:c>
      <x:c r="E53" s="120" t="n">
        <x:f>F53-D53</x:f>
        <x:v>0</x:v>
      </x:c>
      <x:c r="F53" s="120" t="n">
        <x:f>MIN('조건'!$B$9,C53+D53)</x:f>
        <x:v>0</x:v>
      </x:c>
      <x:c r="G53" s="121" t="n">
        <x:f>MAX(0,C53-E53)</x:f>
        <x:v>0</x:v>
      </x:c>
    </x:row>
    <x:row r="54">
      <x:c r="A54" s="64" t="n">
        <x:v>49</x:v>
      </x:c>
      <x:c r="B54" s="111" t="n">
        <x:f>EDATE('조건'!$B$10,A54)</x:f>
        <x:v>47542</x:v>
      </x:c>
      <x:c r="C54" s="119" t="n">
        <x:f>G53</x:f>
        <x:v>0</x:v>
      </x:c>
      <x:c r="D54" s="120" t="n">
        <x:f>C54*'조건'!$B$7/12</x:f>
        <x:v>0</x:v>
      </x:c>
      <x:c r="E54" s="120" t="n">
        <x:f>F54-D54</x:f>
        <x:v>0</x:v>
      </x:c>
      <x:c r="F54" s="120" t="n">
        <x:f>MIN('조건'!$B$9,C54+D54)</x:f>
        <x:v>0</x:v>
      </x:c>
      <x:c r="G54" s="121" t="n">
        <x:f>MAX(0,C54-E54)</x:f>
        <x:v>0</x:v>
      </x:c>
    </x:row>
    <x:row r="55">
      <x:c r="A55" s="64" t="n">
        <x:v>50</x:v>
      </x:c>
      <x:c r="B55" s="111" t="n">
        <x:f>EDATE('조건'!$B$10,A55)</x:f>
        <x:v>47573</x:v>
      </x:c>
      <x:c r="C55" s="119" t="n">
        <x:f>G54</x:f>
        <x:v>0</x:v>
      </x:c>
      <x:c r="D55" s="120" t="n">
        <x:f>C55*'조건'!$B$7/12</x:f>
        <x:v>0</x:v>
      </x:c>
      <x:c r="E55" s="120" t="n">
        <x:f>F55-D55</x:f>
        <x:v>0</x:v>
      </x:c>
      <x:c r="F55" s="120" t="n">
        <x:f>MIN('조건'!$B$9,C55+D55)</x:f>
        <x:v>0</x:v>
      </x:c>
      <x:c r="G55" s="121" t="n">
        <x:f>MAX(0,C55-E55)</x:f>
        <x:v>0</x:v>
      </x:c>
    </x:row>
    <x:row r="56">
      <x:c r="A56" s="64" t="n">
        <x:v>51</x:v>
      </x:c>
      <x:c r="B56" s="111" t="n">
        <x:f>EDATE('조건'!$B$10,A56)</x:f>
        <x:v>47603</x:v>
      </x:c>
      <x:c r="C56" s="119" t="n">
        <x:f>G55</x:f>
        <x:v>0</x:v>
      </x:c>
      <x:c r="D56" s="120" t="n">
        <x:f>C56*'조건'!$B$7/12</x:f>
        <x:v>0</x:v>
      </x:c>
      <x:c r="E56" s="120" t="n">
        <x:f>F56-D56</x:f>
        <x:v>0</x:v>
      </x:c>
      <x:c r="F56" s="120" t="n">
        <x:f>MIN('조건'!$B$9,C56+D56)</x:f>
        <x:v>0</x:v>
      </x:c>
      <x:c r="G56" s="121" t="n">
        <x:f>MAX(0,C56-E56)</x:f>
        <x:v>0</x:v>
      </x:c>
    </x:row>
    <x:row r="57">
      <x:c r="A57" s="64" t="n">
        <x:v>52</x:v>
      </x:c>
      <x:c r="B57" s="111" t="n">
        <x:f>EDATE('조건'!$B$10,A57)</x:f>
        <x:v>47634</x:v>
      </x:c>
      <x:c r="C57" s="119" t="n">
        <x:f>G56</x:f>
        <x:v>0</x:v>
      </x:c>
      <x:c r="D57" s="120" t="n">
        <x:f>C57*'조건'!$B$7/12</x:f>
        <x:v>0</x:v>
      </x:c>
      <x:c r="E57" s="120" t="n">
        <x:f>F57-D57</x:f>
        <x:v>0</x:v>
      </x:c>
      <x:c r="F57" s="120" t="n">
        <x:f>MIN('조건'!$B$9,C57+D57)</x:f>
        <x:v>0</x:v>
      </x:c>
      <x:c r="G57" s="121" t="n">
        <x:f>MAX(0,C57-E57)</x:f>
        <x:v>0</x:v>
      </x:c>
    </x:row>
    <x:row r="58">
      <x:c r="A58" s="64" t="n">
        <x:v>53</x:v>
      </x:c>
      <x:c r="B58" s="111" t="n">
        <x:f>EDATE('조건'!$B$10,A58)</x:f>
        <x:v>47664</x:v>
      </x:c>
      <x:c r="C58" s="119" t="n">
        <x:f>G57</x:f>
        <x:v>0</x:v>
      </x:c>
      <x:c r="D58" s="120" t="n">
        <x:f>C58*'조건'!$B$7/12</x:f>
        <x:v>0</x:v>
      </x:c>
      <x:c r="E58" s="120" t="n">
        <x:f>F58-D58</x:f>
        <x:v>0</x:v>
      </x:c>
      <x:c r="F58" s="120" t="n">
        <x:f>MIN('조건'!$B$9,C58+D58)</x:f>
        <x:v>0</x:v>
      </x:c>
      <x:c r="G58" s="121" t="n">
        <x:f>MAX(0,C58-E58)</x:f>
        <x:v>0</x:v>
      </x:c>
    </x:row>
    <x:row r="59">
      <x:c r="A59" s="64" t="n">
        <x:v>54</x:v>
      </x:c>
      <x:c r="B59" s="111" t="n">
        <x:f>EDATE('조건'!$B$10,A59)</x:f>
        <x:v>47695</x:v>
      </x:c>
      <x:c r="C59" s="119" t="n">
        <x:f>G58</x:f>
        <x:v>0</x:v>
      </x:c>
      <x:c r="D59" s="120" t="n">
        <x:f>C59*'조건'!$B$7/12</x:f>
        <x:v>0</x:v>
      </x:c>
      <x:c r="E59" s="120" t="n">
        <x:f>F59-D59</x:f>
        <x:v>0</x:v>
      </x:c>
      <x:c r="F59" s="120" t="n">
        <x:f>MIN('조건'!$B$9,C59+D59)</x:f>
        <x:v>0</x:v>
      </x:c>
      <x:c r="G59" s="121" t="n">
        <x:f>MAX(0,C59-E59)</x:f>
        <x:v>0</x:v>
      </x:c>
    </x:row>
    <x:row r="60">
      <x:c r="A60" s="64" t="n">
        <x:v>55</x:v>
      </x:c>
      <x:c r="B60" s="111" t="n">
        <x:f>EDATE('조건'!$B$10,A60)</x:f>
        <x:v>47726</x:v>
      </x:c>
      <x:c r="C60" s="119" t="n">
        <x:f>G59</x:f>
        <x:v>0</x:v>
      </x:c>
      <x:c r="D60" s="120" t="n">
        <x:f>C60*'조건'!$B$7/12</x:f>
        <x:v>0</x:v>
      </x:c>
      <x:c r="E60" s="120" t="n">
        <x:f>F60-D60</x:f>
        <x:v>0</x:v>
      </x:c>
      <x:c r="F60" s="120" t="n">
        <x:f>MIN('조건'!$B$9,C60+D60)</x:f>
        <x:v>0</x:v>
      </x:c>
      <x:c r="G60" s="121" t="n">
        <x:f>MAX(0,C60-E60)</x:f>
        <x:v>0</x:v>
      </x:c>
    </x:row>
    <x:row r="61">
      <x:c r="A61" s="64" t="n">
        <x:v>56</x:v>
      </x:c>
      <x:c r="B61" s="111" t="n">
        <x:f>EDATE('조건'!$B$10,A61)</x:f>
        <x:v>47756</x:v>
      </x:c>
      <x:c r="C61" s="119" t="n">
        <x:f>G60</x:f>
        <x:v>0</x:v>
      </x:c>
      <x:c r="D61" s="120" t="n">
        <x:f>C61*'조건'!$B$7/12</x:f>
        <x:v>0</x:v>
      </x:c>
      <x:c r="E61" s="120" t="n">
        <x:f>F61-D61</x:f>
        <x:v>0</x:v>
      </x:c>
      <x:c r="F61" s="120" t="n">
        <x:f>MIN('조건'!$B$9,C61+D61)</x:f>
        <x:v>0</x:v>
      </x:c>
      <x:c r="G61" s="121" t="n">
        <x:f>MAX(0,C61-E61)</x:f>
        <x:v>0</x:v>
      </x:c>
    </x:row>
    <x:row r="62">
      <x:c r="A62" s="64" t="n">
        <x:v>57</x:v>
      </x:c>
      <x:c r="B62" s="111" t="n">
        <x:f>EDATE('조건'!$B$10,A62)</x:f>
        <x:v>47787</x:v>
      </x:c>
      <x:c r="C62" s="119" t="n">
        <x:f>G61</x:f>
        <x:v>0</x:v>
      </x:c>
      <x:c r="D62" s="120" t="n">
        <x:f>C62*'조건'!$B$7/12</x:f>
        <x:v>0</x:v>
      </x:c>
      <x:c r="E62" s="120" t="n">
        <x:f>F62-D62</x:f>
        <x:v>0</x:v>
      </x:c>
      <x:c r="F62" s="120" t="n">
        <x:f>MIN('조건'!$B$9,C62+D62)</x:f>
        <x:v>0</x:v>
      </x:c>
      <x:c r="G62" s="121" t="n">
        <x:f>MAX(0,C62-E62)</x:f>
        <x:v>0</x:v>
      </x:c>
    </x:row>
    <x:row r="63">
      <x:c r="A63" s="64" t="n">
        <x:v>58</x:v>
      </x:c>
      <x:c r="B63" s="111" t="n">
        <x:f>EDATE('조건'!$B$10,A63)</x:f>
        <x:v>47817</x:v>
      </x:c>
      <x:c r="C63" s="119" t="n">
        <x:f>G62</x:f>
        <x:v>0</x:v>
      </x:c>
      <x:c r="D63" s="120" t="n">
        <x:f>C63*'조건'!$B$7/12</x:f>
        <x:v>0</x:v>
      </x:c>
      <x:c r="E63" s="120" t="n">
        <x:f>F63-D63</x:f>
        <x:v>0</x:v>
      </x:c>
      <x:c r="F63" s="120" t="n">
        <x:f>MIN('조건'!$B$9,C63+D63)</x:f>
        <x:v>0</x:v>
      </x:c>
      <x:c r="G63" s="121" t="n">
        <x:f>MAX(0,C63-E63)</x:f>
        <x:v>0</x:v>
      </x:c>
    </x:row>
    <x:row r="64">
      <x:c r="A64" s="64" t="n">
        <x:v>59</x:v>
      </x:c>
      <x:c r="B64" s="111" t="n">
        <x:f>EDATE('조건'!$B$10,A64)</x:f>
        <x:v>47848</x:v>
      </x:c>
      <x:c r="C64" s="119" t="n">
        <x:f>G63</x:f>
        <x:v>0</x:v>
      </x:c>
      <x:c r="D64" s="120" t="n">
        <x:f>C64*'조건'!$B$7/12</x:f>
        <x:v>0</x:v>
      </x:c>
      <x:c r="E64" s="120" t="n">
        <x:f>F64-D64</x:f>
        <x:v>0</x:v>
      </x:c>
      <x:c r="F64" s="120" t="n">
        <x:f>MIN('조건'!$B$9,C64+D64)</x:f>
        <x:v>0</x:v>
      </x:c>
      <x:c r="G64" s="121" t="n">
        <x:f>MAX(0,C64-E64)</x:f>
        <x:v>0</x:v>
      </x:c>
    </x:row>
    <x:row r="65">
      <x:c r="A65" s="65" t="n">
        <x:v>60</x:v>
      </x:c>
      <x:c r="B65" s="112" t="n">
        <x:f>EDATE('조건'!$B$10,A65)</x:f>
        <x:v>47879</x:v>
      </x:c>
      <x:c r="C65" s="122" t="n">
        <x:f>G64</x:f>
        <x:v>0</x:v>
      </x:c>
      <x:c r="D65" s="123" t="n">
        <x:f>C65*'조건'!$B$7/12</x:f>
        <x:v>0</x:v>
      </x:c>
      <x:c r="E65" s="123" t="n">
        <x:f>F65-D65</x:f>
        <x:v>0</x:v>
      </x:c>
      <x:c r="F65" s="123" t="n">
        <x:f>MIN('조건'!$B$9,C65+D65)</x:f>
        <x:v>0</x:v>
      </x:c>
      <x:c r="G65" s="124" t="n">
        <x:f>MAX(0,C65-E65)</x:f>
        <x:v>0</x:v>
      </x:c>
    </x:row>
    <x:row r="66">
      <x:c r="A66" s="140" t="str">
        <x:v>합계</x:v>
      </x:c>
      <x:c r="B66" s="141" t="str"/>
      <x:c r="C66" s="142" t="str"/>
      <x:c r="D66" s="142" t="n">
        <x:f>SUM(D6:D65)</x:f>
        <x:v>1322886799.9266145</x:v>
      </x:c>
      <x:c r="E66" s="142" t="n">
        <x:f>SUM(E6:E65)</x:f>
        <x:v>-1080602327.7662158</x:v>
      </x:c>
      <x:c r="F66" s="142" t="n">
        <x:f>SUM(F6:F65)</x:f>
        <x:v>238739199.30164874</x:v>
      </x:c>
      <x:c r="G66" s="143" t="str"/>
    </x:row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대출 요약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상환표 핵심 지표</x:v>
      </x:c>
      <x:c r="B2" s="12"/>
      <x:c r="C2" s="12"/>
      <x:c r="D2" s="12"/>
      <x:c r="E2" s="12"/>
      <x:c r="F2" s="12"/>
      <x:c r="G2" s="12"/>
      <x:c r="H2" s="12"/>
    </x:row>
    <x:row r="3" ht="20" customHeight="1">
      <x:c r="A3" s="18" t="str">
        <x:v>합성 데이터 기반 M4-C 검증 샘플입니다.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53" t="str">
        <x:v>대출원금</x:v>
      </x:c>
      <x:c r="B5" s="153"/>
      <x:c r="C5" s="153" t="str">
        <x:v>월상환액</x:v>
      </x:c>
      <x:c r="D5" s="153"/>
      <x:c r="E5" s="153" t="str">
        <x:v>총이자</x:v>
      </x:c>
      <x:c r="F5" s="153"/>
      <x:c r="G5" s="153" t="str">
        <x:v>최종잔액</x:v>
      </x:c>
      <x:c r="H5" s="153"/>
    </x:row>
    <x:row r="6">
      <x:c r="A6" s="158" t="n">
        <x:f>'조건'!B6</x:f>
        <x:v>300000000</x:v>
      </x:c>
      <x:c r="B6" s="158"/>
      <x:c r="C6" s="158" t="n">
        <x:f>'조건'!B9</x:f>
        <x:v>5552074.40236392</x:v>
      </x:c>
      <x:c r="D6" s="158"/>
      <x:c r="E6" s="158" t="n">
        <x:f>'상환스케줄'!D66</x:f>
        <x:v>1322886799.9266145</x:v>
      </x:c>
      <x:c r="F6" s="158"/>
      <x:c r="G6" s="158" t="n">
        <x:f>'상환스케줄'!G65</x:f>
        <x:v>0</x:v>
      </x:c>
      <x:c r="H6" s="158"/>
    </x:row>
    <x:row r="7">
      <x:c r="A7" s="158"/>
      <x:c r="B7" s="158"/>
      <x:c r="C7" s="158"/>
      <x:c r="D7" s="158"/>
      <x:c r="E7" s="158"/>
      <x:c r="F7" s="158"/>
      <x:c r="G7" s="158"/>
      <x:c r="H7" s="158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