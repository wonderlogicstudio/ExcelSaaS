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df7318394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2bd6045248e49ad"/>
    <x:sheet xmlns:r="http://schemas.openxmlformats.org/officeDocument/2006/relationships" name="구독내역" sheetId="2" r:id="R61c5d8e0b8e94c42"/>
    <x:sheet xmlns:r="http://schemas.openxmlformats.org/officeDocument/2006/relationships" name="월별KPI" sheetId="3" r:id="Ra911c90498024f57"/>
    <x:sheet xmlns:r="http://schemas.openxmlformats.org/officeDocument/2006/relationships" name="요약" sheetId="4" r:id="R6f562fe5dd8f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yyyy-mm"/>
    <x:numFmt numFmtId="203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595959"/>
      <x:name val="Carlito"/>
    </x:font>
    <x:font>
      <x:b/>
      <x:sz val="16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</x:fills>
  <x:borders count="36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9" xfId="0" applyNumberFormat="1" applyFont="1" applyFill="1" applyBorder="1"/>
    <x:xf numFmtId="200" fontId="0" fillId="9" borderId="0" xfId="0" applyNumberFormat="1" applyFont="1" applyFill="1" applyBorder="1"/>
    <x:xf numFmtId="200" fontId="0" fillId="9" borderId="14" xfId="0" applyNumberFormat="1" applyFont="1" applyFill="1" applyBorder="1"/>
    <x:xf numFmtId="200" fontId="0" fillId="9" borderId="17" xfId="0" applyNumberFormat="1" applyFont="1" applyFill="1" applyBorder="1"/>
    <x:xf numFmtId="200" fontId="0" fillId="9" borderId="1" xfId="0" applyNumberFormat="1" applyFont="1" applyFill="1" applyBorder="1"/>
    <x:xf numFmtId="200" fontId="0" fillId="9" borderId="22" xfId="0" applyNumberFormat="1" applyFont="1" applyFill="1" applyBorder="1"/>
    <x:xf numFmtId="201" fontId="0" fillId="9" borderId="9" xfId="0" applyNumberFormat="1" applyFont="1" applyFill="1" applyBorder="1"/>
    <x:xf numFmtId="201" fontId="0" fillId="9" borderId="0" xfId="0" applyNumberFormat="1" applyFont="1" applyFill="1" applyBorder="1"/>
    <x:xf numFmtId="201" fontId="0" fillId="9" borderId="14" xfId="0" applyNumberFormat="1" applyFont="1" applyFill="1" applyBorder="1"/>
    <x:xf numFmtId="201" fontId="0" fillId="9" borderId="17" xfId="0" applyNumberFormat="1" applyFont="1" applyFill="1" applyBorder="1"/>
    <x:xf numFmtId="201" fontId="0" fillId="9" borderId="1" xfId="0" applyNumberFormat="1" applyFont="1" applyFill="1" applyBorder="1"/>
    <x:xf numFmtId="201" fontId="0" fillId="9" borderId="22" xfId="0" applyNumberFormat="1" applyFont="1" applyFill="1" applyBorder="1"/>
    <x:xf numFmtId="0" fontId="0" fillId="9" borderId="24" xfId="0" applyNumberFormat="1" applyFont="1" applyFill="1" applyBorder="1"/>
    <x:xf numFmtId="0" fontId="0" fillId="9" borderId="25" xfId="0" applyNumberFormat="1" applyFont="1" applyFill="1" applyBorder="1"/>
    <x:xf numFmtId="0" fontId="0" fillId="9" borderId="26" xfId="0" applyNumberFormat="1" applyFont="1" applyFill="1" applyBorder="1"/>
    <x:xf numFmtId="0" fontId="0" fillId="9" borderId="27" xfId="0" applyNumberFormat="1" applyFont="1" applyFill="1" applyBorder="1"/>
    <x:xf numFmtId="0" fontId="0" fillId="9" borderId="28" xfId="0" applyNumberFormat="1" applyFont="1" applyFill="1" applyBorder="1"/>
    <x:xf numFmtId="0" fontId="0" fillId="9" borderId="29" xfId="0" applyNumberFormat="1" applyFont="1" applyFill="1" applyBorder="1"/>
    <x:xf numFmtId="202" fontId="0" fillId="9" borderId="24" xfId="0" applyNumberFormat="1" applyFont="1" applyFill="1" applyBorder="1"/>
    <x:xf numFmtId="202" fontId="0" fillId="9" borderId="25" xfId="0" applyNumberFormat="1" applyFont="1" applyFill="1" applyBorder="1"/>
    <x:xf numFmtId="202" fontId="0" fillId="9" borderId="26" xfId="0" applyNumberFormat="1" applyFont="1" applyFill="1" applyBorder="1"/>
    <x:xf numFmtId="202" fontId="0" fillId="9" borderId="27" xfId="0" applyNumberFormat="1" applyFont="1" applyFill="1" applyBorder="1"/>
    <x:xf numFmtId="202" fontId="0" fillId="9" borderId="28" xfId="0" applyNumberFormat="1" applyFont="1" applyFill="1" applyBorder="1"/>
    <x:xf numFmtId="202" fontId="0" fillId="9" borderId="29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1" fontId="0" fillId="8" borderId="8" xfId="0" applyNumberFormat="1" applyFont="1" applyFill="1" applyBorder="1"/>
    <x:xf numFmtId="201" fontId="0" fillId="8" borderId="9" xfId="0" applyNumberFormat="1" applyFont="1" applyFill="1" applyBorder="1"/>
    <x:xf numFmtId="201" fontId="0" fillId="8" borderId="11" xfId="0" applyNumberFormat="1" applyFont="1" applyFill="1" applyBorder="1"/>
    <x:xf numFmtId="201" fontId="0" fillId="8" borderId="0" xfId="0" applyNumberFormat="1" applyFont="1" applyFill="1" applyBorder="1"/>
    <x:xf numFmtId="201" fontId="0" fillId="8" borderId="13" xfId="0" applyNumberFormat="1" applyFont="1" applyFill="1" applyBorder="1"/>
    <x:xf numFmtId="201" fontId="0" fillId="8" borderId="14" xfId="0" applyNumberFormat="1" applyFont="1" applyFill="1" applyBorder="1"/>
    <x:xf numFmtId="201" fontId="0" fillId="0" borderId="0" xfId="0" applyNumberFormat="1" applyFont="1" applyFill="1" applyBorder="1"/>
    <x:xf numFmtId="201" fontId="0" fillId="8" borderId="16" xfId="0" applyNumberFormat="1" applyFont="1" applyFill="1" applyBorder="1"/>
    <x:xf numFmtId="201" fontId="0" fillId="8" borderId="17" xfId="0" applyNumberFormat="1" applyFont="1" applyFill="1" applyBorder="1"/>
    <x:xf numFmtId="201" fontId="0" fillId="8" borderId="19" xfId="0" applyNumberFormat="1" applyFont="1" applyFill="1" applyBorder="1"/>
    <x:xf numFmtId="201" fontId="0" fillId="8" borderId="1" xfId="0" applyNumberFormat="1" applyFont="1" applyFill="1" applyBorder="1"/>
    <x:xf numFmtId="201" fontId="0" fillId="8" borderId="21" xfId="0" applyNumberFormat="1" applyFont="1" applyFill="1" applyBorder="1"/>
    <x:xf numFmtId="201" fontId="0" fillId="8" borderId="22" xfId="0" applyNumberFormat="1" applyFont="1" applyFill="1" applyBorder="1"/>
    <x:xf numFmtId="201" fontId="0" fillId="0" borderId="1" xfId="0" applyNumberFormat="1" applyFont="1" applyFill="1" applyBorder="1"/>
    <x:xf numFmtId="203" fontId="0" fillId="8" borderId="10" xfId="0" applyNumberFormat="1" applyFont="1" applyFill="1" applyBorder="1"/>
    <x:xf numFmtId="203" fontId="0" fillId="8" borderId="12" xfId="0" applyNumberFormat="1" applyFont="1" applyFill="1" applyBorder="1"/>
    <x:xf numFmtId="203" fontId="0" fillId="8" borderId="15" xfId="0" applyNumberFormat="1" applyFont="1" applyFill="1" applyBorder="1"/>
    <x:xf numFmtId="203" fontId="0" fillId="8" borderId="18" xfId="0" applyNumberFormat="1" applyFont="1" applyFill="1" applyBorder="1"/>
    <x:xf numFmtId="203" fontId="0" fillId="8" borderId="20" xfId="0" applyNumberFormat="1" applyFont="1" applyFill="1" applyBorder="1"/>
    <x:xf numFmtId="203" fontId="0" fillId="8" borderId="23" xfId="0" applyNumberFormat="1" applyFont="1" applyFill="1" applyBorder="1"/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0" fontId="4" fillId="10" borderId="0" xfId="0" applyNumberFormat="1" applyFont="1" applyFill="1" applyBorder="1"/>
    <x:xf numFmtId="201" fontId="4" fillId="10" borderId="0" xfId="0" applyNumberFormat="1" applyFont="1" applyFill="1" applyBorder="1"/>
    <x:xf numFmtId="0" fontId="4" fillId="10" borderId="30" xfId="0" applyNumberFormat="1" applyFont="1" applyFill="1" applyBorder="1"/>
    <x:xf numFmtId="201" fontId="4" fillId="10" borderId="31" xfId="0" applyNumberFormat="1" applyFont="1" applyFill="1" applyBorder="1"/>
    <x:xf numFmtId="0" fontId="4" fillId="10" borderId="31" xfId="0" applyNumberFormat="1" applyFont="1" applyFill="1" applyBorder="1"/>
    <x:xf numFmtId="0" fontId="4" fillId="10" borderId="32" xfId="0" applyNumberFormat="1" applyFont="1" applyFill="1" applyBorder="1"/>
    <x:xf numFmtId="0" fontId="0" fillId="10" borderId="1" xfId="0" applyNumberFormat="1" applyFont="1" applyFill="1" applyBorder="1"/>
    <x:xf numFmtId="201" fontId="0" fillId="10" borderId="1" xfId="0" applyNumberFormat="1" applyFont="1" applyFill="1" applyBorder="1"/>
    <x:xf numFmtId="0" fontId="4" fillId="10" borderId="1" xfId="0" applyNumberFormat="1" applyFont="1" applyFill="1" applyBorder="1"/>
    <x:xf numFmtId="201" fontId="4" fillId="10" borderId="1" xfId="0" applyNumberFormat="1" applyFont="1" applyFill="1" applyBorder="1"/>
    <x:xf numFmtId="0" fontId="4" fillId="10" borderId="33" xfId="0" applyNumberFormat="1" applyFont="1" applyFill="1" applyBorder="1"/>
    <x:xf numFmtId="201" fontId="4" fillId="10" borderId="34" xfId="0" applyNumberFormat="1" applyFont="1" applyFill="1" applyBorder="1"/>
    <x:xf numFmtId="0" fontId="4" fillId="10" borderId="34" xfId="0" applyNumberFormat="1" applyFont="1" applyFill="1" applyBorder="1"/>
    <x:xf numFmtId="0" fontId="4" fillId="10" borderId="35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07e97040445e1" /><Relationship Type="http://schemas.openxmlformats.org/officeDocument/2006/relationships/theme" Target="/xl/theme/theme1.xml" Id="R2eb48622954642c5" /><Relationship Type="http://schemas.openxmlformats.org/officeDocument/2006/relationships/sharedStrings" Target="/xl/sharedStrings.xml" Id="R299ac92b6e8b4947" /><Relationship Type="http://schemas.openxmlformats.org/officeDocument/2006/relationships/worksheet" Target="/xl/worksheets/sheet1.xml" Id="Rc2bd6045248e49ad" /><Relationship Type="http://schemas.openxmlformats.org/officeDocument/2006/relationships/worksheet" Target="/xl/worksheets/sheet2.xml" Id="R61c5d8e0b8e94c42" /><Relationship Type="http://schemas.openxmlformats.org/officeDocument/2006/relationships/worksheet" Target="/xl/worksheets/sheet3.xml" Id="Ra911c90498024f57" /><Relationship Type="http://schemas.openxmlformats.org/officeDocument/2006/relationships/worksheet" Target="/xl/worksheets/sheet4.xml" Id="R6f562fe5dd8f47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구독형 서비스 KPI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고객의 시작월·해지월·MRR을 기준으로 월별 신규·해지·순증·기말MRR·활성고객·ARPU·해지율을 계산하는 합성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SUMIFS 기준월 이탈, 순증MRR 상수 덮어쓰기, ARPU 누락, 해지율 기준 이탈과 첫 달 누적식·합계 예외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구독내역</x:v>
      </x:c>
      <x:c r="B13" s="60" t="str">
        <x:v>고객별 구독 시작·해지·MRR</x:v>
      </x:c>
    </x:row>
    <x:row r="14">
      <x:c r="A14" s="57" t="str">
        <x:v>월별KPI</x:v>
      </x:c>
      <x:c r="B14" s="60" t="str">
        <x:v>월별 핵심 구독지표</x:v>
      </x:c>
    </x:row>
    <x:row r="15">
      <x:c r="A15" s="57" t="str">
        <x:v>요약</x:v>
      </x:c>
      <x:c r="B15" s="60" t="str">
        <x:v>최근월 KPI 요약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4" hidden="0" customWidth="1"/>
    <x:col min="5" max="5" width="12" hidden="0" customWidth="1"/>
    <x:col min="6" max="6" width="12" hidden="0" customWidth="1"/>
  </x:cols>
  <x:sheetData>
    <x:row r="1" ht="30" customHeight="1">
      <x:c r="A1" s="5" t="str">
        <x:v>구독 고객 내역</x:v>
      </x:c>
      <x:c r="B1" s="5"/>
      <x:c r="C1" s="5"/>
      <x:c r="D1" s="5"/>
      <x:c r="E1" s="5"/>
      <x:c r="F1" s="5"/>
    </x:row>
    <x:row r="2" ht="24" customHeight="1">
      <x:c r="A2" s="12" t="str">
        <x:v>실제 고객정보가 아닌 합성 구독 데이터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고객ID</x:v>
      </x:c>
      <x:c r="B5" s="65" t="str">
        <x:v>시작일</x:v>
      </x:c>
      <x:c r="C5" s="65" t="str">
        <x:v>해지일</x:v>
      </x:c>
      <x:c r="D5" s="65" t="str">
        <x:v>월MRR</x:v>
      </x:c>
      <x:c r="E5" s="65" t="str">
        <x:v>플랜</x:v>
      </x:c>
      <x:c r="F5" s="31" t="str">
        <x:v>채널</x:v>
      </x:c>
    </x:row>
    <x:row r="6">
      <x:c r="A6" s="71" t="str">
        <x:v>U0001</x:v>
      </x:c>
      <x:c r="B6" s="88" t="n">
        <x:v>45687</x:v>
      </x:c>
      <x:c r="C6" s="88"/>
      <x:c r="D6" s="94" t="n">
        <x:v>49000</x:v>
      </x:c>
      <x:c r="E6" s="72" t="str">
        <x:v>Pro</x:v>
      </x:c>
      <x:c r="F6" s="73" t="str">
        <x:v>추천</x:v>
      </x:c>
    </x:row>
    <x:row r="7">
      <x:c r="A7" s="74" t="str">
        <x:v>U0002</x:v>
      </x:c>
      <x:c r="B7" s="89" t="n">
        <x:v>45716</x:v>
      </x:c>
      <x:c r="C7" s="89"/>
      <x:c r="D7" s="95" t="n">
        <x:v>99000</x:v>
      </x:c>
      <x:c r="E7" s="70" t="str">
        <x:v>Team</x:v>
      </x:c>
      <x:c r="F7" s="75" t="str">
        <x:v>강의</x:v>
      </x:c>
    </x:row>
    <x:row r="8">
      <x:c r="A8" s="74" t="str">
        <x:v>U0003</x:v>
      </x:c>
      <x:c r="B8" s="89" t="n">
        <x:v>45745</x:v>
      </x:c>
      <x:c r="C8" s="89"/>
      <x:c r="D8" s="95" t="n">
        <x:v>19000</x:v>
      </x:c>
      <x:c r="E8" s="70" t="str">
        <x:v>Basic</x:v>
      </x:c>
      <x:c r="F8" s="75" t="str">
        <x:v>콘텐츠</x:v>
      </x:c>
    </x:row>
    <x:row r="9">
      <x:c r="A9" s="74" t="str">
        <x:v>U0004</x:v>
      </x:c>
      <x:c r="B9" s="89" t="n">
        <x:v>45774</x:v>
      </x:c>
      <x:c r="C9" s="89" t="n">
        <x:v>46014</x:v>
      </x:c>
      <x:c r="D9" s="95" t="n">
        <x:v>49000</x:v>
      </x:c>
      <x:c r="E9" s="70" t="str">
        <x:v>Pro</x:v>
      </x:c>
      <x:c r="F9" s="75" t="str">
        <x:v>검색</x:v>
      </x:c>
    </x:row>
    <x:row r="10">
      <x:c r="A10" s="74" t="str">
        <x:v>U0005</x:v>
      </x:c>
      <x:c r="B10" s="89" t="n">
        <x:v>45803</x:v>
      </x:c>
      <x:c r="C10" s="89"/>
      <x:c r="D10" s="95" t="n">
        <x:v>99000</x:v>
      </x:c>
      <x:c r="E10" s="70" t="str">
        <x:v>Team</x:v>
      </x:c>
      <x:c r="F10" s="75" t="str">
        <x:v>추천</x:v>
      </x:c>
    </x:row>
    <x:row r="11">
      <x:c r="A11" s="74" t="str">
        <x:v>U0006</x:v>
      </x:c>
      <x:c r="B11" s="89" t="n">
        <x:v>45832</x:v>
      </x:c>
      <x:c r="C11" s="89"/>
      <x:c r="D11" s="95" t="n">
        <x:v>19000</x:v>
      </x:c>
      <x:c r="E11" s="70" t="str">
        <x:v>Basic</x:v>
      </x:c>
      <x:c r="F11" s="75" t="str">
        <x:v>강의</x:v>
      </x:c>
    </x:row>
    <x:row r="12">
      <x:c r="A12" s="74" t="str">
        <x:v>U0007</x:v>
      </x:c>
      <x:c r="B12" s="89" t="n">
        <x:v>45861</x:v>
      </x:c>
      <x:c r="C12" s="89"/>
      <x:c r="D12" s="95" t="n">
        <x:v>49000</x:v>
      </x:c>
      <x:c r="E12" s="70" t="str">
        <x:v>Pro</x:v>
      </x:c>
      <x:c r="F12" s="75" t="str">
        <x:v>콘텐츠</x:v>
      </x:c>
    </x:row>
    <x:row r="13">
      <x:c r="A13" s="74" t="str">
        <x:v>U0008</x:v>
      </x:c>
      <x:c r="B13" s="89" t="n">
        <x:v>45890</x:v>
      </x:c>
      <x:c r="C13" s="89" t="n">
        <x:v>46010</x:v>
      </x:c>
      <x:c r="D13" s="95" t="n">
        <x:v>99000</x:v>
      </x:c>
      <x:c r="E13" s="70" t="str">
        <x:v>Team</x:v>
      </x:c>
      <x:c r="F13" s="75" t="str">
        <x:v>검색</x:v>
      </x:c>
    </x:row>
    <x:row r="14">
      <x:c r="A14" s="74" t="str">
        <x:v>U0009</x:v>
      </x:c>
      <x:c r="B14" s="89" t="n">
        <x:v>45919</x:v>
      </x:c>
      <x:c r="C14" s="89"/>
      <x:c r="D14" s="95" t="n">
        <x:v>19000</x:v>
      </x:c>
      <x:c r="E14" s="70" t="str">
        <x:v>Basic</x:v>
      </x:c>
      <x:c r="F14" s="75" t="str">
        <x:v>추천</x:v>
      </x:c>
    </x:row>
    <x:row r="15">
      <x:c r="A15" s="74" t="str">
        <x:v>U0010</x:v>
      </x:c>
      <x:c r="B15" s="89" t="n">
        <x:v>45948</x:v>
      </x:c>
      <x:c r="C15" s="89"/>
      <x:c r="D15" s="95" t="n">
        <x:v>49000</x:v>
      </x:c>
      <x:c r="E15" s="70" t="str">
        <x:v>Pro</x:v>
      </x:c>
      <x:c r="F15" s="75" t="str">
        <x:v>강의</x:v>
      </x:c>
    </x:row>
    <x:row r="16">
      <x:c r="A16" s="74" t="str">
        <x:v>U0011</x:v>
      </x:c>
      <x:c r="B16" s="89" t="n">
        <x:v>45977</x:v>
      </x:c>
      <x:c r="C16" s="89"/>
      <x:c r="D16" s="95" t="n">
        <x:v>99000</x:v>
      </x:c>
      <x:c r="E16" s="70" t="str">
        <x:v>Team</x:v>
      </x:c>
      <x:c r="F16" s="75" t="str">
        <x:v>콘텐츠</x:v>
      </x:c>
    </x:row>
    <x:row r="17">
      <x:c r="A17" s="74" t="str">
        <x:v>U0012</x:v>
      </x:c>
      <x:c r="B17" s="89" t="n">
        <x:v>46006</x:v>
      </x:c>
      <x:c r="C17" s="89" t="n">
        <x:v>46246</x:v>
      </x:c>
      <x:c r="D17" s="95" t="n">
        <x:v>19000</x:v>
      </x:c>
      <x:c r="E17" s="70" t="str">
        <x:v>Basic</x:v>
      </x:c>
      <x:c r="F17" s="75" t="str">
        <x:v>검색</x:v>
      </x:c>
    </x:row>
    <x:row r="18">
      <x:c r="A18" s="74" t="str">
        <x:v>U0013</x:v>
      </x:c>
      <x:c r="B18" s="89" t="n">
        <x:v>46035</x:v>
      </x:c>
      <x:c r="C18" s="89"/>
      <x:c r="D18" s="95" t="n">
        <x:v>49000</x:v>
      </x:c>
      <x:c r="E18" s="70" t="str">
        <x:v>Pro</x:v>
      </x:c>
      <x:c r="F18" s="75" t="str">
        <x:v>추천</x:v>
      </x:c>
    </x:row>
    <x:row r="19">
      <x:c r="A19" s="74" t="str">
        <x:v>U0014</x:v>
      </x:c>
      <x:c r="B19" s="89" t="n">
        <x:v>46064</x:v>
      </x:c>
      <x:c r="C19" s="89"/>
      <x:c r="D19" s="95" t="n">
        <x:v>99000</x:v>
      </x:c>
      <x:c r="E19" s="70" t="str">
        <x:v>Team</x:v>
      </x:c>
      <x:c r="F19" s="75" t="str">
        <x:v>강의</x:v>
      </x:c>
    </x:row>
    <x:row r="20">
      <x:c r="A20" s="74" t="str">
        <x:v>U0015</x:v>
      </x:c>
      <x:c r="B20" s="89" t="n">
        <x:v>46093</x:v>
      </x:c>
      <x:c r="C20" s="89"/>
      <x:c r="D20" s="95" t="n">
        <x:v>19000</x:v>
      </x:c>
      <x:c r="E20" s="70" t="str">
        <x:v>Basic</x:v>
      </x:c>
      <x:c r="F20" s="75" t="str">
        <x:v>콘텐츠</x:v>
      </x:c>
    </x:row>
    <x:row r="21">
      <x:c r="A21" s="74" t="str">
        <x:v>U0016</x:v>
      </x:c>
      <x:c r="B21" s="89" t="n">
        <x:v>46122</x:v>
      </x:c>
      <x:c r="C21" s="89" t="n">
        <x:v>46242</x:v>
      </x:c>
      <x:c r="D21" s="95" t="n">
        <x:v>49000</x:v>
      </x:c>
      <x:c r="E21" s="70" t="str">
        <x:v>Pro</x:v>
      </x:c>
      <x:c r="F21" s="75" t="str">
        <x:v>검색</x:v>
      </x:c>
    </x:row>
    <x:row r="22">
      <x:c r="A22" s="74" t="str">
        <x:v>U0017</x:v>
      </x:c>
      <x:c r="B22" s="89" t="n">
        <x:v>46151</x:v>
      </x:c>
      <x:c r="C22" s="89"/>
      <x:c r="D22" s="95" t="n">
        <x:v>99000</x:v>
      </x:c>
      <x:c r="E22" s="70" t="str">
        <x:v>Team</x:v>
      </x:c>
      <x:c r="F22" s="75" t="str">
        <x:v>추천</x:v>
      </x:c>
    </x:row>
    <x:row r="23">
      <x:c r="A23" s="74" t="str">
        <x:v>U0018</x:v>
      </x:c>
      <x:c r="B23" s="89" t="n">
        <x:v>46180</x:v>
      </x:c>
      <x:c r="C23" s="89"/>
      <x:c r="D23" s="95" t="n">
        <x:v>19000</x:v>
      </x:c>
      <x:c r="E23" s="70" t="str">
        <x:v>Basic</x:v>
      </x:c>
      <x:c r="F23" s="75" t="str">
        <x:v>강의</x:v>
      </x:c>
    </x:row>
    <x:row r="24">
      <x:c r="A24" s="74" t="str">
        <x:v>U0019</x:v>
      </x:c>
      <x:c r="B24" s="89" t="n">
        <x:v>46209</x:v>
      </x:c>
      <x:c r="C24" s="89"/>
      <x:c r="D24" s="95" t="n">
        <x:v>49000</x:v>
      </x:c>
      <x:c r="E24" s="70" t="str">
        <x:v>Pro</x:v>
      </x:c>
      <x:c r="F24" s="75" t="str">
        <x:v>콘텐츠</x:v>
      </x:c>
    </x:row>
    <x:row r="25">
      <x:c r="A25" s="74" t="str">
        <x:v>U0020</x:v>
      </x:c>
      <x:c r="B25" s="89" t="n">
        <x:v>46218</x:v>
      </x:c>
      <x:c r="C25" s="89"/>
      <x:c r="D25" s="95" t="n">
        <x:v>99000</x:v>
      </x:c>
      <x:c r="E25" s="70" t="str">
        <x:v>Team</x:v>
      </x:c>
      <x:c r="F25" s="75" t="str">
        <x:v>검색</x:v>
      </x:c>
    </x:row>
    <x:row r="26">
      <x:c r="A26" s="74" t="str">
        <x:v>U0021</x:v>
      </x:c>
      <x:c r="B26" s="89" t="n">
        <x:v>46247</x:v>
      </x:c>
      <x:c r="C26" s="89"/>
      <x:c r="D26" s="95" t="n">
        <x:v>19000</x:v>
      </x:c>
      <x:c r="E26" s="70" t="str">
        <x:v>Basic</x:v>
      </x:c>
      <x:c r="F26" s="75" t="str">
        <x:v>추천</x:v>
      </x:c>
    </x:row>
    <x:row r="27">
      <x:c r="A27" s="74" t="str">
        <x:v>U0022</x:v>
      </x:c>
      <x:c r="B27" s="89" t="n">
        <x:v>46276</x:v>
      </x:c>
      <x:c r="C27" s="89"/>
      <x:c r="D27" s="95" t="n">
        <x:v>49000</x:v>
      </x:c>
      <x:c r="E27" s="70" t="str">
        <x:v>Pro</x:v>
      </x:c>
      <x:c r="F27" s="75" t="str">
        <x:v>강의</x:v>
      </x:c>
    </x:row>
    <x:row r="28">
      <x:c r="A28" s="74" t="str">
        <x:v>U0023</x:v>
      </x:c>
      <x:c r="B28" s="89" t="n">
        <x:v>46305</x:v>
      </x:c>
      <x:c r="C28" s="89"/>
      <x:c r="D28" s="95" t="n">
        <x:v>99000</x:v>
      </x:c>
      <x:c r="E28" s="70" t="str">
        <x:v>Team</x:v>
      </x:c>
      <x:c r="F28" s="75" t="str">
        <x:v>콘텐츠</x:v>
      </x:c>
    </x:row>
    <x:row r="29">
      <x:c r="A29" s="74" t="str">
        <x:v>U0024</x:v>
      </x:c>
      <x:c r="B29" s="89" t="n">
        <x:v>45662</x:v>
      </x:c>
      <x:c r="C29" s="89" t="n">
        <x:v>45782</x:v>
      </x:c>
      <x:c r="D29" s="95" t="n">
        <x:v>19000</x:v>
      </x:c>
      <x:c r="E29" s="70" t="str">
        <x:v>Basic</x:v>
      </x:c>
      <x:c r="F29" s="75" t="str">
        <x:v>검색</x:v>
      </x:c>
    </x:row>
    <x:row r="30">
      <x:c r="A30" s="74" t="str">
        <x:v>U0025</x:v>
      </x:c>
      <x:c r="B30" s="89" t="n">
        <x:v>45691</x:v>
      </x:c>
      <x:c r="C30" s="89"/>
      <x:c r="D30" s="95" t="n">
        <x:v>49000</x:v>
      </x:c>
      <x:c r="E30" s="70" t="str">
        <x:v>Pro</x:v>
      </x:c>
      <x:c r="F30" s="75" t="str">
        <x:v>추천</x:v>
      </x:c>
    </x:row>
    <x:row r="31">
      <x:c r="A31" s="74" t="str">
        <x:v>U0026</x:v>
      </x:c>
      <x:c r="B31" s="89" t="n">
        <x:v>45720</x:v>
      </x:c>
      <x:c r="C31" s="89"/>
      <x:c r="D31" s="95" t="n">
        <x:v>99000</x:v>
      </x:c>
      <x:c r="E31" s="70" t="str">
        <x:v>Team</x:v>
      </x:c>
      <x:c r="F31" s="75" t="str">
        <x:v>강의</x:v>
      </x:c>
    </x:row>
    <x:row r="32">
      <x:c r="A32" s="74" t="str">
        <x:v>U0027</x:v>
      </x:c>
      <x:c r="B32" s="89" t="n">
        <x:v>45749</x:v>
      </x:c>
      <x:c r="C32" s="89"/>
      <x:c r="D32" s="95" t="n">
        <x:v>19000</x:v>
      </x:c>
      <x:c r="E32" s="70" t="str">
        <x:v>Basic</x:v>
      </x:c>
      <x:c r="F32" s="75" t="str">
        <x:v>콘텐츠</x:v>
      </x:c>
    </x:row>
    <x:row r="33">
      <x:c r="A33" s="74" t="str">
        <x:v>U0028</x:v>
      </x:c>
      <x:c r="B33" s="89" t="n">
        <x:v>45778</x:v>
      </x:c>
      <x:c r="C33" s="89" t="n">
        <x:v>46018</x:v>
      </x:c>
      <x:c r="D33" s="95" t="n">
        <x:v>49000</x:v>
      </x:c>
      <x:c r="E33" s="70" t="str">
        <x:v>Pro</x:v>
      </x:c>
      <x:c r="F33" s="75" t="str">
        <x:v>검색</x:v>
      </x:c>
    </x:row>
    <x:row r="34">
      <x:c r="A34" s="74" t="str">
        <x:v>U0029</x:v>
      </x:c>
      <x:c r="B34" s="89" t="n">
        <x:v>45807</x:v>
      </x:c>
      <x:c r="C34" s="89"/>
      <x:c r="D34" s="95" t="n">
        <x:v>99000</x:v>
      </x:c>
      <x:c r="E34" s="70" t="str">
        <x:v>Team</x:v>
      </x:c>
      <x:c r="F34" s="75" t="str">
        <x:v>추천</x:v>
      </x:c>
    </x:row>
    <x:row r="35">
      <x:c r="A35" s="74" t="str">
        <x:v>U0030</x:v>
      </x:c>
      <x:c r="B35" s="89" t="n">
        <x:v>45836</x:v>
      </x:c>
      <x:c r="C35" s="89"/>
      <x:c r="D35" s="95" t="n">
        <x:v>19000</x:v>
      </x:c>
      <x:c r="E35" s="70" t="str">
        <x:v>Basic</x:v>
      </x:c>
      <x:c r="F35" s="75" t="str">
        <x:v>강의</x:v>
      </x:c>
    </x:row>
    <x:row r="36">
      <x:c r="A36" s="74" t="str">
        <x:v>U0031</x:v>
      </x:c>
      <x:c r="B36" s="89" t="n">
        <x:v>45865</x:v>
      </x:c>
      <x:c r="C36" s="89"/>
      <x:c r="D36" s="95" t="n">
        <x:v>49000</x:v>
      </x:c>
      <x:c r="E36" s="70" t="str">
        <x:v>Pro</x:v>
      </x:c>
      <x:c r="F36" s="75" t="str">
        <x:v>콘텐츠</x:v>
      </x:c>
    </x:row>
    <x:row r="37">
      <x:c r="A37" s="74" t="str">
        <x:v>U0032</x:v>
      </x:c>
      <x:c r="B37" s="89" t="n">
        <x:v>45894</x:v>
      </x:c>
      <x:c r="C37" s="89" t="n">
        <x:v>46014</x:v>
      </x:c>
      <x:c r="D37" s="95" t="n">
        <x:v>99000</x:v>
      </x:c>
      <x:c r="E37" s="70" t="str">
        <x:v>Team</x:v>
      </x:c>
      <x:c r="F37" s="75" t="str">
        <x:v>검색</x:v>
      </x:c>
    </x:row>
    <x:row r="38">
      <x:c r="A38" s="74" t="str">
        <x:v>U0033</x:v>
      </x:c>
      <x:c r="B38" s="89" t="n">
        <x:v>45923</x:v>
      </x:c>
      <x:c r="C38" s="89"/>
      <x:c r="D38" s="95" t="n">
        <x:v>19000</x:v>
      </x:c>
      <x:c r="E38" s="70" t="str">
        <x:v>Basic</x:v>
      </x:c>
      <x:c r="F38" s="75" t="str">
        <x:v>추천</x:v>
      </x:c>
    </x:row>
    <x:row r="39">
      <x:c r="A39" s="74" t="str">
        <x:v>U0034</x:v>
      </x:c>
      <x:c r="B39" s="89" t="n">
        <x:v>45952</x:v>
      </x:c>
      <x:c r="C39" s="89"/>
      <x:c r="D39" s="95" t="n">
        <x:v>49000</x:v>
      </x:c>
      <x:c r="E39" s="70" t="str">
        <x:v>Pro</x:v>
      </x:c>
      <x:c r="F39" s="75" t="str">
        <x:v>강의</x:v>
      </x:c>
    </x:row>
    <x:row r="40">
      <x:c r="A40" s="74" t="str">
        <x:v>U0035</x:v>
      </x:c>
      <x:c r="B40" s="89" t="n">
        <x:v>45981</x:v>
      </x:c>
      <x:c r="C40" s="89"/>
      <x:c r="D40" s="95" t="n">
        <x:v>99000</x:v>
      </x:c>
      <x:c r="E40" s="70" t="str">
        <x:v>Team</x:v>
      </x:c>
      <x:c r="F40" s="75" t="str">
        <x:v>콘텐츠</x:v>
      </x:c>
    </x:row>
    <x:row r="41">
      <x:c r="A41" s="74" t="str">
        <x:v>U0036</x:v>
      </x:c>
      <x:c r="B41" s="89" t="n">
        <x:v>46010</x:v>
      </x:c>
      <x:c r="C41" s="89" t="n">
        <x:v>46250</x:v>
      </x:c>
      <x:c r="D41" s="95" t="n">
        <x:v>19000</x:v>
      </x:c>
      <x:c r="E41" s="70" t="str">
        <x:v>Basic</x:v>
      </x:c>
      <x:c r="F41" s="75" t="str">
        <x:v>검색</x:v>
      </x:c>
    </x:row>
    <x:row r="42">
      <x:c r="A42" s="74" t="str">
        <x:v>U0037</x:v>
      </x:c>
      <x:c r="B42" s="89" t="n">
        <x:v>46039</x:v>
      </x:c>
      <x:c r="C42" s="89"/>
      <x:c r="D42" s="95" t="n">
        <x:v>49000</x:v>
      </x:c>
      <x:c r="E42" s="70" t="str">
        <x:v>Pro</x:v>
      </x:c>
      <x:c r="F42" s="75" t="str">
        <x:v>추천</x:v>
      </x:c>
    </x:row>
    <x:row r="43">
      <x:c r="A43" s="74" t="str">
        <x:v>U0038</x:v>
      </x:c>
      <x:c r="B43" s="89" t="n">
        <x:v>46068</x:v>
      </x:c>
      <x:c r="C43" s="89"/>
      <x:c r="D43" s="95" t="n">
        <x:v>99000</x:v>
      </x:c>
      <x:c r="E43" s="70" t="str">
        <x:v>Team</x:v>
      </x:c>
      <x:c r="F43" s="75" t="str">
        <x:v>강의</x:v>
      </x:c>
    </x:row>
    <x:row r="44">
      <x:c r="A44" s="74" t="str">
        <x:v>U0039</x:v>
      </x:c>
      <x:c r="B44" s="89" t="n">
        <x:v>46097</x:v>
      </x:c>
      <x:c r="C44" s="89"/>
      <x:c r="D44" s="95" t="n">
        <x:v>19000</x:v>
      </x:c>
      <x:c r="E44" s="70" t="str">
        <x:v>Basic</x:v>
      </x:c>
      <x:c r="F44" s="75" t="str">
        <x:v>콘텐츠</x:v>
      </x:c>
    </x:row>
    <x:row r="45">
      <x:c r="A45" s="74" t="str">
        <x:v>U0040</x:v>
      </x:c>
      <x:c r="B45" s="89" t="n">
        <x:v>46106</x:v>
      </x:c>
      <x:c r="C45" s="89" t="n">
        <x:v>46226</x:v>
      </x:c>
      <x:c r="D45" s="95" t="n">
        <x:v>49000</x:v>
      </x:c>
      <x:c r="E45" s="70" t="str">
        <x:v>Pro</x:v>
      </x:c>
      <x:c r="F45" s="75" t="str">
        <x:v>검색</x:v>
      </x:c>
    </x:row>
    <x:row r="46">
      <x:c r="A46" s="74" t="str">
        <x:v>U0041</x:v>
      </x:c>
      <x:c r="B46" s="89" t="n">
        <x:v>46135</x:v>
      </x:c>
      <x:c r="C46" s="89"/>
      <x:c r="D46" s="95" t="n">
        <x:v>99000</x:v>
      </x:c>
      <x:c r="E46" s="70" t="str">
        <x:v>Team</x:v>
      </x:c>
      <x:c r="F46" s="75" t="str">
        <x:v>추천</x:v>
      </x:c>
    </x:row>
    <x:row r="47">
      <x:c r="A47" s="74" t="str">
        <x:v>U0042</x:v>
      </x:c>
      <x:c r="B47" s="89" t="n">
        <x:v>46164</x:v>
      </x:c>
      <x:c r="C47" s="89"/>
      <x:c r="D47" s="95" t="n">
        <x:v>19000</x:v>
      </x:c>
      <x:c r="E47" s="70" t="str">
        <x:v>Basic</x:v>
      </x:c>
      <x:c r="F47" s="75" t="str">
        <x:v>강의</x:v>
      </x:c>
    </x:row>
    <x:row r="48">
      <x:c r="A48" s="74" t="str">
        <x:v>U0043</x:v>
      </x:c>
      <x:c r="B48" s="89" t="n">
        <x:v>46193</x:v>
      </x:c>
      <x:c r="C48" s="89"/>
      <x:c r="D48" s="95" t="n">
        <x:v>49000</x:v>
      </x:c>
      <x:c r="E48" s="70" t="str">
        <x:v>Pro</x:v>
      </x:c>
      <x:c r="F48" s="75" t="str">
        <x:v>콘텐츠</x:v>
      </x:c>
    </x:row>
    <x:row r="49">
      <x:c r="A49" s="74" t="str">
        <x:v>U0044</x:v>
      </x:c>
      <x:c r="B49" s="89" t="n">
        <x:v>46222</x:v>
      </x:c>
      <x:c r="C49" s="89"/>
      <x:c r="D49" s="95" t="n">
        <x:v>99000</x:v>
      </x:c>
      <x:c r="E49" s="70" t="str">
        <x:v>Team</x:v>
      </x:c>
      <x:c r="F49" s="75" t="str">
        <x:v>검색</x:v>
      </x:c>
    </x:row>
    <x:row r="50">
      <x:c r="A50" s="74" t="str">
        <x:v>U0045</x:v>
      </x:c>
      <x:c r="B50" s="89" t="n">
        <x:v>46251</x:v>
      </x:c>
      <x:c r="C50" s="89"/>
      <x:c r="D50" s="95" t="n">
        <x:v>19000</x:v>
      </x:c>
      <x:c r="E50" s="70" t="str">
        <x:v>Basic</x:v>
      </x:c>
      <x:c r="F50" s="75" t="str">
        <x:v>추천</x:v>
      </x:c>
    </x:row>
    <x:row r="51">
      <x:c r="A51" s="74" t="str">
        <x:v>U0046</x:v>
      </x:c>
      <x:c r="B51" s="89" t="n">
        <x:v>46280</x:v>
      </x:c>
      <x:c r="C51" s="89"/>
      <x:c r="D51" s="95" t="n">
        <x:v>49000</x:v>
      </x:c>
      <x:c r="E51" s="70" t="str">
        <x:v>Pro</x:v>
      </x:c>
      <x:c r="F51" s="75" t="str">
        <x:v>강의</x:v>
      </x:c>
    </x:row>
    <x:row r="52">
      <x:c r="A52" s="74" t="str">
        <x:v>U0047</x:v>
      </x:c>
      <x:c r="B52" s="89" t="n">
        <x:v>46309</x:v>
      </x:c>
      <x:c r="C52" s="89"/>
      <x:c r="D52" s="95" t="n">
        <x:v>99000</x:v>
      </x:c>
      <x:c r="E52" s="70" t="str">
        <x:v>Team</x:v>
      </x:c>
      <x:c r="F52" s="75" t="str">
        <x:v>콘텐츠</x:v>
      </x:c>
    </x:row>
    <x:row r="53">
      <x:c r="A53" s="74" t="str">
        <x:v>U0048</x:v>
      </x:c>
      <x:c r="B53" s="89" t="n">
        <x:v>45666</x:v>
      </x:c>
      <x:c r="C53" s="89" t="n">
        <x:v>45786</x:v>
      </x:c>
      <x:c r="D53" s="95" t="n">
        <x:v>19000</x:v>
      </x:c>
      <x:c r="E53" s="70" t="str">
        <x:v>Basic</x:v>
      </x:c>
      <x:c r="F53" s="75" t="str">
        <x:v>검색</x:v>
      </x:c>
    </x:row>
    <x:row r="54">
      <x:c r="A54" s="74" t="str">
        <x:v>U0049</x:v>
      </x:c>
      <x:c r="B54" s="89" t="n">
        <x:v>45695</x:v>
      </x:c>
      <x:c r="C54" s="89"/>
      <x:c r="D54" s="95" t="n">
        <x:v>49000</x:v>
      </x:c>
      <x:c r="E54" s="70" t="str">
        <x:v>Pro</x:v>
      </x:c>
      <x:c r="F54" s="75" t="str">
        <x:v>추천</x:v>
      </x:c>
    </x:row>
    <x:row r="55">
      <x:c r="A55" s="74" t="str">
        <x:v>U0050</x:v>
      </x:c>
      <x:c r="B55" s="89" t="n">
        <x:v>45724</x:v>
      </x:c>
      <x:c r="C55" s="89"/>
      <x:c r="D55" s="95" t="n">
        <x:v>99000</x:v>
      </x:c>
      <x:c r="E55" s="70" t="str">
        <x:v>Team</x:v>
      </x:c>
      <x:c r="F55" s="75" t="str">
        <x:v>강의</x:v>
      </x:c>
    </x:row>
    <x:row r="56">
      <x:c r="A56" s="74" t="str">
        <x:v>U0051</x:v>
      </x:c>
      <x:c r="B56" s="89" t="n">
        <x:v>45753</x:v>
      </x:c>
      <x:c r="C56" s="89"/>
      <x:c r="D56" s="95" t="n">
        <x:v>19000</x:v>
      </x:c>
      <x:c r="E56" s="70" t="str">
        <x:v>Basic</x:v>
      </x:c>
      <x:c r="F56" s="75" t="str">
        <x:v>콘텐츠</x:v>
      </x:c>
    </x:row>
    <x:row r="57">
      <x:c r="A57" s="74" t="str">
        <x:v>U0052</x:v>
      </x:c>
      <x:c r="B57" s="89" t="n">
        <x:v>45782</x:v>
      </x:c>
      <x:c r="C57" s="89" t="n">
        <x:v>46022</x:v>
      </x:c>
      <x:c r="D57" s="95" t="n">
        <x:v>49000</x:v>
      </x:c>
      <x:c r="E57" s="70" t="str">
        <x:v>Pro</x:v>
      </x:c>
      <x:c r="F57" s="75" t="str">
        <x:v>검색</x:v>
      </x:c>
    </x:row>
    <x:row r="58">
      <x:c r="A58" s="74" t="str">
        <x:v>U0053</x:v>
      </x:c>
      <x:c r="B58" s="89" t="n">
        <x:v>45811</x:v>
      </x:c>
      <x:c r="C58" s="89"/>
      <x:c r="D58" s="95" t="n">
        <x:v>99000</x:v>
      </x:c>
      <x:c r="E58" s="70" t="str">
        <x:v>Team</x:v>
      </x:c>
      <x:c r="F58" s="75" t="str">
        <x:v>추천</x:v>
      </x:c>
    </x:row>
    <x:row r="59">
      <x:c r="A59" s="74" t="str">
        <x:v>U0054</x:v>
      </x:c>
      <x:c r="B59" s="89" t="n">
        <x:v>45840</x:v>
      </x:c>
      <x:c r="C59" s="89"/>
      <x:c r="D59" s="95" t="n">
        <x:v>19000</x:v>
      </x:c>
      <x:c r="E59" s="70" t="str">
        <x:v>Basic</x:v>
      </x:c>
      <x:c r="F59" s="75" t="str">
        <x:v>강의</x:v>
      </x:c>
    </x:row>
    <x:row r="60">
      <x:c r="A60" s="74" t="str">
        <x:v>U0055</x:v>
      </x:c>
      <x:c r="B60" s="89" t="n">
        <x:v>45869</x:v>
      </x:c>
      <x:c r="C60" s="89"/>
      <x:c r="D60" s="95" t="n">
        <x:v>49000</x:v>
      </x:c>
      <x:c r="E60" s="70" t="str">
        <x:v>Pro</x:v>
      </x:c>
      <x:c r="F60" s="75" t="str">
        <x:v>콘텐츠</x:v>
      </x:c>
    </x:row>
    <x:row r="61">
      <x:c r="A61" s="74" t="str">
        <x:v>U0056</x:v>
      </x:c>
      <x:c r="B61" s="89" t="n">
        <x:v>45898</x:v>
      </x:c>
      <x:c r="C61" s="89" t="n">
        <x:v>46018</x:v>
      </x:c>
      <x:c r="D61" s="95" t="n">
        <x:v>99000</x:v>
      </x:c>
      <x:c r="E61" s="70" t="str">
        <x:v>Team</x:v>
      </x:c>
      <x:c r="F61" s="75" t="str">
        <x:v>검색</x:v>
      </x:c>
    </x:row>
    <x:row r="62">
      <x:c r="A62" s="74" t="str">
        <x:v>U0057</x:v>
      </x:c>
      <x:c r="B62" s="89" t="n">
        <x:v>45927</x:v>
      </x:c>
      <x:c r="C62" s="89"/>
      <x:c r="D62" s="95" t="n">
        <x:v>19000</x:v>
      </x:c>
      <x:c r="E62" s="70" t="str">
        <x:v>Basic</x:v>
      </x:c>
      <x:c r="F62" s="75" t="str">
        <x:v>추천</x:v>
      </x:c>
    </x:row>
    <x:row r="63">
      <x:c r="A63" s="74" t="str">
        <x:v>U0058</x:v>
      </x:c>
      <x:c r="B63" s="89" t="n">
        <x:v>45956</x:v>
      </x:c>
      <x:c r="C63" s="89"/>
      <x:c r="D63" s="95" t="n">
        <x:v>49000</x:v>
      </x:c>
      <x:c r="E63" s="70" t="str">
        <x:v>Pro</x:v>
      </x:c>
      <x:c r="F63" s="75" t="str">
        <x:v>강의</x:v>
      </x:c>
    </x:row>
    <x:row r="64">
      <x:c r="A64" s="74" t="str">
        <x:v>U0059</x:v>
      </x:c>
      <x:c r="B64" s="89" t="n">
        <x:v>45985</x:v>
      </x:c>
      <x:c r="C64" s="89"/>
      <x:c r="D64" s="95" t="n">
        <x:v>99000</x:v>
      </x:c>
      <x:c r="E64" s="70" t="str">
        <x:v>Team</x:v>
      </x:c>
      <x:c r="F64" s="75" t="str">
        <x:v>콘텐츠</x:v>
      </x:c>
    </x:row>
    <x:row r="65">
      <x:c r="A65" s="74" t="str">
        <x:v>U0060</x:v>
      </x:c>
      <x:c r="B65" s="89" t="n">
        <x:v>45994</x:v>
      </x:c>
      <x:c r="C65" s="89" t="n">
        <x:v>46234</x:v>
      </x:c>
      <x:c r="D65" s="95" t="n">
        <x:v>19000</x:v>
      </x:c>
      <x:c r="E65" s="70" t="str">
        <x:v>Basic</x:v>
      </x:c>
      <x:c r="F65" s="75" t="str">
        <x:v>검색</x:v>
      </x:c>
    </x:row>
    <x:row r="66">
      <x:c r="A66" s="74" t="str">
        <x:v>U0061</x:v>
      </x:c>
      <x:c r="B66" s="89" t="n">
        <x:v>46023</x:v>
      </x:c>
      <x:c r="C66" s="89"/>
      <x:c r="D66" s="95" t="n">
        <x:v>49000</x:v>
      </x:c>
      <x:c r="E66" s="70" t="str">
        <x:v>Pro</x:v>
      </x:c>
      <x:c r="F66" s="75" t="str">
        <x:v>추천</x:v>
      </x:c>
    </x:row>
    <x:row r="67">
      <x:c r="A67" s="74" t="str">
        <x:v>U0062</x:v>
      </x:c>
      <x:c r="B67" s="89" t="n">
        <x:v>46052</x:v>
      </x:c>
      <x:c r="C67" s="89"/>
      <x:c r="D67" s="95" t="n">
        <x:v>99000</x:v>
      </x:c>
      <x:c r="E67" s="70" t="str">
        <x:v>Team</x:v>
      </x:c>
      <x:c r="F67" s="75" t="str">
        <x:v>강의</x:v>
      </x:c>
    </x:row>
    <x:row r="68">
      <x:c r="A68" s="74" t="str">
        <x:v>U0063</x:v>
      </x:c>
      <x:c r="B68" s="89" t="n">
        <x:v>46081</x:v>
      </x:c>
      <x:c r="C68" s="89"/>
      <x:c r="D68" s="95" t="n">
        <x:v>19000</x:v>
      </x:c>
      <x:c r="E68" s="70" t="str">
        <x:v>Basic</x:v>
      </x:c>
      <x:c r="F68" s="75" t="str">
        <x:v>콘텐츠</x:v>
      </x:c>
    </x:row>
    <x:row r="69">
      <x:c r="A69" s="74" t="str">
        <x:v>U0064</x:v>
      </x:c>
      <x:c r="B69" s="89" t="n">
        <x:v>46110</x:v>
      </x:c>
      <x:c r="C69" s="89" t="n">
        <x:v>46230</x:v>
      </x:c>
      <x:c r="D69" s="95" t="n">
        <x:v>49000</x:v>
      </x:c>
      <x:c r="E69" s="70" t="str">
        <x:v>Pro</x:v>
      </x:c>
      <x:c r="F69" s="75" t="str">
        <x:v>검색</x:v>
      </x:c>
    </x:row>
    <x:row r="70">
      <x:c r="A70" s="74" t="str">
        <x:v>U0065</x:v>
      </x:c>
      <x:c r="B70" s="89" t="n">
        <x:v>46139</x:v>
      </x:c>
      <x:c r="C70" s="89"/>
      <x:c r="D70" s="95" t="n">
        <x:v>99000</x:v>
      </x:c>
      <x:c r="E70" s="70" t="str">
        <x:v>Team</x:v>
      </x:c>
      <x:c r="F70" s="75" t="str">
        <x:v>추천</x:v>
      </x:c>
    </x:row>
    <x:row r="71">
      <x:c r="A71" s="74" t="str">
        <x:v>U0066</x:v>
      </x:c>
      <x:c r="B71" s="89" t="n">
        <x:v>46168</x:v>
      </x:c>
      <x:c r="C71" s="89"/>
      <x:c r="D71" s="95" t="n">
        <x:v>19000</x:v>
      </x:c>
      <x:c r="E71" s="70" t="str">
        <x:v>Basic</x:v>
      </x:c>
      <x:c r="F71" s="75" t="str">
        <x:v>강의</x:v>
      </x:c>
    </x:row>
    <x:row r="72">
      <x:c r="A72" s="74" t="str">
        <x:v>U0067</x:v>
      </x:c>
      <x:c r="B72" s="89" t="n">
        <x:v>46197</x:v>
      </x:c>
      <x:c r="C72" s="89"/>
      <x:c r="D72" s="95" t="n">
        <x:v>49000</x:v>
      </x:c>
      <x:c r="E72" s="70" t="str">
        <x:v>Pro</x:v>
      </x:c>
      <x:c r="F72" s="75" t="str">
        <x:v>콘텐츠</x:v>
      </x:c>
    </x:row>
    <x:row r="73">
      <x:c r="A73" s="74" t="str">
        <x:v>U0068</x:v>
      </x:c>
      <x:c r="B73" s="89" t="n">
        <x:v>46226</x:v>
      </x:c>
      <x:c r="C73" s="89"/>
      <x:c r="D73" s="95" t="n">
        <x:v>99000</x:v>
      </x:c>
      <x:c r="E73" s="70" t="str">
        <x:v>Team</x:v>
      </x:c>
      <x:c r="F73" s="75" t="str">
        <x:v>검색</x:v>
      </x:c>
    </x:row>
    <x:row r="74">
      <x:c r="A74" s="74" t="str">
        <x:v>U0069</x:v>
      </x:c>
      <x:c r="B74" s="89" t="n">
        <x:v>46255</x:v>
      </x:c>
      <x:c r="C74" s="89"/>
      <x:c r="D74" s="95" t="n">
        <x:v>19000</x:v>
      </x:c>
      <x:c r="E74" s="70" t="str">
        <x:v>Basic</x:v>
      </x:c>
      <x:c r="F74" s="75" t="str">
        <x:v>추천</x:v>
      </x:c>
    </x:row>
    <x:row r="75">
      <x:c r="A75" s="74" t="str">
        <x:v>U0070</x:v>
      </x:c>
      <x:c r="B75" s="89" t="n">
        <x:v>46284</x:v>
      </x:c>
      <x:c r="C75" s="89"/>
      <x:c r="D75" s="95" t="n">
        <x:v>49000</x:v>
      </x:c>
      <x:c r="E75" s="70" t="str">
        <x:v>Pro</x:v>
      </x:c>
      <x:c r="F75" s="75" t="str">
        <x:v>강의</x:v>
      </x:c>
    </x:row>
    <x:row r="76">
      <x:c r="A76" s="74" t="str">
        <x:v>U0071</x:v>
      </x:c>
      <x:c r="B76" s="89" t="n">
        <x:v>46313</x:v>
      </x:c>
      <x:c r="C76" s="89"/>
      <x:c r="D76" s="95" t="n">
        <x:v>99000</x:v>
      </x:c>
      <x:c r="E76" s="70" t="str">
        <x:v>Team</x:v>
      </x:c>
      <x:c r="F76" s="75" t="str">
        <x:v>콘텐츠</x:v>
      </x:c>
    </x:row>
    <x:row r="77">
      <x:c r="A77" s="74" t="str">
        <x:v>U0072</x:v>
      </x:c>
      <x:c r="B77" s="89" t="n">
        <x:v>45670</x:v>
      </x:c>
      <x:c r="C77" s="89" t="n">
        <x:v>45790</x:v>
      </x:c>
      <x:c r="D77" s="95" t="n">
        <x:v>19000</x:v>
      </x:c>
      <x:c r="E77" s="70" t="str">
        <x:v>Basic</x:v>
      </x:c>
      <x:c r="F77" s="75" t="str">
        <x:v>검색</x:v>
      </x:c>
    </x:row>
    <x:row r="78">
      <x:c r="A78" s="74" t="str">
        <x:v>U0073</x:v>
      </x:c>
      <x:c r="B78" s="89" t="n">
        <x:v>45699</x:v>
      </x:c>
      <x:c r="C78" s="89"/>
      <x:c r="D78" s="95" t="n">
        <x:v>49000</x:v>
      </x:c>
      <x:c r="E78" s="70" t="str">
        <x:v>Pro</x:v>
      </x:c>
      <x:c r="F78" s="75" t="str">
        <x:v>추천</x:v>
      </x:c>
    </x:row>
    <x:row r="79">
      <x:c r="A79" s="74" t="str">
        <x:v>U0074</x:v>
      </x:c>
      <x:c r="B79" s="89" t="n">
        <x:v>45728</x:v>
      </x:c>
      <x:c r="C79" s="89"/>
      <x:c r="D79" s="95" t="n">
        <x:v>99000</x:v>
      </x:c>
      <x:c r="E79" s="70" t="str">
        <x:v>Team</x:v>
      </x:c>
      <x:c r="F79" s="75" t="str">
        <x:v>강의</x:v>
      </x:c>
    </x:row>
    <x:row r="80">
      <x:c r="A80" s="74" t="str">
        <x:v>U0075</x:v>
      </x:c>
      <x:c r="B80" s="89" t="n">
        <x:v>45757</x:v>
      </x:c>
      <x:c r="C80" s="89"/>
      <x:c r="D80" s="95" t="n">
        <x:v>19000</x:v>
      </x:c>
      <x:c r="E80" s="70" t="str">
        <x:v>Basic</x:v>
      </x:c>
      <x:c r="F80" s="75" t="str">
        <x:v>콘텐츠</x:v>
      </x:c>
    </x:row>
    <x:row r="81">
      <x:c r="A81" s="74" t="str">
        <x:v>U0076</x:v>
      </x:c>
      <x:c r="B81" s="89" t="n">
        <x:v>45786</x:v>
      </x:c>
      <x:c r="C81" s="89" t="n">
        <x:v>46026</x:v>
      </x:c>
      <x:c r="D81" s="95" t="n">
        <x:v>49000</x:v>
      </x:c>
      <x:c r="E81" s="70" t="str">
        <x:v>Pro</x:v>
      </x:c>
      <x:c r="F81" s="75" t="str">
        <x:v>검색</x:v>
      </x:c>
    </x:row>
    <x:row r="82">
      <x:c r="A82" s="74" t="str">
        <x:v>U0077</x:v>
      </x:c>
      <x:c r="B82" s="89" t="n">
        <x:v>45815</x:v>
      </x:c>
      <x:c r="C82" s="89"/>
      <x:c r="D82" s="95" t="n">
        <x:v>99000</x:v>
      </x:c>
      <x:c r="E82" s="70" t="str">
        <x:v>Team</x:v>
      </x:c>
      <x:c r="F82" s="75" t="str">
        <x:v>추천</x:v>
      </x:c>
    </x:row>
    <x:row r="83">
      <x:c r="A83" s="74" t="str">
        <x:v>U0078</x:v>
      </x:c>
      <x:c r="B83" s="89" t="n">
        <x:v>45844</x:v>
      </x:c>
      <x:c r="C83" s="89"/>
      <x:c r="D83" s="95" t="n">
        <x:v>19000</x:v>
      </x:c>
      <x:c r="E83" s="70" t="str">
        <x:v>Basic</x:v>
      </x:c>
      <x:c r="F83" s="75" t="str">
        <x:v>강의</x:v>
      </x:c>
    </x:row>
    <x:row r="84">
      <x:c r="A84" s="74" t="str">
        <x:v>U0079</x:v>
      </x:c>
      <x:c r="B84" s="89" t="n">
        <x:v>45873</x:v>
      </x:c>
      <x:c r="C84" s="89"/>
      <x:c r="D84" s="95" t="n">
        <x:v>49000</x:v>
      </x:c>
      <x:c r="E84" s="70" t="str">
        <x:v>Pro</x:v>
      </x:c>
      <x:c r="F84" s="75" t="str">
        <x:v>콘텐츠</x:v>
      </x:c>
    </x:row>
    <x:row r="85">
      <x:c r="A85" s="74" t="str">
        <x:v>U0080</x:v>
      </x:c>
      <x:c r="B85" s="89" t="n">
        <x:v>45882</x:v>
      </x:c>
      <x:c r="C85" s="89" t="n">
        <x:v>46002</x:v>
      </x:c>
      <x:c r="D85" s="95" t="n">
        <x:v>99000</x:v>
      </x:c>
      <x:c r="E85" s="70" t="str">
        <x:v>Team</x:v>
      </x:c>
      <x:c r="F85" s="75" t="str">
        <x:v>검색</x:v>
      </x:c>
    </x:row>
    <x:row r="86">
      <x:c r="A86" s="74" t="str">
        <x:v>U0081</x:v>
      </x:c>
      <x:c r="B86" s="89" t="n">
        <x:v>45911</x:v>
      </x:c>
      <x:c r="C86" s="89"/>
      <x:c r="D86" s="95" t="n">
        <x:v>19000</x:v>
      </x:c>
      <x:c r="E86" s="70" t="str">
        <x:v>Basic</x:v>
      </x:c>
      <x:c r="F86" s="75" t="str">
        <x:v>추천</x:v>
      </x:c>
    </x:row>
    <x:row r="87">
      <x:c r="A87" s="74" t="str">
        <x:v>U0082</x:v>
      </x:c>
      <x:c r="B87" s="89" t="n">
        <x:v>45940</x:v>
      </x:c>
      <x:c r="C87" s="89"/>
      <x:c r="D87" s="95" t="n">
        <x:v>49000</x:v>
      </x:c>
      <x:c r="E87" s="70" t="str">
        <x:v>Pro</x:v>
      </x:c>
      <x:c r="F87" s="75" t="str">
        <x:v>강의</x:v>
      </x:c>
    </x:row>
    <x:row r="88">
      <x:c r="A88" s="74" t="str">
        <x:v>U0083</x:v>
      </x:c>
      <x:c r="B88" s="89" t="n">
        <x:v>45969</x:v>
      </x:c>
      <x:c r="C88" s="89"/>
      <x:c r="D88" s="95" t="n">
        <x:v>99000</x:v>
      </x:c>
      <x:c r="E88" s="70" t="str">
        <x:v>Team</x:v>
      </x:c>
      <x:c r="F88" s="75" t="str">
        <x:v>콘텐츠</x:v>
      </x:c>
    </x:row>
    <x:row r="89">
      <x:c r="A89" s="74" t="str">
        <x:v>U0084</x:v>
      </x:c>
      <x:c r="B89" s="89" t="n">
        <x:v>45998</x:v>
      </x:c>
      <x:c r="C89" s="89" t="n">
        <x:v>46238</x:v>
      </x:c>
      <x:c r="D89" s="95" t="n">
        <x:v>19000</x:v>
      </x:c>
      <x:c r="E89" s="70" t="str">
        <x:v>Basic</x:v>
      </x:c>
      <x:c r="F89" s="75" t="str">
        <x:v>검색</x:v>
      </x:c>
    </x:row>
    <x:row r="90">
      <x:c r="A90" s="74" t="str">
        <x:v>U0085</x:v>
      </x:c>
      <x:c r="B90" s="89" t="n">
        <x:v>46027</x:v>
      </x:c>
      <x:c r="C90" s="89"/>
      <x:c r="D90" s="95" t="n">
        <x:v>49000</x:v>
      </x:c>
      <x:c r="E90" s="70" t="str">
        <x:v>Pro</x:v>
      </x:c>
      <x:c r="F90" s="75" t="str">
        <x:v>추천</x:v>
      </x:c>
    </x:row>
    <x:row r="91">
      <x:c r="A91" s="74" t="str">
        <x:v>U0086</x:v>
      </x:c>
      <x:c r="B91" s="89" t="n">
        <x:v>46056</x:v>
      </x:c>
      <x:c r="C91" s="89"/>
      <x:c r="D91" s="95" t="n">
        <x:v>99000</x:v>
      </x:c>
      <x:c r="E91" s="70" t="str">
        <x:v>Team</x:v>
      </x:c>
      <x:c r="F91" s="75" t="str">
        <x:v>강의</x:v>
      </x:c>
    </x:row>
    <x:row r="92">
      <x:c r="A92" s="74" t="str">
        <x:v>U0087</x:v>
      </x:c>
      <x:c r="B92" s="89" t="n">
        <x:v>46085</x:v>
      </x:c>
      <x:c r="C92" s="89"/>
      <x:c r="D92" s="95" t="n">
        <x:v>19000</x:v>
      </x:c>
      <x:c r="E92" s="70" t="str">
        <x:v>Basic</x:v>
      </x:c>
      <x:c r="F92" s="75" t="str">
        <x:v>콘텐츠</x:v>
      </x:c>
    </x:row>
    <x:row r="93">
      <x:c r="A93" s="74" t="str">
        <x:v>U0088</x:v>
      </x:c>
      <x:c r="B93" s="89" t="n">
        <x:v>46114</x:v>
      </x:c>
      <x:c r="C93" s="89" t="n">
        <x:v>46234</x:v>
      </x:c>
      <x:c r="D93" s="95" t="n">
        <x:v>49000</x:v>
      </x:c>
      <x:c r="E93" s="70" t="str">
        <x:v>Pro</x:v>
      </x:c>
      <x:c r="F93" s="75" t="str">
        <x:v>검색</x:v>
      </x:c>
    </x:row>
    <x:row r="94">
      <x:c r="A94" s="74" t="str">
        <x:v>U0089</x:v>
      </x:c>
      <x:c r="B94" s="89" t="n">
        <x:v>46143</x:v>
      </x:c>
      <x:c r="C94" s="89"/>
      <x:c r="D94" s="95" t="n">
        <x:v>99000</x:v>
      </x:c>
      <x:c r="E94" s="70" t="str">
        <x:v>Team</x:v>
      </x:c>
      <x:c r="F94" s="75" t="str">
        <x:v>추천</x:v>
      </x:c>
    </x:row>
    <x:row r="95">
      <x:c r="A95" s="74" t="str">
        <x:v>U0090</x:v>
      </x:c>
      <x:c r="B95" s="89" t="n">
        <x:v>46172</x:v>
      </x:c>
      <x:c r="C95" s="89"/>
      <x:c r="D95" s="95" t="n">
        <x:v>19000</x:v>
      </x:c>
      <x:c r="E95" s="70" t="str">
        <x:v>Basic</x:v>
      </x:c>
      <x:c r="F95" s="75" t="str">
        <x:v>강의</x:v>
      </x:c>
    </x:row>
    <x:row r="96">
      <x:c r="A96" s="74" t="str">
        <x:v>U0091</x:v>
      </x:c>
      <x:c r="B96" s="89" t="n">
        <x:v>46201</x:v>
      </x:c>
      <x:c r="C96" s="89"/>
      <x:c r="D96" s="95" t="n">
        <x:v>49000</x:v>
      </x:c>
      <x:c r="E96" s="70" t="str">
        <x:v>Pro</x:v>
      </x:c>
      <x:c r="F96" s="75" t="str">
        <x:v>콘텐츠</x:v>
      </x:c>
    </x:row>
    <x:row r="97">
      <x:c r="A97" s="74" t="str">
        <x:v>U0092</x:v>
      </x:c>
      <x:c r="B97" s="89" t="n">
        <x:v>46230</x:v>
      </x:c>
      <x:c r="C97" s="89"/>
      <x:c r="D97" s="95" t="n">
        <x:v>99000</x:v>
      </x:c>
      <x:c r="E97" s="70" t="str">
        <x:v>Team</x:v>
      </x:c>
      <x:c r="F97" s="75" t="str">
        <x:v>검색</x:v>
      </x:c>
    </x:row>
    <x:row r="98">
      <x:c r="A98" s="74" t="str">
        <x:v>U0093</x:v>
      </x:c>
      <x:c r="B98" s="89" t="n">
        <x:v>46259</x:v>
      </x:c>
      <x:c r="C98" s="89"/>
      <x:c r="D98" s="95" t="n">
        <x:v>19000</x:v>
      </x:c>
      <x:c r="E98" s="70" t="str">
        <x:v>Basic</x:v>
      </x:c>
      <x:c r="F98" s="75" t="str">
        <x:v>추천</x:v>
      </x:c>
    </x:row>
    <x:row r="99">
      <x:c r="A99" s="74" t="str">
        <x:v>U0094</x:v>
      </x:c>
      <x:c r="B99" s="89" t="n">
        <x:v>46288</x:v>
      </x:c>
      <x:c r="C99" s="89"/>
      <x:c r="D99" s="95" t="n">
        <x:v>49000</x:v>
      </x:c>
      <x:c r="E99" s="70" t="str">
        <x:v>Pro</x:v>
      </x:c>
      <x:c r="F99" s="75" t="str">
        <x:v>강의</x:v>
      </x:c>
    </x:row>
    <x:row r="100">
      <x:c r="A100" s="74" t="str">
        <x:v>U0095</x:v>
      </x:c>
      <x:c r="B100" s="89" t="n">
        <x:v>46317</x:v>
      </x:c>
      <x:c r="C100" s="89"/>
      <x:c r="D100" s="95" t="n">
        <x:v>99000</x:v>
      </x:c>
      <x:c r="E100" s="70" t="str">
        <x:v>Team</x:v>
      </x:c>
      <x:c r="F100" s="75" t="str">
        <x:v>콘텐츠</x:v>
      </x:c>
    </x:row>
    <x:row r="101">
      <x:c r="A101" s="74" t="str">
        <x:v>U0096</x:v>
      </x:c>
      <x:c r="B101" s="89" t="n">
        <x:v>45674</x:v>
      </x:c>
      <x:c r="C101" s="89" t="n">
        <x:v>45794</x:v>
      </x:c>
      <x:c r="D101" s="95" t="n">
        <x:v>19000</x:v>
      </x:c>
      <x:c r="E101" s="70" t="str">
        <x:v>Basic</x:v>
      </x:c>
      <x:c r="F101" s="75" t="str">
        <x:v>검색</x:v>
      </x:c>
    </x:row>
    <x:row r="102">
      <x:c r="A102" s="74" t="str">
        <x:v>U0097</x:v>
      </x:c>
      <x:c r="B102" s="89" t="n">
        <x:v>45703</x:v>
      </x:c>
      <x:c r="C102" s="89"/>
      <x:c r="D102" s="95" t="n">
        <x:v>49000</x:v>
      </x:c>
      <x:c r="E102" s="70" t="str">
        <x:v>Pro</x:v>
      </x:c>
      <x:c r="F102" s="75" t="str">
        <x:v>추천</x:v>
      </x:c>
    </x:row>
    <x:row r="103">
      <x:c r="A103" s="74" t="str">
        <x:v>U0098</x:v>
      </x:c>
      <x:c r="B103" s="89" t="n">
        <x:v>45732</x:v>
      </x:c>
      <x:c r="C103" s="89"/>
      <x:c r="D103" s="95" t="n">
        <x:v>99000</x:v>
      </x:c>
      <x:c r="E103" s="70" t="str">
        <x:v>Team</x:v>
      </x:c>
      <x:c r="F103" s="75" t="str">
        <x:v>강의</x:v>
      </x:c>
    </x:row>
    <x:row r="104">
      <x:c r="A104" s="74" t="str">
        <x:v>U0099</x:v>
      </x:c>
      <x:c r="B104" s="89" t="n">
        <x:v>45761</x:v>
      </x:c>
      <x:c r="C104" s="89"/>
      <x:c r="D104" s="95" t="n">
        <x:v>19000</x:v>
      </x:c>
      <x:c r="E104" s="70" t="str">
        <x:v>Basic</x:v>
      </x:c>
      <x:c r="F104" s="75" t="str">
        <x:v>콘텐츠</x:v>
      </x:c>
    </x:row>
    <x:row r="105">
      <x:c r="A105" s="74" t="str">
        <x:v>U0100</x:v>
      </x:c>
      <x:c r="B105" s="89" t="n">
        <x:v>45770</x:v>
      </x:c>
      <x:c r="C105" s="89" t="n">
        <x:v>46010</x:v>
      </x:c>
      <x:c r="D105" s="95" t="n">
        <x:v>49000</x:v>
      </x:c>
      <x:c r="E105" s="70" t="str">
        <x:v>Pro</x:v>
      </x:c>
      <x:c r="F105" s="75" t="str">
        <x:v>검색</x:v>
      </x:c>
    </x:row>
    <x:row r="106">
      <x:c r="A106" s="74" t="str">
        <x:v>U0101</x:v>
      </x:c>
      <x:c r="B106" s="89" t="n">
        <x:v>45799</x:v>
      </x:c>
      <x:c r="C106" s="89"/>
      <x:c r="D106" s="95" t="n">
        <x:v>99000</x:v>
      </x:c>
      <x:c r="E106" s="70" t="str">
        <x:v>Team</x:v>
      </x:c>
      <x:c r="F106" s="75" t="str">
        <x:v>추천</x:v>
      </x:c>
    </x:row>
    <x:row r="107">
      <x:c r="A107" s="74" t="str">
        <x:v>U0102</x:v>
      </x:c>
      <x:c r="B107" s="89" t="n">
        <x:v>45828</x:v>
      </x:c>
      <x:c r="C107" s="89"/>
      <x:c r="D107" s="95" t="n">
        <x:v>19000</x:v>
      </x:c>
      <x:c r="E107" s="70" t="str">
        <x:v>Basic</x:v>
      </x:c>
      <x:c r="F107" s="75" t="str">
        <x:v>강의</x:v>
      </x:c>
    </x:row>
    <x:row r="108">
      <x:c r="A108" s="74" t="str">
        <x:v>U0103</x:v>
      </x:c>
      <x:c r="B108" s="89" t="n">
        <x:v>45857</x:v>
      </x:c>
      <x:c r="C108" s="89"/>
      <x:c r="D108" s="95" t="n">
        <x:v>49000</x:v>
      </x:c>
      <x:c r="E108" s="70" t="str">
        <x:v>Pro</x:v>
      </x:c>
      <x:c r="F108" s="75" t="str">
        <x:v>콘텐츠</x:v>
      </x:c>
    </x:row>
    <x:row r="109">
      <x:c r="A109" s="74" t="str">
        <x:v>U0104</x:v>
      </x:c>
      <x:c r="B109" s="89" t="n">
        <x:v>45886</x:v>
      </x:c>
      <x:c r="C109" s="89" t="n">
        <x:v>46006</x:v>
      </x:c>
      <x:c r="D109" s="95" t="n">
        <x:v>99000</x:v>
      </x:c>
      <x:c r="E109" s="70" t="str">
        <x:v>Team</x:v>
      </x:c>
      <x:c r="F109" s="75" t="str">
        <x:v>검색</x:v>
      </x:c>
    </x:row>
    <x:row r="110">
      <x:c r="A110" s="74" t="str">
        <x:v>U0105</x:v>
      </x:c>
      <x:c r="B110" s="89" t="n">
        <x:v>45915</x:v>
      </x:c>
      <x:c r="C110" s="89"/>
      <x:c r="D110" s="95" t="n">
        <x:v>19000</x:v>
      </x:c>
      <x:c r="E110" s="70" t="str">
        <x:v>Basic</x:v>
      </x:c>
      <x:c r="F110" s="75" t="str">
        <x:v>추천</x:v>
      </x:c>
    </x:row>
    <x:row r="111">
      <x:c r="A111" s="74" t="str">
        <x:v>U0106</x:v>
      </x:c>
      <x:c r="B111" s="89" t="n">
        <x:v>45944</x:v>
      </x:c>
      <x:c r="C111" s="89"/>
      <x:c r="D111" s="95" t="n">
        <x:v>49000</x:v>
      </x:c>
      <x:c r="E111" s="70" t="str">
        <x:v>Pro</x:v>
      </x:c>
      <x:c r="F111" s="75" t="str">
        <x:v>강의</x:v>
      </x:c>
    </x:row>
    <x:row r="112">
      <x:c r="A112" s="74" t="str">
        <x:v>U0107</x:v>
      </x:c>
      <x:c r="B112" s="89" t="n">
        <x:v>45973</x:v>
      </x:c>
      <x:c r="C112" s="89"/>
      <x:c r="D112" s="95" t="n">
        <x:v>99000</x:v>
      </x:c>
      <x:c r="E112" s="70" t="str">
        <x:v>Team</x:v>
      </x:c>
      <x:c r="F112" s="75" t="str">
        <x:v>콘텐츠</x:v>
      </x:c>
    </x:row>
    <x:row r="113">
      <x:c r="A113" s="74" t="str">
        <x:v>U0108</x:v>
      </x:c>
      <x:c r="B113" s="89" t="n">
        <x:v>46002</x:v>
      </x:c>
      <x:c r="C113" s="89" t="n">
        <x:v>46242</x:v>
      </x:c>
      <x:c r="D113" s="95" t="n">
        <x:v>19000</x:v>
      </x:c>
      <x:c r="E113" s="70" t="str">
        <x:v>Basic</x:v>
      </x:c>
      <x:c r="F113" s="75" t="str">
        <x:v>검색</x:v>
      </x:c>
    </x:row>
    <x:row r="114">
      <x:c r="A114" s="74" t="str">
        <x:v>U0109</x:v>
      </x:c>
      <x:c r="B114" s="89" t="n">
        <x:v>46031</x:v>
      </x:c>
      <x:c r="C114" s="89"/>
      <x:c r="D114" s="95" t="n">
        <x:v>49000</x:v>
      </x:c>
      <x:c r="E114" s="70" t="str">
        <x:v>Pro</x:v>
      </x:c>
      <x:c r="F114" s="75" t="str">
        <x:v>추천</x:v>
      </x:c>
    </x:row>
    <x:row r="115">
      <x:c r="A115" s="74" t="str">
        <x:v>U0110</x:v>
      </x:c>
      <x:c r="B115" s="89" t="n">
        <x:v>46060</x:v>
      </x:c>
      <x:c r="C115" s="89"/>
      <x:c r="D115" s="95" t="n">
        <x:v>99000</x:v>
      </x:c>
      <x:c r="E115" s="70" t="str">
        <x:v>Team</x:v>
      </x:c>
      <x:c r="F115" s="75" t="str">
        <x:v>강의</x:v>
      </x:c>
    </x:row>
    <x:row r="116">
      <x:c r="A116" s="74" t="str">
        <x:v>U0111</x:v>
      </x:c>
      <x:c r="B116" s="89" t="n">
        <x:v>46089</x:v>
      </x:c>
      <x:c r="C116" s="89"/>
      <x:c r="D116" s="95" t="n">
        <x:v>19000</x:v>
      </x:c>
      <x:c r="E116" s="70" t="str">
        <x:v>Basic</x:v>
      </x:c>
      <x:c r="F116" s="75" t="str">
        <x:v>콘텐츠</x:v>
      </x:c>
    </x:row>
    <x:row r="117">
      <x:c r="A117" s="74" t="str">
        <x:v>U0112</x:v>
      </x:c>
      <x:c r="B117" s="89" t="n">
        <x:v>46118</x:v>
      </x:c>
      <x:c r="C117" s="89" t="n">
        <x:v>46238</x:v>
      </x:c>
      <x:c r="D117" s="95" t="n">
        <x:v>49000</x:v>
      </x:c>
      <x:c r="E117" s="70" t="str">
        <x:v>Pro</x:v>
      </x:c>
      <x:c r="F117" s="75" t="str">
        <x:v>검색</x:v>
      </x:c>
    </x:row>
    <x:row r="118">
      <x:c r="A118" s="74" t="str">
        <x:v>U0113</x:v>
      </x:c>
      <x:c r="B118" s="89" t="n">
        <x:v>46147</x:v>
      </x:c>
      <x:c r="C118" s="89"/>
      <x:c r="D118" s="95" t="n">
        <x:v>99000</x:v>
      </x:c>
      <x:c r="E118" s="70" t="str">
        <x:v>Team</x:v>
      </x:c>
      <x:c r="F118" s="75" t="str">
        <x:v>추천</x:v>
      </x:c>
    </x:row>
    <x:row r="119">
      <x:c r="A119" s="74" t="str">
        <x:v>U0114</x:v>
      </x:c>
      <x:c r="B119" s="89" t="n">
        <x:v>46176</x:v>
      </x:c>
      <x:c r="C119" s="89"/>
      <x:c r="D119" s="95" t="n">
        <x:v>19000</x:v>
      </x:c>
      <x:c r="E119" s="70" t="str">
        <x:v>Basic</x:v>
      </x:c>
      <x:c r="F119" s="75" t="str">
        <x:v>강의</x:v>
      </x:c>
    </x:row>
    <x:row r="120">
      <x:c r="A120" s="74" t="str">
        <x:v>U0115</x:v>
      </x:c>
      <x:c r="B120" s="89" t="n">
        <x:v>46205</x:v>
      </x:c>
      <x:c r="C120" s="89"/>
      <x:c r="D120" s="95" t="n">
        <x:v>49000</x:v>
      </x:c>
      <x:c r="E120" s="70" t="str">
        <x:v>Pro</x:v>
      </x:c>
      <x:c r="F120" s="75" t="str">
        <x:v>콘텐츠</x:v>
      </x:c>
    </x:row>
    <x:row r="121">
      <x:c r="A121" s="74" t="str">
        <x:v>U0116</x:v>
      </x:c>
      <x:c r="B121" s="89" t="n">
        <x:v>46234</x:v>
      </x:c>
      <x:c r="C121" s="89"/>
      <x:c r="D121" s="95" t="n">
        <x:v>99000</x:v>
      </x:c>
      <x:c r="E121" s="70" t="str">
        <x:v>Team</x:v>
      </x:c>
      <x:c r="F121" s="75" t="str">
        <x:v>검색</x:v>
      </x:c>
    </x:row>
    <x:row r="122">
      <x:c r="A122" s="74" t="str">
        <x:v>U0117</x:v>
      </x:c>
      <x:c r="B122" s="89" t="n">
        <x:v>46263</x:v>
      </x:c>
      <x:c r="C122" s="89"/>
      <x:c r="D122" s="95" t="n">
        <x:v>19000</x:v>
      </x:c>
      <x:c r="E122" s="70" t="str">
        <x:v>Basic</x:v>
      </x:c>
      <x:c r="F122" s="75" t="str">
        <x:v>추천</x:v>
      </x:c>
    </x:row>
    <x:row r="123">
      <x:c r="A123" s="74" t="str">
        <x:v>U0118</x:v>
      </x:c>
      <x:c r="B123" s="89" t="n">
        <x:v>46292</x:v>
      </x:c>
      <x:c r="C123" s="89"/>
      <x:c r="D123" s="95" t="n">
        <x:v>49000</x:v>
      </x:c>
      <x:c r="E123" s="70" t="str">
        <x:v>Pro</x:v>
      </x:c>
      <x:c r="F123" s="75" t="str">
        <x:v>강의</x:v>
      </x:c>
    </x:row>
    <x:row r="124">
      <x:c r="A124" s="74" t="str">
        <x:v>U0119</x:v>
      </x:c>
      <x:c r="B124" s="89" t="n">
        <x:v>46321</x:v>
      </x:c>
      <x:c r="C124" s="89"/>
      <x:c r="D124" s="95" t="n">
        <x:v>99000</x:v>
      </x:c>
      <x:c r="E124" s="70" t="str">
        <x:v>Team</x:v>
      </x:c>
      <x:c r="F124" s="75" t="str">
        <x:v>콘텐츠</x:v>
      </x:c>
    </x:row>
    <x:row r="125">
      <x:c r="A125" s="76" t="str">
        <x:v>U0120</x:v>
      </x:c>
      <x:c r="B125" s="90" t="n">
        <x:v>45658</x:v>
      </x:c>
      <x:c r="C125" s="90" t="n">
        <x:v>45778</x:v>
      </x:c>
      <x:c r="D125" s="96" t="n">
        <x:v>19000</x:v>
      </x:c>
      <x:c r="E125" s="77" t="str">
        <x:v>Basic</x:v>
      </x:c>
      <x:c r="F125" s="78" t="str">
        <x:v>검색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2" hidden="0" customWidth="1"/>
    <x:col min="7" max="7" width="13" hidden="0" customWidth="1"/>
    <x:col min="8" max="8" width="12" hidden="0" customWidth="1"/>
  </x:cols>
  <x:sheetData>
    <x:row r="1" ht="30" customHeight="1">
      <x:c r="A1" s="5" t="str">
        <x:v>월별 구독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24개월 신규·해지·순증·기말MRR과 고객지표를 계산합니다.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월</x:v>
      </x:c>
      <x:c r="B5" s="65" t="str">
        <x:v>신규MRR</x:v>
      </x:c>
      <x:c r="C5" s="65" t="str">
        <x:v>해지MRR</x:v>
      </x:c>
      <x:c r="D5" s="65" t="str">
        <x:v>순증MRR</x:v>
      </x:c>
      <x:c r="E5" s="65" t="str">
        <x:v>기말MRR</x:v>
      </x:c>
      <x:c r="F5" s="65" t="str">
        <x:v>활성고객</x:v>
      </x:c>
      <x:c r="G5" s="65" t="str">
        <x:v>ARPU</x:v>
      </x:c>
      <x:c r="H5" s="31" t="str">
        <x:v>해지율</x:v>
      </x:c>
    </x:row>
    <x:row r="6">
      <x:c r="A6" s="106" t="n">
        <x:v>45658</x:v>
      </x:c>
      <x:c r="B6" s="128" t="n">
        <x:f>SUMIFS('구독내역'!$D$6:$D$125,'구독내역'!$B$6:$B$125,"&gt;="&amp;A6,'구독내역'!$B$6:$B$125,"&lt;"&amp;EDATE(A6,1))</x:f>
        <x:v>144000</x:v>
      </x:c>
      <x:c r="C6" s="129" t="n">
        <x:f>SUMIFS('구독내역'!$D$6:$D$125,'구독내역'!$C$6:$C$125,"&gt;="&amp;A6,'구독내역'!$C$6:$C$125,"&lt;"&amp;EDATE(A6,1))</x:f>
        <x:v>0</x:v>
      </x:c>
      <x:c r="D6" s="129" t="n">
        <x:f>B6-C6</x:f>
        <x:v>144000</x:v>
      </x:c>
      <x:c r="E6" s="129" t="n">
        <x:f>D6</x:f>
        <x:v>144000</x:v>
      </x:c>
      <x:c r="F6" s="129" t="n">
        <x:f>COUNTIFS('구독내역'!$B$6:$B$125,"&lt;="&amp;EOMONTH(A6,0))-COUNTIFS('구독내역'!$C$6:$C$125,"&lt;="&amp;EOMONTH(A6,0),'구독내역'!$C$6:$C$125,"&lt;&gt;")</x:f>
        <x:v>6</x:v>
      </x:c>
      <x:c r="G6" s="129" t="n">
        <x:f>IFERROR(E6/F6,0)</x:f>
        <x:v>24000</x:v>
      </x:c>
      <x:c r="H6" s="142" t="n">
        <x:f>IFERROR(C6/(E6-D6),0)</x:f>
        <x:v>0</x:v>
      </x:c>
    </x:row>
    <x:row r="7">
      <x:c r="A7" s="107" t="n">
        <x:v>45689</x:v>
      </x:c>
      <x:c r="B7" s="130" t="n">
        <x:f>SUMIFS('구독내역'!$D$6:$D$125,'구독내역'!$B$6:$B$125,"&gt;="&amp;A7,'구독내역'!$B$6:$B$125,"&lt;"&amp;EDATE(A7,1))</x:f>
        <x:v>295000</x:v>
      </x:c>
      <x:c r="C7" s="131" t="n">
        <x:f>SUMIFS('구독내역'!$D$6:$D$125,'구독내역'!$C$6:$C$125,"&gt;="&amp;A7,'구독내역'!$C$6:$C$125,"&lt;"&amp;EDATE(A7,1))</x:f>
        <x:v>0</x:v>
      </x:c>
      <x:c r="D7" s="131" t="n">
        <x:f>B7-C7</x:f>
        <x:v>295000</x:v>
      </x:c>
      <x:c r="E7" s="131" t="n">
        <x:f>E6+D7</x:f>
        <x:v>439000</x:v>
      </x:c>
      <x:c r="F7" s="131" t="n">
        <x:f>COUNTIFS('구독내역'!$B$6:$B$125,"&lt;="&amp;EOMONTH(A7,0))-COUNTIFS('구독내역'!$C$6:$C$125,"&lt;="&amp;EOMONTH(A7,0),'구독내역'!$C$6:$C$125,"&lt;&gt;")</x:f>
        <x:v>11</x:v>
      </x:c>
      <x:c r="G7" s="131" t="n">
        <x:f>IFERROR(E7/F7,0)</x:f>
        <x:v>39909.09090909091</x:v>
      </x:c>
      <x:c r="H7" s="143" t="n">
        <x:f>IFERROR(C7/(E7-D7),0)</x:f>
        <x:v>0</x:v>
      </x:c>
    </x:row>
    <x:row r="8">
      <x:c r="A8" s="107" t="n">
        <x:v>45717</x:v>
      </x:c>
      <x:c r="B8" s="130" t="n">
        <x:f>SUMIFS('구독내역'!$D$6:$D$125,'구독내역'!$B$6:$B$125,"&gt;="&amp;A8,'구독내역'!$B$6:$B$125,"&lt;"&amp;EDATE(A8,1))</x:f>
        <x:v>415000</x:v>
      </x:c>
      <x:c r="C8" s="131" t="n">
        <x:f>SUMIFS('구독내역'!$D$6:$D$125,'구독내역'!$C$6:$C$125,"&gt;="&amp;A8,'구독내역'!$C$6:$C$125,"&lt;"&amp;EDATE(A8,1))</x:f>
        <x:v>0</x:v>
      </x:c>
      <x:c r="D8" s="131" t="n">
        <x:f>B8-C8</x:f>
        <x:v>415000</x:v>
      </x:c>
      <x:c r="E8" s="131" t="n">
        <x:f>E7+D8</x:f>
        <x:v>854000</x:v>
      </x:c>
      <x:c r="F8" s="131" t="n">
        <x:f>COUNTIFS('구독내역'!$B$6:$B$125,"&lt;="&amp;EOMONTH(A8,0))-COUNTIFS('구독내역'!$C$6:$C$125,"&lt;="&amp;EOMONTH(A8,0),'구독내역'!$C$6:$C$125,"&lt;&gt;")</x:f>
        <x:v>16</x:v>
      </x:c>
      <x:c r="G8" s="131" t="n">
        <x:f>IFERROR(E8/F8,0)</x:f>
        <x:v>53375</x:v>
      </x:c>
      <x:c r="H8" s="143" t="n">
        <x:f>IFERROR(C8/(E8-D8),0)</x:f>
        <x:v>0</x:v>
      </x:c>
    </x:row>
    <x:row r="9">
      <x:c r="A9" s="107" t="n">
        <x:v>45748</x:v>
      </x:c>
      <x:c r="B9" s="130" t="n">
        <x:f>SUMIFS('구독내역'!$D$6:$D$125,'구독내역'!$B$6:$B$125,"&gt;="&amp;A9,'구독내역'!$B$6:$B$125,"&lt;"&amp;EDATE(A9,1))</x:f>
        <x:v>174000</x:v>
      </x:c>
      <x:c r="C9" s="131" t="n">
        <x:f>SUMIFS('구독내역'!$D$6:$D$125,'구독내역'!$C$6:$C$125,"&gt;="&amp;A9,'구독내역'!$C$6:$C$125,"&lt;"&amp;EDATE(A9,1))</x:f>
        <x:v>0</x:v>
      </x:c>
      <x:c r="D9" s="131" t="n">
        <x:f>B9-C9</x:f>
        <x:v>174000</x:v>
      </x:c>
      <x:c r="E9" s="131" t="n">
        <x:f>E8+D9</x:f>
        <x:v>1028000</x:v>
      </x:c>
      <x:c r="F9" s="131" t="n">
        <x:f>COUNTIFS('구독내역'!$B$6:$B$125,"&lt;="&amp;EOMONTH(A9,0))-COUNTIFS('구독내역'!$C$6:$C$125,"&lt;="&amp;EOMONTH(A9,0),'구독내역'!$C$6:$C$125,"&lt;&gt;")</x:f>
        <x:v>22</x:v>
      </x:c>
      <x:c r="G9" s="131" t="n">
        <x:f>IFERROR(E9/F9,0)</x:f>
        <x:v>46727.27272727273</x:v>
      </x:c>
      <x:c r="H9" s="143" t="n">
        <x:f>IFERROR(C9/(E9-D9),0)</x:f>
        <x:v>0</x:v>
      </x:c>
    </x:row>
    <x:row r="10">
      <x:c r="A10" s="107" t="n">
        <x:v>45778</x:v>
      </x:c>
      <x:c r="B10" s="130" t="n">
        <x:f>SUMIFS('구독내역'!$D$6:$D$125,'구독내역'!$B$6:$B$125,"&gt;="&amp;A9,'구독내역'!$B$6:$B$125,"&lt;"&amp;EDATE(A10,1))</x:f>
        <x:v>618000</x:v>
      </x:c>
      <x:c r="C10" s="131" t="n">
        <x:f>SUMIFS('구독내역'!$D$6:$D$125,'구독내역'!$C$6:$C$125,"&gt;="&amp;A10,'구독내역'!$C$6:$C$125,"&lt;"&amp;EDATE(A10,1))</x:f>
        <x:v>95000</x:v>
      </x:c>
      <x:c r="D10" s="131" t="n">
        <x:f>B10-C10</x:f>
        <x:v>523000</x:v>
      </x:c>
      <x:c r="E10" s="131" t="n">
        <x:f>E9+D10</x:f>
        <x:v>1551000</x:v>
      </x:c>
      <x:c r="F10" s="131" t="n">
        <x:f>COUNTIFS('구독내역'!$B$6:$B$125,"&lt;="&amp;EOMONTH(A10,0))-COUNTIFS('구독내역'!$C$6:$C$125,"&lt;="&amp;EOMONTH(A10,0),'구독내역'!$C$6:$C$125,"&lt;&gt;")</x:f>
        <x:v>23</x:v>
      </x:c>
      <x:c r="G10" s="131" t="n">
        <x:f>IFERROR(E10/F10,0)</x:f>
        <x:v>67434.78260869565</x:v>
      </x:c>
      <x:c r="H10" s="143" t="n">
        <x:f>IFERROR(C10/(E10-D10),0)</x:f>
        <x:v>0.09241245136186771</x:v>
      </x:c>
    </x:row>
    <x:row r="11">
      <x:c r="A11" s="107" t="n">
        <x:v>45809</x:v>
      </x:c>
      <x:c r="B11" s="130" t="n">
        <x:f>SUMIFS('구독내역'!$D$6:$D$125,'구독내역'!$B$6:$B$125,"&gt;="&amp;A11,'구독내역'!$B$6:$B$125,"&lt;"&amp;EDATE(A11,1))</x:f>
        <x:v>255000</x:v>
      </x:c>
      <x:c r="C11" s="131" t="n">
        <x:f>SUMIFS('구독내역'!$D$6:$D$125,'구독내역'!$C$6:$C$125,"&gt;="&amp;A11,'구독내역'!$C$6:$C$125,"&lt;"&amp;EDATE(A11,1))</x:f>
        <x:v>0</x:v>
      </x:c>
      <x:c r="D11" s="131" t="n">
        <x:f>B11-C11</x:f>
        <x:v>255000</x:v>
      </x:c>
      <x:c r="E11" s="131" t="n">
        <x:f>E10+D11</x:f>
        <x:v>1806000</x:v>
      </x:c>
      <x:c r="F11" s="131" t="n">
        <x:f>COUNTIFS('구독내역'!$B$6:$B$125,"&lt;="&amp;EOMONTH(A11,0))-COUNTIFS('구독내역'!$C$6:$C$125,"&lt;="&amp;EOMONTH(A11,0),'구독내역'!$C$6:$C$125,"&lt;&gt;")</x:f>
        <x:v>28</x:v>
      </x:c>
      <x:c r="G11" s="131" t="n">
        <x:f>IFERROR(E11/F11,0)</x:f>
        <x:v>64500</x:v>
      </x:c>
      <x:c r="H11" s="143" t="n">
        <x:f>IFERROR(C11/(E11-D11),0)</x:f>
        <x:v>0</x:v>
      </x:c>
    </x:row>
    <x:row r="12">
      <x:c r="A12" s="107" t="n">
        <x:v>45839</x:v>
      </x:c>
      <x:c r="B12" s="130" t="n">
        <x:f>SUMIFS('구독내역'!$D$6:$D$125,'구독내역'!$B$6:$B$125,"&gt;="&amp;A12,'구독내역'!$B$6:$B$125,"&lt;"&amp;EDATE(A12,1))</x:f>
        <x:v>234000</x:v>
      </x:c>
      <x:c r="C12" s="131" t="n">
        <x:f>SUMIFS('구독내역'!$D$6:$D$125,'구독내역'!$C$6:$C$125,"&gt;="&amp;A12,'구독내역'!$C$6:$C$125,"&lt;"&amp;EDATE(A12,1))</x:f>
        <x:v>0</x:v>
      </x:c>
      <x:c r="D12" s="131" t="n">
        <x:f>B12-C12</x:f>
        <x:v>234000</x:v>
      </x:c>
      <x:c r="E12" s="131" t="n">
        <x:f>E11+D12</x:f>
        <x:v>2040000</x:v>
      </x:c>
      <x:c r="F12" s="131" t="n">
        <x:f>COUNTIFS('구독내역'!$B$6:$B$125,"&lt;="&amp;EOMONTH(A12,0))-COUNTIFS('구독내역'!$C$6:$C$125,"&lt;="&amp;EOMONTH(A12,0),'구독내역'!$C$6:$C$125,"&lt;&gt;")</x:f>
        <x:v>34</x:v>
      </x:c>
      <x:c r="G12" s="131" t="n">
        <x:f>IFERROR(E12/F12,0)</x:f>
        <x:v>60000</x:v>
      </x:c>
      <x:c r="H12" s="143" t="n">
        <x:f>IFERROR(C12/(E12-D12),0)</x:f>
        <x:v>0</x:v>
      </x:c>
    </x:row>
    <x:row r="13">
      <x:c r="A13" s="107" t="n">
        <x:v>45870</x:v>
      </x:c>
      <x:c r="B13" s="130" t="n">
        <x:f>SUMIFS('구독내역'!$D$6:$D$125,'구독내역'!$B$6:$B$125,"&gt;="&amp;A13,'구독내역'!$B$6:$B$125,"&lt;"&amp;EDATE(A13,1))</x:f>
        <x:v>544000</x:v>
      </x:c>
      <x:c r="C13" s="131" t="n">
        <x:f>SUMIFS('구독내역'!$D$6:$D$125,'구독내역'!$C$6:$C$125,"&gt;="&amp;A13,'구독내역'!$C$6:$C$125,"&lt;"&amp;EDATE(A13,1))</x:f>
        <x:v>0</x:v>
      </x:c>
      <x:c r="D13" s="131" t="n">
        <x:f>B13-C13</x:f>
        <x:v>544000</x:v>
      </x:c>
      <x:c r="E13" s="131" t="n">
        <x:f>E12+D13</x:f>
        <x:v>2584000</x:v>
      </x:c>
      <x:c r="F13" s="131" t="n">
        <x:f>COUNTIFS('구독내역'!$B$6:$B$125,"&lt;="&amp;EOMONTH(A13,0))-COUNTIFS('구독내역'!$C$6:$C$125,"&lt;="&amp;EOMONTH(A13,0),'구독내역'!$C$6:$C$125,"&lt;&gt;")</x:f>
        <x:v>40</x:v>
      </x:c>
      <x:c r="G13" s="131" t="n">
        <x:f>IFERROR(E13/F13,0)</x:f>
        <x:v>64600</x:v>
      </x:c>
      <x:c r="H13" s="143" t="n">
        <x:f>IFERROR(C13/(E13-D13),0)</x:f>
        <x:v>0</x:v>
      </x:c>
    </x:row>
    <x:row r="14">
      <x:c r="A14" s="107" t="n">
        <x:v>45901</x:v>
      </x:c>
      <x:c r="B14" s="130" t="n">
        <x:f>SUMIFS('구독내역'!$D$6:$D$125,'구독내역'!$B$6:$B$125,"&gt;="&amp;A14,'구독내역'!$B$6:$B$125,"&lt;"&amp;EDATE(A14,1))</x:f>
        <x:v>95000</x:v>
      </x:c>
      <x:c r="C14" s="131" t="n">
        <x:f>SUMIFS('구독내역'!$D$6:$D$125,'구독내역'!$C$6:$C$125,"&gt;="&amp;A14,'구독내역'!$C$6:$C$125,"&lt;"&amp;EDATE(A14,1))</x:f>
        <x:v>0</x:v>
      </x:c>
      <x:c r="D14" s="131" t="n">
        <x:v>250000</x:v>
      </x:c>
      <x:c r="E14" s="131" t="n">
        <x:f>E13+D14</x:f>
        <x:v>2834000</x:v>
      </x:c>
      <x:c r="F14" s="131" t="n">
        <x:f>COUNTIFS('구독내역'!$B$6:$B$125,"&lt;="&amp;EOMONTH(A14,0))-COUNTIFS('구독내역'!$C$6:$C$125,"&lt;="&amp;EOMONTH(A14,0),'구독내역'!$C$6:$C$125,"&lt;&gt;")</x:f>
        <x:v>45</x:v>
      </x:c>
      <x:c r="G14" s="131" t="n">
        <x:f>IFERROR(E14/F14,0)</x:f>
        <x:v>62977.77777777778</x:v>
      </x:c>
      <x:c r="H14" s="143" t="n">
        <x:f>IFERROR(C14/(E14-D14),0)</x:f>
        <x:v>0</x:v>
      </x:c>
    </x:row>
    <x:row r="15">
      <x:c r="A15" s="107" t="n">
        <x:v>45931</x:v>
      </x:c>
      <x:c r="B15" s="130" t="n">
        <x:f>SUMIFS('구독내역'!$D$6:$D$125,'구독내역'!$B$6:$B$125,"&gt;="&amp;A15,'구독내역'!$B$6:$B$125,"&lt;"&amp;EDATE(A15,1))</x:f>
        <x:v>245000</x:v>
      </x:c>
      <x:c r="C15" s="131" t="n">
        <x:f>SUMIFS('구독내역'!$D$6:$D$125,'구독내역'!$C$6:$C$125,"&gt;="&amp;A15,'구독내역'!$C$6:$C$125,"&lt;"&amp;EDATE(A15,1))</x:f>
        <x:v>0</x:v>
      </x:c>
      <x:c r="D15" s="131" t="n">
        <x:f>B15-C15</x:f>
        <x:v>245000</x:v>
      </x:c>
      <x:c r="E15" s="131" t="n">
        <x:f>E14+D15</x:f>
        <x:v>3079000</x:v>
      </x:c>
      <x:c r="F15" s="131" t="n">
        <x:f>COUNTIFS('구독내역'!$B$6:$B$125,"&lt;="&amp;EOMONTH(A15,0))-COUNTIFS('구독내역'!$C$6:$C$125,"&lt;="&amp;EOMONTH(A15,0),'구독내역'!$C$6:$C$125,"&lt;&gt;")</x:f>
        <x:v>50</x:v>
      </x:c>
      <x:c r="G15" s="131" t="n">
        <x:f>IFERROR(E15/F15,0)</x:f>
        <x:v>61580</x:v>
      </x:c>
      <x:c r="H15" s="143" t="n">
        <x:f>IFERROR(C15/(E15-D15),0)</x:f>
        <x:v>0</x:v>
      </x:c>
    </x:row>
    <x:row r="16">
      <x:c r="A16" s="107" t="n">
        <x:v>45962</x:v>
      </x:c>
      <x:c r="B16" s="130" t="n">
        <x:f>SUMIFS('구독내역'!$D$6:$D$125,'구독내역'!$B$6:$B$125,"&gt;="&amp;A16,'구독내역'!$B$6:$B$125,"&lt;"&amp;EDATE(A16,1))</x:f>
        <x:v>495000</x:v>
      </x:c>
      <x:c r="C16" s="131" t="n">
        <x:f>SUMIFS('구독내역'!$D$6:$D$125,'구독내역'!$C$6:$C$125,"&gt;="&amp;A16,'구독내역'!$C$6:$C$125,"&lt;"&amp;EDATE(A16,1))</x:f>
        <x:v>0</x:v>
      </x:c>
      <x:c r="D16" s="131" t="n">
        <x:f>B16-C16</x:f>
        <x:v>495000</x:v>
      </x:c>
      <x:c r="E16" s="131" t="n">
        <x:f>E15+D16</x:f>
        <x:v>3574000</x:v>
      </x:c>
      <x:c r="F16" s="131" t="n">
        <x:f>COUNTIFS('구독내역'!$B$6:$B$125,"&lt;="&amp;EOMONTH(A16,0))-COUNTIFS('구독내역'!$C$6:$C$125,"&lt;="&amp;EOMONTH(A16,0),'구독내역'!$C$6:$C$125,"&lt;&gt;")</x:f>
        <x:v>55</x:v>
      </x:c>
      <x:c r="G16" s="131" t="n">
        <x:f>IFERROR(E16/F16,0)</x:f>
        <x:v>64981.818181818184</x:v>
      </x:c>
      <x:c r="H16" s="143" t="n">
        <x:f>IFERROR(C16/(E16-D16),0)</x:f>
        <x:v>0</x:v>
      </x:c>
    </x:row>
    <x:row r="17">
      <x:c r="A17" s="107" t="n">
        <x:v>45992</x:v>
      </x:c>
      <x:c r="B17" s="130" t="n">
        <x:f>SUMIFS('구독내역'!$D$6:$D$125,'구독내역'!$B$6:$B$125,"&gt;="&amp;A17,'구독내역'!$B$6:$B$125,"&lt;"&amp;EDATE(A17,1))</x:f>
        <x:v>95000</x:v>
      </x:c>
      <x:c r="C17" s="131" t="n">
        <x:f>SUMIFS('구독내역'!$D$6:$D$125,'구독내역'!$C$6:$C$125,"&gt;="&amp;A17,'구독내역'!$C$6:$C$125,"&lt;"&amp;EDATE(A17,1))</x:f>
        <x:v>691000</x:v>
      </x:c>
      <x:c r="D17" s="131" t="n">
        <x:f>B17-C17</x:f>
        <x:v>-596000</x:v>
      </x:c>
      <x:c r="E17" s="131" t="n">
        <x:f>E16+D17</x:f>
        <x:v>2978000</x:v>
      </x:c>
      <x:c r="F17" s="131" t="n">
        <x:f>COUNTIFS('구독내역'!$B$6:$B$125,"&lt;="&amp;EOMONTH(A17,0))-COUNTIFS('구독내역'!$C$6:$C$125,"&lt;="&amp;EOMONTH(A17,0),'구독내역'!$C$6:$C$125,"&lt;&gt;")</x:f>
        <x:v>51</x:v>
      </x:c>
      <x:c r="G17" s="131" t="n">
        <x:f>IFERROR(E17/F17,0)</x:f>
        <x:v>58392.1568627451</x:v>
      </x:c>
      <x:c r="H17" s="143" t="n">
        <x:f>IFERROR(C17/(E17-D17),0)</x:f>
        <x:v>0.19334079462786793</x:v>
      </x:c>
    </x:row>
    <x:row r="18">
      <x:c r="A18" s="107" t="n">
        <x:v>46023</x:v>
      </x:c>
      <x:c r="B18" s="130" t="n">
        <x:f>SUMIFS('구독내역'!$D$6:$D$125,'구독내역'!$B$6:$B$125,"&gt;="&amp;A18,'구독내역'!$B$6:$B$125,"&lt;"&amp;EDATE(A18,1))</x:f>
        <x:v>344000</x:v>
      </x:c>
      <x:c r="C18" s="131" t="n">
        <x:f>SUMIFS('구독내역'!$D$6:$D$125,'구독내역'!$C$6:$C$125,"&gt;="&amp;A18,'구독내역'!$C$6:$C$125,"&lt;"&amp;EDATE(A18,1))</x:f>
        <x:v>49000</x:v>
      </x:c>
      <x:c r="D18" s="131" t="n">
        <x:f>B18-C18</x:f>
        <x:v>295000</x:v>
      </x:c>
      <x:c r="E18" s="131" t="n">
        <x:f>E17+D18</x:f>
        <x:v>3273000</x:v>
      </x:c>
      <x:c r="F18" s="131" t="n">
        <x:f>COUNTIFS('구독내역'!$B$6:$B$125,"&lt;="&amp;EOMONTH(A18,0))-COUNTIFS('구독내역'!$C$6:$C$125,"&lt;="&amp;EOMONTH(A18,0),'구독내역'!$C$6:$C$125,"&lt;&gt;")</x:f>
        <x:v>56</x:v>
      </x:c>
      <x:c r="G18" s="131"/>
      <x:c r="H18" s="143" t="n">
        <x:f>IFERROR(C18/(E18-D18),0)</x:f>
        <x:v>0.016453995970449966</x:v>
      </x:c>
    </x:row>
    <x:row r="19">
      <x:c r="A19" s="107" t="n">
        <x:v>46054</x:v>
      </x:c>
      <x:c r="B19" s="130" t="n">
        <x:f>SUMIFS('구독내역'!$D$6:$D$125,'구독내역'!$B$6:$B$125,"&gt;="&amp;A19,'구독내역'!$B$6:$B$125,"&lt;"&amp;EDATE(A19,1))</x:f>
        <x:v>415000</x:v>
      </x:c>
      <x:c r="C19" s="131" t="n">
        <x:f>SUMIFS('구독내역'!$D$6:$D$125,'구독내역'!$C$6:$C$125,"&gt;="&amp;A19,'구독내역'!$C$6:$C$125,"&lt;"&amp;EDATE(A19,1))</x:f>
        <x:v>0</x:v>
      </x:c>
      <x:c r="D19" s="131" t="n">
        <x:f>B19-C19</x:f>
        <x:v>415000</x:v>
      </x:c>
      <x:c r="E19" s="131" t="n">
        <x:f>E18+D19</x:f>
        <x:v>3688000</x:v>
      </x:c>
      <x:c r="F19" s="131" t="n">
        <x:f>COUNTIFS('구독내역'!$B$6:$B$125,"&lt;="&amp;EOMONTH(A19,0))-COUNTIFS('구독내역'!$C$6:$C$125,"&lt;="&amp;EOMONTH(A19,0),'구독내역'!$C$6:$C$125,"&lt;&gt;")</x:f>
        <x:v>61</x:v>
      </x:c>
      <x:c r="G19" s="131" t="n">
        <x:f>IFERROR(E19/F19,0)</x:f>
        <x:v>60459.016393442624</x:v>
      </x:c>
      <x:c r="H19" s="143" t="n">
        <x:f>IFERROR(C19/(E19-D19),0)</x:f>
        <x:v>0</x:v>
      </x:c>
    </x:row>
    <x:row r="20">
      <x:c r="A20" s="107" t="n">
        <x:v>46082</x:v>
      </x:c>
      <x:c r="B20" s="130" t="n">
        <x:f>SUMIFS('구독내역'!$D$6:$D$125,'구독내역'!$B$6:$B$125,"&gt;="&amp;A20,'구독내역'!$B$6:$B$125,"&lt;"&amp;EDATE(A20,1))</x:f>
        <x:v>174000</x:v>
      </x:c>
      <x:c r="C20" s="131" t="n">
        <x:f>SUMIFS('구독내역'!$D$6:$D$125,'구독내역'!$C$6:$C$125,"&gt;="&amp;A20,'구독내역'!$C$6:$C$125,"&lt;"&amp;EDATE(A20,1))</x:f>
        <x:v>0</x:v>
      </x:c>
      <x:c r="D20" s="131" t="n">
        <x:f>B20-C20</x:f>
        <x:v>174000</x:v>
      </x:c>
      <x:c r="E20" s="131" t="n">
        <x:f>E19+D20</x:f>
        <x:v>3862000</x:v>
      </x:c>
      <x:c r="F20" s="131" t="n">
        <x:f>COUNTIFS('구독내역'!$B$6:$B$125,"&lt;="&amp;EOMONTH(A20,0))-COUNTIFS('구독내역'!$C$6:$C$125,"&lt;="&amp;EOMONTH(A20,0),'구독내역'!$C$6:$C$125,"&lt;&gt;")</x:f>
        <x:v>67</x:v>
      </x:c>
      <x:c r="G20" s="131" t="n">
        <x:f>IFERROR(E20/F20,0)</x:f>
        <x:v>57641.79104477612</x:v>
      </x:c>
      <x:c r="H20" s="143" t="n">
        <x:f>IFERROR(C20/(E20-D20),0)</x:f>
        <x:v>0</x:v>
      </x:c>
    </x:row>
    <x:row r="21">
      <x:c r="A21" s="107" t="n">
        <x:v>46113</x:v>
      </x:c>
      <x:c r="B21" s="130" t="n">
        <x:f>SUMIFS('구독내역'!$D$6:$D$125,'구독내역'!$B$6:$B$125,"&gt;="&amp;A21,'구독내역'!$B$6:$B$125,"&lt;"&amp;EDATE(A21,1))</x:f>
        <x:v>345000</x:v>
      </x:c>
      <x:c r="C21" s="131" t="n">
        <x:f>SUMIFS('구독내역'!$D$6:$D$125,'구독내역'!$C$6:$C$125,"&gt;="&amp;A21,'구독내역'!$C$6:$C$125,"&lt;"&amp;EDATE(A21,1))</x:f>
        <x:v>0</x:v>
      </x:c>
      <x:c r="D21" s="131" t="n">
        <x:f>B21-C21</x:f>
        <x:v>345000</x:v>
      </x:c>
      <x:c r="E21" s="131" t="n">
        <x:f>E20+D21</x:f>
        <x:v>4207000</x:v>
      </x:c>
      <x:c r="F21" s="131" t="n">
        <x:f>COUNTIFS('구독내역'!$B$6:$B$125,"&lt;="&amp;EOMONTH(A21,0))-COUNTIFS('구독내역'!$C$6:$C$125,"&lt;="&amp;EOMONTH(A21,0),'구독내역'!$C$6:$C$125,"&lt;&gt;")</x:f>
        <x:v>72</x:v>
      </x:c>
      <x:c r="G21" s="131" t="n">
        <x:f>IFERROR(E21/F21,0)</x:f>
        <x:v>58430.555555555555</x:v>
      </x:c>
      <x:c r="H21" s="143" t="n">
        <x:f>IFERROR(C21/(E21-D21),0)</x:f>
        <x:v>0</x:v>
      </x:c>
    </x:row>
    <x:row r="22">
      <x:c r="A22" s="107" t="n">
        <x:v>46143</x:v>
      </x:c>
      <x:c r="B22" s="130" t="n">
        <x:f>SUMIFS('구독내역'!$D$6:$D$125,'구독내역'!$B$6:$B$125,"&gt;="&amp;A22,'구독내역'!$B$6:$B$125,"&lt;"&amp;EDATE(A22,1))</x:f>
        <x:v>354000</x:v>
      </x:c>
      <x:c r="C22" s="131" t="n">
        <x:f>SUMIFS('구독내역'!$D$6:$D$125,'구독내역'!$C$6:$C$125,"&gt;="&amp;A22,'구독내역'!$C$6:$C$125,"&lt;"&amp;EDATE(A22,1))</x:f>
        <x:v>0</x:v>
      </x:c>
      <x:c r="D22" s="131" t="n">
        <x:f>B22-C22</x:f>
        <x:v>354000</x:v>
      </x:c>
      <x:c r="E22" s="131" t="n">
        <x:f>E21+D22</x:f>
        <x:v>4561000</x:v>
      </x:c>
      <x:c r="F22" s="131" t="n">
        <x:f>COUNTIFS('구독내역'!$B$6:$B$125,"&lt;="&amp;EOMONTH(A22,0))-COUNTIFS('구독내역'!$C$6:$C$125,"&lt;="&amp;EOMONTH(A22,0),'구독내역'!$C$6:$C$125,"&lt;&gt;")</x:f>
        <x:v>78</x:v>
      </x:c>
      <x:c r="G22" s="131" t="n">
        <x:f>IFERROR(E22/F22,0)</x:f>
        <x:v>58474.35897435898</x:v>
      </x:c>
      <x:c r="H22" s="143" t="n">
        <x:f>IFERROR(C22/(E22-D22),0)</x:f>
        <x:v>0</x:v>
      </x:c>
    </x:row>
    <x:row r="23">
      <x:c r="A23" s="107" t="n">
        <x:v>46174</x:v>
      </x:c>
      <x:c r="B23" s="130" t="n">
        <x:f>SUMIFS('구독내역'!$D$6:$D$125,'구독내역'!$B$6:$B$125,"&gt;="&amp;A23,'구독내역'!$B$6:$B$125,"&lt;"&amp;EDATE(A23,1))</x:f>
        <x:v>185000</x:v>
      </x:c>
      <x:c r="C23" s="131" t="n">
        <x:f>SUMIFS('구독내역'!$D$6:$D$125,'구독내역'!$C$6:$C$125,"&gt;="&amp;A23,'구독내역'!$C$6:$C$125,"&lt;"&amp;EDATE(A23,1))</x:f>
        <x:v>0</x:v>
      </x:c>
      <x:c r="D23" s="131" t="n">
        <x:f>B23-C23</x:f>
        <x:v>185000</x:v>
      </x:c>
      <x:c r="E23" s="131" t="n">
        <x:f>E22+D23</x:f>
        <x:v>4746000</x:v>
      </x:c>
      <x:c r="F23" s="131" t="n">
        <x:f>COUNTIFS('구독내역'!$B$6:$B$125,"&lt;="&amp;EOMONTH(A23,0))-COUNTIFS('구독내역'!$C$6:$C$125,"&lt;="&amp;EOMONTH(A23,0),'구독내역'!$C$6:$C$125,"&lt;&gt;")</x:f>
        <x:v>83</x:v>
      </x:c>
      <x:c r="G23" s="131" t="n">
        <x:f>IFERROR(E23/F23,0)</x:f>
        <x:v>57180.72289156626</x:v>
      </x:c>
      <x:c r="H23" s="143" t="n">
        <x:f>IFERROR(C23/E23,0)</x:f>
        <x:v>0</x:v>
      </x:c>
    </x:row>
    <x:row r="24">
      <x:c r="A24" s="107" t="n">
        <x:v>46204</x:v>
      </x:c>
      <x:c r="B24" s="130" t="n">
        <x:f>SUMIFS('구독내역'!$D$6:$D$125,'구독내역'!$B$6:$B$125,"&gt;="&amp;A24,'구독내역'!$B$6:$B$125,"&lt;"&amp;EDATE(A24,1))</x:f>
        <x:v>593000</x:v>
      </x:c>
      <x:c r="C24" s="131" t="n">
        <x:f>SUMIFS('구독내역'!$D$6:$D$125,'구독내역'!$C$6:$C$125,"&gt;="&amp;A24,'구독내역'!$C$6:$C$125,"&lt;"&amp;EDATE(A24,1))</x:f>
        <x:v>166000</x:v>
      </x:c>
      <x:c r="D24" s="131" t="n">
        <x:f>B24-C24</x:f>
        <x:v>427000</x:v>
      </x:c>
      <x:c r="E24" s="131" t="n">
        <x:f>E23+D24</x:f>
        <x:v>5173000</x:v>
      </x:c>
      <x:c r="F24" s="131" t="n">
        <x:f>COUNTIFS('구독내역'!$B$6:$B$125,"&lt;="&amp;EOMONTH(A24,0))-COUNTIFS('구독내역'!$C$6:$C$125,"&lt;="&amp;EOMONTH(A24,0),'구독내역'!$C$6:$C$125,"&lt;&gt;")</x:f>
        <x:v>86</x:v>
      </x:c>
      <x:c r="G24" s="131" t="n">
        <x:f>IFERROR(E24/F24,0)</x:f>
        <x:v>60151.16279069767</x:v>
      </x:c>
      <x:c r="H24" s="143" t="n">
        <x:f>IFERROR(C24/(E24-D24),0)</x:f>
        <x:v>0.03497682258744206</x:v>
      </x:c>
    </x:row>
    <x:row r="25">
      <x:c r="A25" s="107" t="n">
        <x:v>46235</x:v>
      </x:c>
      <x:c r="B25" s="130" t="n">
        <x:f>SUMIFS('구독내역'!$D$6:$D$125,'구독내역'!$B$6:$B$125,"&gt;="&amp;A25,'구독내역'!$B$6:$B$125,"&lt;"&amp;EDATE(A25,1))</x:f>
        <x:v>95000</x:v>
      </x:c>
      <x:c r="C25" s="131" t="n">
        <x:f>SUMIFS('구독내역'!$D$6:$D$125,'구독내역'!$C$6:$C$125,"&gt;="&amp;A25,'구독내역'!$C$6:$C$125,"&lt;"&amp;EDATE(A25,1))</x:f>
        <x:v>174000</x:v>
      </x:c>
      <x:c r="D25" s="131" t="n">
        <x:f>B25-C25</x:f>
        <x:v>-79000</x:v>
      </x:c>
      <x:c r="E25" s="131" t="n">
        <x:f>E24+D25</x:f>
        <x:v>5094000</x:v>
      </x:c>
      <x:c r="F25" s="131" t="n">
        <x:f>COUNTIFS('구독내역'!$B$6:$B$125,"&lt;="&amp;EOMONTH(A25,0))-COUNTIFS('구독내역'!$C$6:$C$125,"&lt;="&amp;EOMONTH(A25,0),'구독내역'!$C$6:$C$125,"&lt;&gt;")</x:f>
        <x:v>85</x:v>
      </x:c>
      <x:c r="G25" s="131" t="n">
        <x:f>IFERROR(E25/F25,0)</x:f>
        <x:v>59929.41176470588</x:v>
      </x:c>
      <x:c r="H25" s="143" t="n">
        <x:f>IFERROR(C25/(E25-D25),0)</x:f>
        <x:v>0.03363618789870482</x:v>
      </x:c>
    </x:row>
    <x:row r="26">
      <x:c r="A26" s="107" t="n">
        <x:v>46266</x:v>
      </x:c>
      <x:c r="B26" s="130" t="n">
        <x:f>SUMIFS('구독내역'!$D$6:$D$125,'구독내역'!$B$6:$B$125,"&gt;="&amp;A26,'구독내역'!$B$6:$B$125,"&lt;"&amp;EDATE(A26,1))</x:f>
        <x:v>245000</x:v>
      </x:c>
      <x:c r="C26" s="131" t="n">
        <x:f>SUMIFS('구독내역'!$D$6:$D$125,'구독내역'!$C$6:$C$125,"&gt;="&amp;A26,'구독내역'!$C$6:$C$125,"&lt;"&amp;EDATE(A26,1))</x:f>
        <x:v>0</x:v>
      </x:c>
      <x:c r="D26" s="131" t="n">
        <x:f>B26-C26</x:f>
        <x:v>245000</x:v>
      </x:c>
      <x:c r="E26" s="131" t="n">
        <x:f>E25+D26</x:f>
        <x:v>5339000</x:v>
      </x:c>
      <x:c r="F26" s="131" t="n">
        <x:f>COUNTIFS('구독내역'!$B$6:$B$125,"&lt;="&amp;EOMONTH(A26,0))-COUNTIFS('구독내역'!$C$6:$C$125,"&lt;="&amp;EOMONTH(A26,0),'구독내역'!$C$6:$C$125,"&lt;&gt;")</x:f>
        <x:v>90</x:v>
      </x:c>
      <x:c r="G26" s="131" t="n">
        <x:f>IFERROR(E26/F26,0)</x:f>
        <x:v>59322.22222222222</x:v>
      </x:c>
      <x:c r="H26" s="143" t="n">
        <x:f>IFERROR(C26/(E26-D26),0)</x:f>
        <x:v>0</x:v>
      </x:c>
    </x:row>
    <x:row r="27">
      <x:c r="A27" s="107" t="n">
        <x:v>46296</x:v>
      </x:c>
      <x:c r="B27" s="130" t="n">
        <x:f>SUMIFS('구독내역'!$D$6:$D$125,'구독내역'!$B$6:$B$125,"&gt;="&amp;A27,'구독내역'!$B$6:$B$125,"&lt;"&amp;EDATE(A27,1))</x:f>
        <x:v>495000</x:v>
      </x:c>
      <x:c r="C27" s="131" t="n">
        <x:f>SUMIFS('구독내역'!$D$6:$D$125,'구독내역'!$C$6:$C$125,"&gt;="&amp;A27,'구독내역'!$C$6:$C$125,"&lt;"&amp;EDATE(A27,1))</x:f>
        <x:v>0</x:v>
      </x:c>
      <x:c r="D27" s="131" t="n">
        <x:f>B27-C27</x:f>
        <x:v>495000</x:v>
      </x:c>
      <x:c r="E27" s="131" t="n">
        <x:f>E26+D27</x:f>
        <x:v>5834000</x:v>
      </x:c>
      <x:c r="F27" s="131" t="n">
        <x:f>COUNTIFS('구독내역'!$B$6:$B$125,"&lt;="&amp;EOMONTH(A27,0))-COUNTIFS('구독내역'!$C$6:$C$125,"&lt;="&amp;EOMONTH(A27,0),'구독내역'!$C$6:$C$125,"&lt;&gt;")</x:f>
        <x:v>95</x:v>
      </x:c>
      <x:c r="G27" s="131" t="n">
        <x:f>IFERROR(E27/F27,0)</x:f>
        <x:v>61410.52631578947</x:v>
      </x:c>
      <x:c r="H27" s="143" t="n">
        <x:f>IFERROR(C27/(E27-D27),0)</x:f>
        <x:v>0</x:v>
      </x:c>
    </x:row>
    <x:row r="28">
      <x:c r="A28" s="107" t="n">
        <x:v>46327</x:v>
      </x:c>
      <x:c r="B28" s="130" t="n">
        <x:f>SUMIFS('구독내역'!$D$6:$D$125,'구독내역'!$B$6:$B$125,"&gt;="&amp;A28,'구독내역'!$B$6:$B$125,"&lt;"&amp;EDATE(A28,1))</x:f>
        <x:v>0</x:v>
      </x:c>
      <x:c r="C28" s="131" t="n">
        <x:f>SUMIFS('구독내역'!$D$6:$D$125,'구독내역'!$C$6:$C$125,"&gt;="&amp;A28,'구독내역'!$C$6:$C$125,"&lt;"&amp;EDATE(A28,1))</x:f>
        <x:v>0</x:v>
      </x:c>
      <x:c r="D28" s="131" t="n">
        <x:f>B28-C28</x:f>
        <x:v>0</x:v>
      </x:c>
      <x:c r="E28" s="131" t="n">
        <x:f>E27+D28</x:f>
        <x:v>5834000</x:v>
      </x:c>
      <x:c r="F28" s="131" t="n">
        <x:f>COUNTIFS('구독내역'!$B$6:$B$125,"&lt;="&amp;EOMONTH(A28,0))-COUNTIFS('구독내역'!$C$6:$C$125,"&lt;="&amp;EOMONTH(A28,0),'구독내역'!$C$6:$C$125,"&lt;&gt;")</x:f>
        <x:v>95</x:v>
      </x:c>
      <x:c r="G28" s="131" t="n">
        <x:f>IFERROR(E28/F28,0)</x:f>
        <x:v>61410.52631578947</x:v>
      </x:c>
      <x:c r="H28" s="143" t="n">
        <x:f>IFERROR(C28/(E28-D28),0)</x:f>
        <x:v>0</x:v>
      </x:c>
    </x:row>
    <x:row r="29">
      <x:c r="A29" s="108" t="n">
        <x:v>46357</x:v>
      </x:c>
      <x:c r="B29" s="132" t="n">
        <x:f>SUMIFS('구독내역'!$D$6:$D$125,'구독내역'!$B$6:$B$125,"&gt;="&amp;A29,'구독내역'!$B$6:$B$125,"&lt;"&amp;EDATE(A29,1))</x:f>
        <x:v>0</x:v>
      </x:c>
      <x:c r="C29" s="133" t="n">
        <x:f>SUMIFS('구독내역'!$D$6:$D$125,'구독내역'!$C$6:$C$125,"&gt;="&amp;A29,'구독내역'!$C$6:$C$125,"&lt;"&amp;EDATE(A29,1))</x:f>
        <x:v>0</x:v>
      </x:c>
      <x:c r="D29" s="133" t="n">
        <x:f>B29-C29</x:f>
        <x:v>0</x:v>
      </x:c>
      <x:c r="E29" s="133" t="n">
        <x:f>E28+D29</x:f>
        <x:v>5834000</x:v>
      </x:c>
      <x:c r="F29" s="133" t="n">
        <x:f>COUNTIFS('구독내역'!$B$6:$B$125,"&lt;="&amp;EOMONTH(A29,0))-COUNTIFS('구독내역'!$C$6:$C$125,"&lt;="&amp;EOMONTH(A29,0),'구독내역'!$C$6:$C$125,"&lt;&gt;")</x:f>
        <x:v>95</x:v>
      </x:c>
      <x:c r="G29" s="133" t="n">
        <x:f>IFERROR(E29/F29,0)</x:f>
        <x:v>61410.52631578947</x:v>
      </x:c>
      <x:c r="H29" s="144" t="n">
        <x:f>IFERROR(C29/(E29-D29),0)</x:f>
        <x:v>0</x:v>
      </x:c>
    </x:row>
    <x:row r="30">
      <x:c r="A30" s="152" t="str">
        <x:v>24개월 합계/평균</x:v>
      </x:c>
      <x:c r="B30" s="153" t="n">
        <x:f>SUM(B6:B29)</x:f>
        <x:v>6854000</x:v>
      </x:c>
      <x:c r="C30" s="153" t="n">
        <x:f>SUM(C6:C29)</x:f>
        <x:v>1175000</x:v>
      </x:c>
      <x:c r="D30" s="153" t="n">
        <x:f>SUM(D6:D29)</x:f>
        <x:v>5834000</x:v>
      </x:c>
      <x:c r="E30" s="153" t="str"/>
      <x:c r="F30" s="154" t="n">
        <x:f>AVERAGE(F6:F29)</x:f>
        <x:v>56</x:v>
      </x:c>
      <x:c r="G30" s="154" t="n">
        <x:f>AVERAGE(G6:G29)</x:f>
        <x:v>57578.20520226495</x:v>
      </x:c>
      <x:c r="H30" s="155" t="n">
        <x:f>AVERAGE(H6:H29)</x:f>
        <x:v>0.015450843851930518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구독 KPI 요약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최근월 기말MRR·활성고객·ARPU·해지율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65" t="str">
        <x:v>최근 기말MRR</x:v>
      </x:c>
      <x:c r="B5" s="165"/>
      <x:c r="C5" s="165" t="str">
        <x:v>활성고객</x:v>
      </x:c>
      <x:c r="D5" s="165"/>
      <x:c r="E5" s="165" t="str">
        <x:v>ARPU</x:v>
      </x:c>
      <x:c r="F5" s="165"/>
      <x:c r="G5" s="165" t="str">
        <x:v>해지율</x:v>
      </x:c>
      <x:c r="H5" s="165"/>
    </x:row>
    <x:row r="6">
      <x:c r="A6" s="170" t="n">
        <x:f>'월별KPI'!E29</x:f>
        <x:v>5834000</x:v>
      </x:c>
      <x:c r="B6" s="170"/>
      <x:c r="C6" s="170" t="n">
        <x:f>'월별KPI'!F29</x:f>
        <x:v>95</x:v>
      </x:c>
      <x:c r="D6" s="170"/>
      <x:c r="E6" s="170" t="n">
        <x:f>'월별KPI'!G29</x:f>
        <x:v>61410.52631578947</x:v>
      </x:c>
      <x:c r="F6" s="170"/>
      <x:c r="G6" s="170" t="n">
        <x:f>'월별KPI'!H29</x:f>
        <x:v>0</x:v>
      </x:c>
      <x:c r="H6" s="170"/>
    </x:row>
    <x:row r="7">
      <x:c r="A7" s="170"/>
      <x:c r="B7" s="170"/>
      <x:c r="C7" s="170"/>
      <x:c r="D7" s="170"/>
      <x:c r="E7" s="170"/>
      <x:c r="F7" s="170"/>
      <x:c r="G7" s="170"/>
      <x:c r="H7" s="170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