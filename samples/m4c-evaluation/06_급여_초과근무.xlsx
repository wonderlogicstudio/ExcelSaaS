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718158c7efc489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안내" sheetId="1" r:id="Rd4ab040e2b4144a6"/>
    <x:sheet xmlns:r="http://schemas.openxmlformats.org/officeDocument/2006/relationships" name="직원" sheetId="2" r:id="R08db773d5d494bf6"/>
    <x:sheet xmlns:r="http://schemas.openxmlformats.org/officeDocument/2006/relationships" name="근태" sheetId="3" r:id="Ra7007538f57a481f"/>
    <x:sheet xmlns:r="http://schemas.openxmlformats.org/officeDocument/2006/relationships" name="급여계산" sheetId="4" r:id="R84d860e808a94560"/>
    <x:sheet xmlns:r="http://schemas.openxmlformats.org/officeDocument/2006/relationships" name="요약" sheetId="5" r:id="R86d8c1e0870c4df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#,##0"/>
    <x:numFmt numFmtId="201" formatCode="yyyy-mm-dd"/>
    <x:numFmt numFmtId="202" formatCode="0.0"/>
  </x:numFmts>
  <x:fonts count="9">
    <x:font>
      <x:sz val="11"/>
      <x:name val="Carlito"/>
    </x:font>
    <x:font>
      <x:b/>
      <x:sz val="18"/>
      <x:color rgb="FFFFFFFF"/>
      <x:name val="Carlito"/>
    </x:font>
    <x:font>
      <x:i/>
      <x:sz val="10"/>
      <x:color rgb="FF595959"/>
      <x:name val="Carlito"/>
    </x:font>
    <x:font>
      <x:sz val="9"/>
      <x:color rgb="FF666666"/>
      <x:name val="Carlito"/>
    </x:font>
    <x:font>
      <x:b/>
      <x:sz val="11"/>
      <x:color rgb="FFFFFFFF"/>
      <x:name val="Carlito"/>
    </x:font>
    <x:font>
      <x:b/>
      <x:sz val="11"/>
      <x:name val="Carlito"/>
    </x:font>
    <x:font>
      <x:i/>
      <x:sz val="11"/>
      <x:color rgb="FF9C0006"/>
      <x:name val="Carlito"/>
    </x:font>
    <x:font>
      <x:b/>
      <x:sz val="11"/>
      <x:color rgb="FF595959"/>
      <x:name val="Carlito"/>
    </x:font>
    <x:font>
      <x:b/>
      <x:sz val="16"/>
      <x:color rgb="FF17365D"/>
      <x:name val="Carlito"/>
    </x:font>
  </x:fonts>
  <x:fills count="12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F2F2F2"/>
      </x:patternFill>
    </x:fill>
    <x:fill>
      <x:patternFill patternType="solid">
        <x:fgColor rgb="FF2F75B5"/>
      </x:patternFill>
    </x:fill>
    <x:fill>
      <x:patternFill patternType="solid">
        <x:fgColor rgb="FFE7E6E6"/>
      </x:patternFill>
    </x:fill>
    <x:fill>
      <x:patternFill patternType="solid">
        <x:fgColor rgb="FFFFFFFF"/>
      </x:patternFill>
    </x:fill>
    <x:fill>
      <x:patternFill patternType="solid">
        <x:fgColor rgb="FFDDEBF7"/>
      </x:patternFill>
    </x:fill>
    <x:fill>
      <x:patternFill patternType="solid">
        <x:fgColor rgb="FFFFF2CC"/>
      </x:patternFill>
    </x:fill>
    <x:fill>
      <x:patternFill patternType="solid">
        <x:fgColor rgb="FF0F6B78"/>
      </x:patternFill>
    </x:fill>
    <x:fill>
      <x:patternFill patternType="solid">
        <x:fgColor rgb="FFFCE4D6"/>
      </x:patternFill>
    </x:fill>
  </x:fills>
  <x:borders count="42">
    <x:border/>
    <x:border/>
    <x:border>
      <x:left style="thin">
        <x:color rgb="FFB4C6E7"/>
      </x:left>
      <x:top style="thin">
        <x:color rgb="FFB4C6E7"/>
      </x:top>
      <x:bottom style="thin">
        <x:color rgb="FFB4C6E7"/>
      </x:bottom>
    </x:border>
    <x:border>
      <x:right style="thin">
        <x:color rgb="FFB4C6E7"/>
      </x:right>
      <x:top style="thin">
        <x:color rgb="FFB4C6E7"/>
      </x:top>
      <x:bottom style="thin">
        <x:color rgb="FFB4C6E7"/>
      </x:bottom>
    </x:border>
    <x:border>
      <x:left style="thin">
        <x:color rgb="FFB4C6E7"/>
      </x:left>
      <x:top style="thin">
        <x:color rgb="FFB4C6E7"/>
      </x:top>
      <x:bottom style="thin">
        <x:color rgb="FFB4C6E7"/>
      </x:bottom>
    </x:border>
    <x:border>
      <x:right style="thin">
        <x:color rgb="FFB4C6E7"/>
      </x:right>
      <x:top style="thin">
        <x:color rgb="FFB4C6E7"/>
      </x:top>
      <x:bottom style="thin">
        <x:color rgb="FFB4C6E7"/>
      </x:bottom>
    </x:border>
    <x:border>
      <x:top style="thin">
        <x:color rgb="FFB4C6E7"/>
      </x:top>
      <x:bottom style="thin">
        <x:color rgb="FFB4C6E7"/>
      </x:bottom>
    </x:border>
    <x:border>
      <x:top style="thin">
        <x:color rgb="FFB4C6E7"/>
      </x:top>
      <x:bottom style="thin">
        <x:color rgb="FFB4C6E7"/>
      </x:bottom>
    </x:border>
    <x:border>
      <x:left style="hair">
        <x:color rgb="FFD9D9D9"/>
      </x:left>
      <x:top style="hair">
        <x:color rgb="FFD9D9D9"/>
      </x:top>
    </x:border>
    <x:border>
      <x:top style="hair">
        <x:color rgb="FFD9D9D9"/>
      </x:top>
    </x:border>
    <x:border>
      <x:right style="hair">
        <x:color rgb="FFD9D9D9"/>
      </x:right>
      <x:top style="hair">
        <x:color rgb="FFD9D9D9"/>
      </x:top>
    </x:border>
    <x:border>
      <x:left style="hair">
        <x:color rgb="FFD9D9D9"/>
      </x:left>
    </x:border>
    <x:border>
      <x:right style="hair">
        <x:color rgb="FFD9D9D9"/>
      </x:right>
    </x:border>
    <x:border>
      <x:left style="hair">
        <x:color rgb="FFD9D9D9"/>
      </x:left>
      <x:bottom style="hair">
        <x:color rgb="FFD9D9D9"/>
      </x:bottom>
    </x:border>
    <x:border>
      <x:bottom style="hair">
        <x:color rgb="FFD9D9D9"/>
      </x:bottom>
    </x:border>
    <x:border>
      <x:right style="hair">
        <x:color rgb="FFD9D9D9"/>
      </x:right>
      <x:bottom style="hair">
        <x:color rgb="FFD9D9D9"/>
      </x:bottom>
    </x:border>
    <x:border>
      <x:left style="hair">
        <x:color rgb="FFD9D9D9"/>
      </x:left>
      <x:top style="hair">
        <x:color rgb="FFD9D9D9"/>
      </x:top>
    </x:border>
    <x:border>
      <x:top style="hair">
        <x:color rgb="FFD9D9D9"/>
      </x:top>
    </x:border>
    <x:border>
      <x:right style="hair">
        <x:color rgb="FFD9D9D9"/>
      </x:right>
      <x:top style="hair">
        <x:color rgb="FFD9D9D9"/>
      </x:top>
    </x:border>
    <x:border>
      <x:left style="hair">
        <x:color rgb="FFD9D9D9"/>
      </x:left>
    </x:border>
    <x:border>
      <x:right style="hair">
        <x:color rgb="FFD9D9D9"/>
      </x:right>
    </x:border>
    <x:border>
      <x:left style="hair">
        <x:color rgb="FFD9D9D9"/>
      </x:left>
      <x:bottom style="hair">
        <x:color rgb="FFD9D9D9"/>
      </x:bottom>
    </x:border>
    <x:border>
      <x:bottom style="hair">
        <x:color rgb="FFD9D9D9"/>
      </x:bottom>
    </x:border>
    <x:border>
      <x:right style="hair">
        <x:color rgb="FFD9D9D9"/>
      </x:right>
      <x:bottom style="hair">
        <x:color rgb="FFD9D9D9"/>
      </x:bottom>
    </x:border>
    <x:border>
      <x:left style="hair">
        <x:color rgb="FFD9D9D9"/>
      </x:left>
      <x:right style="hair">
        <x:color rgb="FFD9D9D9"/>
      </x:right>
      <x:top style="hair">
        <x:color rgb="FFD9D9D9"/>
      </x:top>
    </x:border>
    <x:border>
      <x:left style="hair">
        <x:color rgb="FFD9D9D9"/>
      </x:left>
      <x:right style="hair">
        <x:color rgb="FFD9D9D9"/>
      </x:right>
    </x:border>
    <x:border>
      <x:left style="hair">
        <x:color rgb="FFD9D9D9"/>
      </x:left>
      <x:right style="hair">
        <x:color rgb="FFD9D9D9"/>
      </x:right>
      <x:bottom style="hair">
        <x:color rgb="FFD9D9D9"/>
      </x:bottom>
    </x:border>
    <x:border>
      <x:left style="hair">
        <x:color rgb="FFD9D9D9"/>
      </x:left>
      <x:right style="hair">
        <x:color rgb="FFD9D9D9"/>
      </x:right>
      <x:top style="hair">
        <x:color rgb="FFD9D9D9"/>
      </x:top>
    </x:border>
    <x:border>
      <x:left style="hair">
        <x:color rgb="FFD9D9D9"/>
      </x:left>
      <x:right style="hair">
        <x:color rgb="FFD9D9D9"/>
      </x:right>
    </x:border>
    <x:border>
      <x:left style="hair">
        <x:color rgb="FFD9D9D9"/>
      </x:left>
      <x:right style="hair">
        <x:color rgb="FFD9D9D9"/>
      </x:right>
      <x:bottom style="hair">
        <x:color rgb="FFD9D9D9"/>
      </x:bottom>
    </x:border>
    <x:border>
      <x:left style="thin">
        <x:color rgb="FF0F6B78"/>
      </x:left>
      <x:top style="thin">
        <x:color rgb="FF0F6B78"/>
      </x:top>
      <x:bottom style="thin">
        <x:color rgb="FF0F6B78"/>
      </x:bottom>
    </x:border>
    <x:border>
      <x:top style="thin">
        <x:color rgb="FF0F6B78"/>
      </x:top>
      <x:bottom style="thin">
        <x:color rgb="FF0F6B78"/>
      </x:bottom>
    </x:border>
    <x:border>
      <x:right style="thin">
        <x:color rgb="FF0F6B78"/>
      </x:right>
      <x:top style="thin">
        <x:color rgb="FF0F6B78"/>
      </x:top>
      <x:bottom style="thin">
        <x:color rgb="FF0F6B78"/>
      </x:bottom>
    </x:border>
    <x:border>
      <x:left style="thin">
        <x:color rgb="FF0F6B78"/>
      </x:left>
      <x:top style="thin">
        <x:color rgb="FF0F6B78"/>
      </x:top>
      <x:bottom style="thin">
        <x:color rgb="FF0F6B78"/>
      </x:bottom>
    </x:border>
    <x:border>
      <x:top style="thin">
        <x:color rgb="FF0F6B78"/>
      </x:top>
      <x:bottom style="thin">
        <x:color rgb="FF0F6B78"/>
      </x:bottom>
    </x:border>
    <x:border>
      <x:right style="thin">
        <x:color rgb="FF0F6B78"/>
      </x:right>
      <x:top style="thin">
        <x:color rgb="FF0F6B78"/>
      </x:top>
      <x:bottom style="thin">
        <x:color rgb="FF0F6B78"/>
      </x:bottom>
    </x:border>
    <x:border>
      <x:left style="thin">
        <x:color rgb="FFF4B084"/>
      </x:left>
      <x:top style="thin">
        <x:color rgb="FFF4B084"/>
      </x:top>
      <x:bottom style="thin">
        <x:color rgb="FFF4B084"/>
      </x:bottom>
    </x:border>
    <x:border>
      <x:top style="thin">
        <x:color rgb="FFF4B084"/>
      </x:top>
      <x:bottom style="thin">
        <x:color rgb="FFF4B084"/>
      </x:bottom>
    </x:border>
    <x:border>
      <x:right style="thin">
        <x:color rgb="FFF4B084"/>
      </x:right>
      <x:top style="thin">
        <x:color rgb="FFF4B084"/>
      </x:top>
      <x:bottom style="thin">
        <x:color rgb="FFF4B084"/>
      </x:bottom>
    </x:border>
    <x:border>
      <x:left style="thin">
        <x:color rgb="FFF4B084"/>
      </x:left>
      <x:top style="thin">
        <x:color rgb="FFF4B084"/>
      </x:top>
      <x:bottom style="thin">
        <x:color rgb="FFF4B084"/>
      </x:bottom>
    </x:border>
    <x:border>
      <x:top style="thin">
        <x:color rgb="FFF4B084"/>
      </x:top>
      <x:bottom style="thin">
        <x:color rgb="FFF4B084"/>
      </x:bottom>
    </x:border>
    <x:border>
      <x:right style="thin">
        <x:color rgb="FFF4B084"/>
      </x:right>
      <x:top style="thin">
        <x:color rgb="FFF4B084"/>
      </x:top>
      <x:bottom style="thin">
        <x:color rgb="FFF4B084"/>
      </x:bottom>
    </x:border>
  </x:borders>
  <x:cellStyleXfs count="1">
    <x:xf numFmtId="0" fontId="0" fillId="0" borderId="0"/>
  </x:cellStyleXfs>
  <x:cellXfs count="20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vertical="center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vertical="center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2" xfId="0" applyNumberFormat="1" applyFont="1" applyFill="1" applyBorder="1"/>
    <x:xf numFmtId="0" fontId="4" fillId="5" borderId="3" xfId="0" applyNumberFormat="1" applyFont="1" applyFill="1" applyBorder="1"/>
    <x:xf numFmtId="0" fontId="4" fillId="5" borderId="2" xfId="0" applyNumberFormat="1" applyFont="1" applyFill="1" applyBorder="1" applyAlignment="1">
      <x:alignment wrapText="1"/>
    </x:xf>
    <x:xf numFmtId="0" fontId="4" fillId="5" borderId="3" xfId="0" applyNumberFormat="1" applyFont="1" applyFill="1" applyBorder="1" applyAlignment="1">
      <x:alignment wrapText="1"/>
    </x:xf>
    <x:xf numFmtId="0" fontId="4" fillId="5" borderId="2" xfId="0" applyNumberFormat="1" applyFont="1" applyFill="1" applyBorder="1" applyAlignment="1">
      <x:alignment horizontal="center" wrapText="1"/>
    </x:xf>
    <x:xf numFmtId="0" fontId="4" fillId="5" borderId="3" xfId="0" applyNumberFormat="1" applyFont="1" applyFill="1" applyBorder="1" applyAlignment="1">
      <x:alignment horizontal="center" wrapText="1"/>
    </x:xf>
    <x:xf numFmtId="0" fontId="4" fillId="5" borderId="2" xfId="0" applyNumberFormat="1" applyFont="1" applyFill="1" applyBorder="1" applyAlignment="1">
      <x:alignment horizontal="center" vertical="center" wrapText="1"/>
    </x:xf>
    <x:xf numFmtId="0" fontId="4" fillId="5" borderId="3" xfId="0" applyNumberFormat="1" applyFont="1" applyFill="1" applyBorder="1" applyAlignment="1">
      <x:alignment horizontal="center" vertical="center" wrapText="1"/>
    </x:xf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4" fillId="5" borderId="4" xfId="0" applyNumberFormat="1" applyFont="1" applyFill="1" applyBorder="1"/>
    <x:xf numFmtId="0" fontId="4" fillId="5" borderId="5" xfId="0" applyNumberFormat="1" applyFont="1" applyFill="1" applyBorder="1"/>
    <x:xf numFmtId="0" fontId="4" fillId="5" borderId="4" xfId="0" applyNumberFormat="1" applyFont="1" applyFill="1" applyBorder="1" applyAlignment="1">
      <x:alignment wrapText="1"/>
    </x:xf>
    <x:xf numFmtId="0" fontId="4" fillId="5" borderId="5" xfId="0" applyNumberFormat="1" applyFont="1" applyFill="1" applyBorder="1" applyAlignment="1">
      <x:alignment wrapText="1"/>
    </x:xf>
    <x:xf numFmtId="0" fontId="4" fillId="5" borderId="4" xfId="0" applyNumberFormat="1" applyFont="1" applyFill="1" applyBorder="1" applyAlignment="1">
      <x:alignment horizontal="center" wrapText="1"/>
    </x:xf>
    <x:xf numFmtId="0" fontId="4" fillId="5" borderId="5" xfId="0" applyNumberFormat="1" applyFont="1" applyFill="1" applyBorder="1" applyAlignment="1">
      <x:alignment horizontal="center" wrapText="1"/>
    </x:xf>
    <x:xf numFmtId="0" fontId="4" fillId="5" borderId="4" xfId="0" applyNumberFormat="1" applyFont="1" applyFill="1" applyBorder="1" applyAlignment="1">
      <x:alignment horizontal="center" vertical="center" wrapText="1"/>
    </x:xf>
    <x:xf numFmtId="0" fontId="4" fillId="5" borderId="5" xfId="0" applyNumberFormat="1" applyFont="1" applyFill="1" applyBorder="1" applyAlignment="1">
      <x:alignment horizontal="center" vertical="center" wrapText="1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0" xfId="0" applyNumberFormat="1" applyFont="1" applyFill="1" applyBorder="1" applyAlignment="1">
      <x:alignment wrapText="1"/>
    </x:xf>
    <x:xf numFmtId="0" fontId="5" fillId="6" borderId="0" xfId="0" applyNumberFormat="1" applyFont="1" applyFill="1" applyBorder="1" applyAlignment="1">
      <x:alignment vertical="top" wrapText="1"/>
    </x:xf>
    <x:xf numFmtId="0" fontId="0" fillId="6" borderId="1" xfId="0" applyNumberFormat="1" applyFont="1" applyFill="1" applyBorder="1"/>
    <x:xf numFmtId="0" fontId="5" fillId="6" borderId="1" xfId="0" applyNumberFormat="1" applyFont="1" applyFill="1" applyBorder="1"/>
    <x:xf numFmtId="0" fontId="5" fillId="6" borderId="1" xfId="0" applyNumberFormat="1" applyFont="1" applyFill="1" applyBorder="1" applyAlignment="1">
      <x:alignment wrapText="1"/>
    </x:xf>
    <x:xf numFmtId="0" fontId="5" fillId="6" borderId="1" xfId="0" applyNumberFormat="1" applyFont="1" applyFill="1" applyBorder="1" applyAlignment="1">
      <x:alignment vertical="top" wrapText="1"/>
    </x:xf>
    <x:xf numFmtId="0" fontId="0" fillId="7" borderId="0" xfId="0" applyNumberFormat="1" applyFont="1" applyFill="1" applyBorder="1"/>
    <x:xf numFmtId="0" fontId="0" fillId="7" borderId="0" xfId="0" applyNumberFormat="1" applyFont="1" applyFill="1" applyBorder="1" applyAlignment="1">
      <x:alignment wrapText="1"/>
    </x:xf>
    <x:xf numFmtId="0" fontId="0" fillId="7" borderId="0" xfId="0" applyNumberFormat="1" applyFont="1" applyFill="1" applyBorder="1" applyAlignment="1">
      <x:alignment vertical="top" wrapText="1"/>
    </x:xf>
    <x:xf numFmtId="0" fontId="0" fillId="7" borderId="1" xfId="0" applyNumberFormat="1" applyFont="1" applyFill="1" applyBorder="1"/>
    <x:xf numFmtId="0" fontId="0" fillId="7" borderId="1" xfId="0" applyNumberFormat="1" applyFont="1" applyFill="1" applyBorder="1" applyAlignment="1">
      <x:alignment wrapText="1"/>
    </x:xf>
    <x:xf numFmtId="0" fontId="0" fillId="7" borderId="1" xfId="0" applyNumberFormat="1" applyFont="1" applyFill="1" applyBorder="1" applyAlignment="1">
      <x:alignment vertical="top" wrapText="1"/>
    </x:xf>
    <x:xf numFmtId="0" fontId="0" fillId="8" borderId="0" xfId="0" applyNumberFormat="1" applyFont="1" applyFill="1" applyBorder="1"/>
    <x:xf numFmtId="0" fontId="5" fillId="8" borderId="0" xfId="0" applyNumberFormat="1" applyFont="1" applyFill="1" applyBorder="1"/>
    <x:xf numFmtId="0" fontId="0" fillId="8" borderId="1" xfId="0" applyNumberFormat="1" applyFont="1" applyFill="1" applyBorder="1"/>
    <x:xf numFmtId="0" fontId="5" fillId="8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4" fillId="5" borderId="6" xfId="0" applyNumberFormat="1" applyFont="1" applyFill="1" applyBorder="1"/>
    <x:xf numFmtId="0" fontId="4" fillId="5" borderId="6" xfId="0" applyNumberFormat="1" applyFont="1" applyFill="1" applyBorder="1" applyAlignment="1">
      <x:alignment wrapText="1"/>
    </x:xf>
    <x:xf numFmtId="0" fontId="4" fillId="5" borderId="6" xfId="0" applyNumberFormat="1" applyFont="1" applyFill="1" applyBorder="1" applyAlignment="1">
      <x:alignment horizontal="center" wrapText="1"/>
    </x:xf>
    <x:xf numFmtId="0" fontId="4" fillId="5" borderId="6" xfId="0" applyNumberFormat="1" applyFont="1" applyFill="1" applyBorder="1" applyAlignment="1">
      <x:alignment horizontal="center" vertical="center" wrapText="1"/>
    </x:xf>
    <x:xf numFmtId="0" fontId="4" fillId="5" borderId="7" xfId="0" applyNumberFormat="1" applyFont="1" applyFill="1" applyBorder="1"/>
    <x:xf numFmtId="0" fontId="4" fillId="5" borderId="7" xfId="0" applyNumberFormat="1" applyFont="1" applyFill="1" applyBorder="1" applyAlignment="1">
      <x:alignment wrapText="1"/>
    </x:xf>
    <x:xf numFmtId="0" fontId="4" fillId="5" borderId="7" xfId="0" applyNumberFormat="1" applyFont="1" applyFill="1" applyBorder="1" applyAlignment="1">
      <x:alignment horizontal="center" wrapText="1"/>
    </x:xf>
    <x:xf numFmtId="0" fontId="4" fillId="5" borderId="7" xfId="0" applyNumberFormat="1" applyFont="1" applyFill="1" applyBorder="1" applyAlignment="1">
      <x:alignment horizontal="center" vertical="center" wrapText="1"/>
    </x:xf>
    <x:xf numFmtId="0" fontId="0" fillId="9" borderId="0" xfId="0" applyNumberFormat="1" applyFont="1" applyFill="1" applyBorder="1"/>
    <x:xf numFmtId="0" fontId="0" fillId="9" borderId="8" xfId="0" applyNumberFormat="1" applyFont="1" applyFill="1" applyBorder="1"/>
    <x:xf numFmtId="0" fontId="0" fillId="9" borderId="9" xfId="0" applyNumberFormat="1" applyFont="1" applyFill="1" applyBorder="1"/>
    <x:xf numFmtId="0" fontId="0" fillId="9" borderId="10" xfId="0" applyNumberFormat="1" applyFont="1" applyFill="1" applyBorder="1"/>
    <x:xf numFmtId="0" fontId="0" fillId="9" borderId="11" xfId="0" applyNumberFormat="1" applyFont="1" applyFill="1" applyBorder="1"/>
    <x:xf numFmtId="0" fontId="0" fillId="9" borderId="12" xfId="0" applyNumberFormat="1" applyFont="1" applyFill="1" applyBorder="1"/>
    <x:xf numFmtId="0" fontId="0" fillId="9" borderId="13" xfId="0" applyNumberFormat="1" applyFont="1" applyFill="1" applyBorder="1"/>
    <x:xf numFmtId="0" fontId="0" fillId="9" borderId="14" xfId="0" applyNumberFormat="1" applyFont="1" applyFill="1" applyBorder="1"/>
    <x:xf numFmtId="0" fontId="0" fillId="9" borderId="15" xfId="0" applyNumberFormat="1" applyFont="1" applyFill="1" applyBorder="1"/>
    <x:xf numFmtId="0" fontId="0" fillId="9" borderId="1" xfId="0" applyNumberFormat="1" applyFont="1" applyFill="1" applyBorder="1"/>
    <x:xf numFmtId="0" fontId="0" fillId="9" borderId="16" xfId="0" applyNumberFormat="1" applyFont="1" applyFill="1" applyBorder="1"/>
    <x:xf numFmtId="0" fontId="0" fillId="9" borderId="17" xfId="0" applyNumberFormat="1" applyFont="1" applyFill="1" applyBorder="1"/>
    <x:xf numFmtId="0" fontId="0" fillId="9" borderId="18" xfId="0" applyNumberFormat="1" applyFont="1" applyFill="1" applyBorder="1"/>
    <x:xf numFmtId="0" fontId="0" fillId="9" borderId="19" xfId="0" applyNumberFormat="1" applyFont="1" applyFill="1" applyBorder="1"/>
    <x:xf numFmtId="0" fontId="0" fillId="9" borderId="20" xfId="0" applyNumberFormat="1" applyFont="1" applyFill="1" applyBorder="1"/>
    <x:xf numFmtId="0" fontId="0" fillId="9" borderId="21" xfId="0" applyNumberFormat="1" applyFont="1" applyFill="1" applyBorder="1"/>
    <x:xf numFmtId="0" fontId="0" fillId="9" borderId="22" xfId="0" applyNumberFormat="1" applyFont="1" applyFill="1" applyBorder="1"/>
    <x:xf numFmtId="0" fontId="0" fillId="9" borderId="23" xfId="0" applyNumberFormat="1" applyFont="1" applyFill="1" applyBorder="1"/>
    <x:xf numFmtId="200" fontId="0" fillId="9" borderId="9" xfId="0" applyNumberFormat="1" applyFont="1" applyFill="1" applyBorder="1"/>
    <x:xf numFmtId="200" fontId="0" fillId="9" borderId="10" xfId="0" applyNumberFormat="1" applyFont="1" applyFill="1" applyBorder="1"/>
    <x:xf numFmtId="200" fontId="0" fillId="9" borderId="0" xfId="0" applyNumberFormat="1" applyFont="1" applyFill="1" applyBorder="1"/>
    <x:xf numFmtId="200" fontId="0" fillId="9" borderId="12" xfId="0" applyNumberFormat="1" applyFont="1" applyFill="1" applyBorder="1"/>
    <x:xf numFmtId="200" fontId="0" fillId="9" borderId="14" xfId="0" applyNumberFormat="1" applyFont="1" applyFill="1" applyBorder="1"/>
    <x:xf numFmtId="200" fontId="0" fillId="9" borderId="15" xfId="0" applyNumberFormat="1" applyFont="1" applyFill="1" applyBorder="1"/>
    <x:xf numFmtId="200" fontId="0" fillId="9" borderId="17" xfId="0" applyNumberFormat="1" applyFont="1" applyFill="1" applyBorder="1"/>
    <x:xf numFmtId="200" fontId="0" fillId="9" borderId="18" xfId="0" applyNumberFormat="1" applyFont="1" applyFill="1" applyBorder="1"/>
    <x:xf numFmtId="200" fontId="0" fillId="9" borderId="1" xfId="0" applyNumberFormat="1" applyFont="1" applyFill="1" applyBorder="1"/>
    <x:xf numFmtId="200" fontId="0" fillId="9" borderId="20" xfId="0" applyNumberFormat="1" applyFont="1" applyFill="1" applyBorder="1"/>
    <x:xf numFmtId="200" fontId="0" fillId="9" borderId="22" xfId="0" applyNumberFormat="1" applyFont="1" applyFill="1" applyBorder="1"/>
    <x:xf numFmtId="200" fontId="0" fillId="9" borderId="23" xfId="0" applyNumberFormat="1" applyFont="1" applyFill="1" applyBorder="1"/>
    <x:xf numFmtId="201" fontId="0" fillId="9" borderId="8" xfId="0" applyNumberFormat="1" applyFont="1" applyFill="1" applyBorder="1"/>
    <x:xf numFmtId="201" fontId="0" fillId="9" borderId="11" xfId="0" applyNumberFormat="1" applyFont="1" applyFill="1" applyBorder="1"/>
    <x:xf numFmtId="201" fontId="0" fillId="9" borderId="13" xfId="0" applyNumberFormat="1" applyFont="1" applyFill="1" applyBorder="1"/>
    <x:xf numFmtId="201" fontId="0" fillId="9" borderId="16" xfId="0" applyNumberFormat="1" applyFont="1" applyFill="1" applyBorder="1"/>
    <x:xf numFmtId="201" fontId="0" fillId="9" borderId="19" xfId="0" applyNumberFormat="1" applyFont="1" applyFill="1" applyBorder="1"/>
    <x:xf numFmtId="201" fontId="0" fillId="9" borderId="21" xfId="0" applyNumberFormat="1" applyFont="1" applyFill="1" applyBorder="1"/>
    <x:xf numFmtId="202" fontId="0" fillId="9" borderId="9" xfId="0" applyNumberFormat="1" applyFont="1" applyFill="1" applyBorder="1"/>
    <x:xf numFmtId="202" fontId="0" fillId="9" borderId="0" xfId="0" applyNumberFormat="1" applyFont="1" applyFill="1" applyBorder="1"/>
    <x:xf numFmtId="202" fontId="0" fillId="9" borderId="14" xfId="0" applyNumberFormat="1" applyFont="1" applyFill="1" applyBorder="1"/>
    <x:xf numFmtId="202" fontId="0" fillId="9" borderId="17" xfId="0" applyNumberFormat="1" applyFont="1" applyFill="1" applyBorder="1"/>
    <x:xf numFmtId="202" fontId="0" fillId="9" borderId="1" xfId="0" applyNumberFormat="1" applyFont="1" applyFill="1" applyBorder="1"/>
    <x:xf numFmtId="202" fontId="0" fillId="9" borderId="22" xfId="0" applyNumberFormat="1" applyFont="1" applyFill="1" applyBorder="1"/>
    <x:xf numFmtId="0" fontId="0" fillId="9" borderId="24" xfId="0" applyNumberFormat="1" applyFont="1" applyFill="1" applyBorder="1"/>
    <x:xf numFmtId="0" fontId="0" fillId="9" borderId="25" xfId="0" applyNumberFormat="1" applyFont="1" applyFill="1" applyBorder="1"/>
    <x:xf numFmtId="0" fontId="0" fillId="9" borderId="26" xfId="0" applyNumberFormat="1" applyFont="1" applyFill="1" applyBorder="1"/>
    <x:xf numFmtId="0" fontId="0" fillId="9" borderId="27" xfId="0" applyNumberFormat="1" applyFont="1" applyFill="1" applyBorder="1"/>
    <x:xf numFmtId="0" fontId="0" fillId="9" borderId="28" xfId="0" applyNumberFormat="1" applyFont="1" applyFill="1" applyBorder="1"/>
    <x:xf numFmtId="0" fontId="0" fillId="9" borderId="29" xfId="0" applyNumberFormat="1" applyFont="1" applyFill="1" applyBorder="1"/>
    <x:xf numFmtId="0" fontId="0" fillId="8" borderId="8" xfId="0" applyNumberFormat="1" applyFont="1" applyFill="1" applyBorder="1"/>
    <x:xf numFmtId="0" fontId="0" fillId="8" borderId="9" xfId="0" applyNumberFormat="1" applyFont="1" applyFill="1" applyBorder="1"/>
    <x:xf numFmtId="0" fontId="0" fillId="8" borderId="10" xfId="0" applyNumberFormat="1" applyFont="1" applyFill="1" applyBorder="1"/>
    <x:xf numFmtId="0" fontId="0" fillId="8" borderId="11" xfId="0" applyNumberFormat="1" applyFont="1" applyFill="1" applyBorder="1"/>
    <x:xf numFmtId="0" fontId="0" fillId="8" borderId="12" xfId="0" applyNumberFormat="1" applyFont="1" applyFill="1" applyBorder="1"/>
    <x:xf numFmtId="0" fontId="0" fillId="8" borderId="13" xfId="0" applyNumberFormat="1" applyFont="1" applyFill="1" applyBorder="1"/>
    <x:xf numFmtId="0" fontId="0" fillId="8" borderId="14" xfId="0" applyNumberFormat="1" applyFont="1" applyFill="1" applyBorder="1"/>
    <x:xf numFmtId="0" fontId="0" fillId="8" borderId="15" xfId="0" applyNumberFormat="1" applyFont="1" applyFill="1" applyBorder="1"/>
    <x:xf numFmtId="0" fontId="0" fillId="8" borderId="16" xfId="0" applyNumberFormat="1" applyFont="1" applyFill="1" applyBorder="1"/>
    <x:xf numFmtId="0" fontId="0" fillId="8" borderId="17" xfId="0" applyNumberFormat="1" applyFont="1" applyFill="1" applyBorder="1"/>
    <x:xf numFmtId="0" fontId="0" fillId="8" borderId="18" xfId="0" applyNumberFormat="1" applyFont="1" applyFill="1" applyBorder="1"/>
    <x:xf numFmtId="0" fontId="0" fillId="8" borderId="19" xfId="0" applyNumberFormat="1" applyFont="1" applyFill="1" applyBorder="1"/>
    <x:xf numFmtId="0" fontId="0" fillId="8" borderId="20" xfId="0" applyNumberFormat="1" applyFont="1" applyFill="1" applyBorder="1"/>
    <x:xf numFmtId="0" fontId="0" fillId="8" borderId="21" xfId="0" applyNumberFormat="1" applyFont="1" applyFill="1" applyBorder="1"/>
    <x:xf numFmtId="0" fontId="0" fillId="8" borderId="22" xfId="0" applyNumberFormat="1" applyFont="1" applyFill="1" applyBorder="1"/>
    <x:xf numFmtId="0" fontId="0" fillId="8" borderId="23" xfId="0" applyNumberFormat="1" applyFont="1" applyFill="1" applyBorder="1"/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2" fontId="0" fillId="8" borderId="8" xfId="0" applyNumberFormat="1" applyFont="1" applyFill="1" applyBorder="1"/>
    <x:xf numFmtId="202" fontId="0" fillId="8" borderId="11" xfId="0" applyNumberFormat="1" applyFont="1" applyFill="1" applyBorder="1"/>
    <x:xf numFmtId="202" fontId="0" fillId="8" borderId="13" xfId="0" applyNumberFormat="1" applyFont="1" applyFill="1" applyBorder="1"/>
    <x:xf numFmtId="202" fontId="0" fillId="8" borderId="16" xfId="0" applyNumberFormat="1" applyFont="1" applyFill="1" applyBorder="1"/>
    <x:xf numFmtId="202" fontId="0" fillId="8" borderId="19" xfId="0" applyNumberFormat="1" applyFont="1" applyFill="1" applyBorder="1"/>
    <x:xf numFmtId="202" fontId="0" fillId="8" borderId="21" xfId="0" applyNumberFormat="1" applyFont="1" applyFill="1" applyBorder="1"/>
    <x:xf numFmtId="200" fontId="0" fillId="8" borderId="9" xfId="0" applyNumberFormat="1" applyFont="1" applyFill="1" applyBorder="1"/>
    <x:xf numFmtId="200" fontId="0" fillId="8" borderId="10" xfId="0" applyNumberFormat="1" applyFont="1" applyFill="1" applyBorder="1"/>
    <x:xf numFmtId="200" fontId="0" fillId="9" borderId="24" xfId="0" applyNumberFormat="1" applyFont="1" applyFill="1" applyBorder="1"/>
    <x:xf numFmtId="200" fontId="0" fillId="8" borderId="8" xfId="0" applyNumberFormat="1" applyFont="1" applyFill="1" applyBorder="1"/>
    <x:xf numFmtId="200" fontId="0" fillId="8" borderId="0" xfId="0" applyNumberFormat="1" applyFont="1" applyFill="1" applyBorder="1"/>
    <x:xf numFmtId="200" fontId="0" fillId="8" borderId="12" xfId="0" applyNumberFormat="1" applyFont="1" applyFill="1" applyBorder="1"/>
    <x:xf numFmtId="200" fontId="0" fillId="9" borderId="25" xfId="0" applyNumberFormat="1" applyFont="1" applyFill="1" applyBorder="1"/>
    <x:xf numFmtId="200" fontId="0" fillId="8" borderId="11" xfId="0" applyNumberFormat="1" applyFont="1" applyFill="1" applyBorder="1"/>
    <x:xf numFmtId="200" fontId="0" fillId="8" borderId="14" xfId="0" applyNumberFormat="1" applyFont="1" applyFill="1" applyBorder="1"/>
    <x:xf numFmtId="200" fontId="0" fillId="8" borderId="15" xfId="0" applyNumberFormat="1" applyFont="1" applyFill="1" applyBorder="1"/>
    <x:xf numFmtId="200" fontId="0" fillId="9" borderId="26" xfId="0" applyNumberFormat="1" applyFont="1" applyFill="1" applyBorder="1"/>
    <x:xf numFmtId="200" fontId="0" fillId="8" borderId="13" xfId="0" applyNumberFormat="1" applyFont="1" applyFill="1" applyBorder="1"/>
    <x:xf numFmtId="200" fontId="0" fillId="8" borderId="17" xfId="0" applyNumberFormat="1" applyFont="1" applyFill="1" applyBorder="1"/>
    <x:xf numFmtId="200" fontId="0" fillId="8" borderId="18" xfId="0" applyNumberFormat="1" applyFont="1" applyFill="1" applyBorder="1"/>
    <x:xf numFmtId="200" fontId="0" fillId="9" borderId="27" xfId="0" applyNumberFormat="1" applyFont="1" applyFill="1" applyBorder="1"/>
    <x:xf numFmtId="200" fontId="0" fillId="8" borderId="16" xfId="0" applyNumberFormat="1" applyFont="1" applyFill="1" applyBorder="1"/>
    <x:xf numFmtId="200" fontId="0" fillId="8" borderId="1" xfId="0" applyNumberFormat="1" applyFont="1" applyFill="1" applyBorder="1"/>
    <x:xf numFmtId="200" fontId="0" fillId="8" borderId="20" xfId="0" applyNumberFormat="1" applyFont="1" applyFill="1" applyBorder="1"/>
    <x:xf numFmtId="200" fontId="0" fillId="9" borderId="28" xfId="0" applyNumberFormat="1" applyFont="1" applyFill="1" applyBorder="1"/>
    <x:xf numFmtId="200" fontId="0" fillId="8" borderId="19" xfId="0" applyNumberFormat="1" applyFont="1" applyFill="1" applyBorder="1"/>
    <x:xf numFmtId="200" fontId="0" fillId="8" borderId="22" xfId="0" applyNumberFormat="1" applyFont="1" applyFill="1" applyBorder="1"/>
    <x:xf numFmtId="200" fontId="0" fillId="8" borderId="23" xfId="0" applyNumberFormat="1" applyFont="1" applyFill="1" applyBorder="1"/>
    <x:xf numFmtId="200" fontId="0" fillId="9" borderId="29" xfId="0" applyNumberFormat="1" applyFont="1" applyFill="1" applyBorder="1"/>
    <x:xf numFmtId="200" fontId="0" fillId="8" borderId="21" xfId="0" applyNumberFormat="1" applyFont="1" applyFill="1" applyBorder="1"/>
    <x:xf numFmtId="0" fontId="0" fillId="10" borderId="0" xfId="0" applyNumberFormat="1" applyFont="1" applyFill="1" applyBorder="1"/>
    <x:xf numFmtId="200" fontId="0" fillId="10" borderId="0" xfId="0" applyNumberFormat="1" applyFont="1" applyFill="1" applyBorder="1"/>
    <x:xf numFmtId="0" fontId="4" fillId="10" borderId="0" xfId="0" applyNumberFormat="1" applyFont="1" applyFill="1" applyBorder="1"/>
    <x:xf numFmtId="200" fontId="4" fillId="10" borderId="0" xfId="0" applyNumberFormat="1" applyFont="1" applyFill="1" applyBorder="1"/>
    <x:xf numFmtId="0" fontId="4" fillId="10" borderId="30" xfId="0" applyNumberFormat="1" applyFont="1" applyFill="1" applyBorder="1"/>
    <x:xf numFmtId="200" fontId="4" fillId="10" borderId="31" xfId="0" applyNumberFormat="1" applyFont="1" applyFill="1" applyBorder="1"/>
    <x:xf numFmtId="0" fontId="4" fillId="10" borderId="31" xfId="0" applyNumberFormat="1" applyFont="1" applyFill="1" applyBorder="1"/>
    <x:xf numFmtId="200" fontId="4" fillId="10" borderId="32" xfId="0" applyNumberFormat="1" applyFont="1" applyFill="1" applyBorder="1"/>
    <x:xf numFmtId="0" fontId="0" fillId="10" borderId="1" xfId="0" applyNumberFormat="1" applyFont="1" applyFill="1" applyBorder="1"/>
    <x:xf numFmtId="200" fontId="0" fillId="10" borderId="1" xfId="0" applyNumberFormat="1" applyFont="1" applyFill="1" applyBorder="1"/>
    <x:xf numFmtId="0" fontId="4" fillId="10" borderId="1" xfId="0" applyNumberFormat="1" applyFont="1" applyFill="1" applyBorder="1"/>
    <x:xf numFmtId="200" fontId="4" fillId="10" borderId="1" xfId="0" applyNumberFormat="1" applyFont="1" applyFill="1" applyBorder="1"/>
    <x:xf numFmtId="0" fontId="4" fillId="10" borderId="33" xfId="0" applyNumberFormat="1" applyFont="1" applyFill="1" applyBorder="1"/>
    <x:xf numFmtId="200" fontId="4" fillId="10" borderId="34" xfId="0" applyNumberFormat="1" applyFont="1" applyFill="1" applyBorder="1"/>
    <x:xf numFmtId="0" fontId="4" fillId="10" borderId="34" xfId="0" applyNumberFormat="1" applyFont="1" applyFill="1" applyBorder="1"/>
    <x:xf numFmtId="200" fontId="4" fillId="10" borderId="35" xfId="0" applyNumberFormat="1" applyFont="1" applyFill="1" applyBorder="1"/>
    <x:xf numFmtId="0" fontId="0" fillId="11" borderId="0" xfId="0" applyNumberFormat="1" applyFont="1" applyFill="1" applyBorder="1"/>
    <x:xf numFmtId="200" fontId="0" fillId="11" borderId="0" xfId="0" applyNumberFormat="1" applyFont="1" applyFill="1" applyBorder="1"/>
    <x:xf numFmtId="0" fontId="6" fillId="11" borderId="0" xfId="0" applyNumberFormat="1" applyFont="1" applyFill="1" applyBorder="1"/>
    <x:xf numFmtId="200" fontId="6" fillId="11" borderId="0" xfId="0" applyNumberFormat="1" applyFont="1" applyFill="1" applyBorder="1"/>
    <x:xf numFmtId="0" fontId="6" fillId="11" borderId="36" xfId="0" applyNumberFormat="1" applyFont="1" applyFill="1" applyBorder="1"/>
    <x:xf numFmtId="200" fontId="6" fillId="11" borderId="37" xfId="0" applyNumberFormat="1" applyFont="1" applyFill="1" applyBorder="1"/>
    <x:xf numFmtId="0" fontId="6" fillId="11" borderId="37" xfId="0" applyNumberFormat="1" applyFont="1" applyFill="1" applyBorder="1"/>
    <x:xf numFmtId="200" fontId="6" fillId="11" borderId="38" xfId="0" applyNumberFormat="1" applyFont="1" applyFill="1" applyBorder="1"/>
    <x:xf numFmtId="0" fontId="0" fillId="11" borderId="1" xfId="0" applyNumberFormat="1" applyFont="1" applyFill="1" applyBorder="1"/>
    <x:xf numFmtId="200" fontId="0" fillId="11" borderId="1" xfId="0" applyNumberFormat="1" applyFont="1" applyFill="1" applyBorder="1"/>
    <x:xf numFmtId="0" fontId="6" fillId="11" borderId="1" xfId="0" applyNumberFormat="1" applyFont="1" applyFill="1" applyBorder="1"/>
    <x:xf numFmtId="200" fontId="6" fillId="11" borderId="1" xfId="0" applyNumberFormat="1" applyFont="1" applyFill="1" applyBorder="1"/>
    <x:xf numFmtId="0" fontId="6" fillId="11" borderId="39" xfId="0" applyNumberFormat="1" applyFont="1" applyFill="1" applyBorder="1"/>
    <x:xf numFmtId="200" fontId="6" fillId="11" borderId="40" xfId="0" applyNumberFormat="1" applyFont="1" applyFill="1" applyBorder="1"/>
    <x:xf numFmtId="0" fontId="6" fillId="11" borderId="40" xfId="0" applyNumberFormat="1" applyFont="1" applyFill="1" applyBorder="1"/>
    <x:xf numFmtId="200" fontId="6" fillId="11" borderId="41" xfId="0" applyNumberFormat="1" applyFont="1" applyFill="1" applyBorder="1"/>
    <x:xf numFmtId="0" fontId="7" fillId="6" borderId="0" xfId="0" applyNumberFormat="1" applyFont="1" applyFill="1" applyBorder="1"/>
    <x:xf numFmtId="0" fontId="7" fillId="6" borderId="0" xfId="0" applyNumberFormat="1" applyFont="1" applyFill="1" applyBorder="1" applyAlignment="1">
      <x:alignment horizontal="center"/>
    </x:xf>
    <x:xf numFmtId="0" fontId="7" fillId="6" borderId="1" xfId="0" applyNumberFormat="1" applyFont="1" applyFill="1" applyBorder="1"/>
    <x:xf numFmtId="0" fontId="7" fillId="6" borderId="1" xfId="0" applyNumberFormat="1" applyFont="1" applyFill="1" applyBorder="1" applyAlignment="1">
      <x:alignment horizontal="center"/>
    </x:xf>
    <x:xf numFmtId="0" fontId="8" fillId="8" borderId="0" xfId="0" applyNumberFormat="1" applyFont="1" applyFill="1" applyBorder="1"/>
    <x:xf numFmtId="0" fontId="8" fillId="8" borderId="0" xfId="0" applyNumberFormat="1" applyFont="1" applyFill="1" applyBorder="1" applyAlignment="1">
      <x:alignment horizontal="center"/>
    </x:xf>
    <x:xf numFmtId="0" fontId="8" fillId="8" borderId="0" xfId="0" applyNumberFormat="1" applyFont="1" applyFill="1" applyBorder="1" applyAlignment="1">
      <x:alignment horizontal="center" vertical="center"/>
    </x:xf>
    <x:xf numFmtId="0" fontId="8" fillId="8" borderId="1" xfId="0" applyNumberFormat="1" applyFont="1" applyFill="1" applyBorder="1"/>
    <x:xf numFmtId="0" fontId="8" fillId="8" borderId="1" xfId="0" applyNumberFormat="1" applyFont="1" applyFill="1" applyBorder="1" applyAlignment="1">
      <x:alignment horizontal="center"/>
    </x:xf>
    <x:xf numFmtId="0" fontId="8" fillId="8" borderId="1" xfId="0" applyNumberFormat="1" applyFont="1" applyFill="1" applyBorder="1" applyAlignment="1">
      <x:alignment horizontal="center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21912ad4bdf4607" /><Relationship Type="http://schemas.openxmlformats.org/officeDocument/2006/relationships/theme" Target="/xl/theme/theme1.xml" Id="Ra966896dd8aa4ee2" /><Relationship Type="http://schemas.openxmlformats.org/officeDocument/2006/relationships/sharedStrings" Target="/xl/sharedStrings.xml" Id="R2acfb0ded0e34ebc" /><Relationship Type="http://schemas.openxmlformats.org/officeDocument/2006/relationships/worksheet" Target="/xl/worksheets/sheet1.xml" Id="Rd4ab040e2b4144a6" /><Relationship Type="http://schemas.openxmlformats.org/officeDocument/2006/relationships/worksheet" Target="/xl/worksheets/sheet2.xml" Id="R08db773d5d494bf6" /><Relationship Type="http://schemas.openxmlformats.org/officeDocument/2006/relationships/worksheet" Target="/xl/worksheets/sheet3.xml" Id="Ra7007538f57a481f" /><Relationship Type="http://schemas.openxmlformats.org/officeDocument/2006/relationships/worksheet" Target="/xl/worksheets/sheet4.xml" Id="R84d860e808a94560" /><Relationship Type="http://schemas.openxmlformats.org/officeDocument/2006/relationships/worksheet" Target="/xl/worksheets/sheet5.xml" Id="R86d8c1e0870c4df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72" hidden="0" customWidth="1"/>
  </x:cols>
  <x:sheetData>
    <x:row r="1" ht="30" customHeight="1">
      <x:c r="A1" s="5" t="str">
        <x:v>급여·초과근무 계산</x:v>
      </x:c>
      <x:c r="B1" s="5"/>
      <x:c r="C1" s="5"/>
      <x:c r="D1" s="5"/>
      <x:c r="E1" s="5"/>
      <x:c r="F1" s="5"/>
      <x:c r="G1" s="5"/>
      <x:c r="H1" s="5"/>
    </x:row>
    <x:row r="2" ht="24" customHeight="1">
      <x:c r="A2" s="12" t="str">
        <x:v>직원 기본급과 근태 데이터를 연결해 초과근무수당·지급총액·공제·실수령액을 계산하는 합성 샘플</x:v>
      </x:c>
      <x:c r="B2" s="12"/>
      <x:c r="C2" s="12"/>
      <x:c r="D2" s="12"/>
      <x:c r="E2" s="12"/>
      <x:c r="F2" s="12"/>
      <x:c r="G2" s="12"/>
      <x:c r="H2" s="12"/>
    </x:row>
    <x:row r="3" ht="20" customHeight="1">
      <x:c r="A3" s="18" t="str">
        <x:v>합성 데이터 기반 M4-C 검증 샘플입니다. 노란색은 입력, 파란색은 계산 영역입니다.</x:v>
      </x:c>
      <x:c r="B3" s="18"/>
      <x:c r="C3" s="18"/>
      <x:c r="D3" s="18"/>
      <x:c r="E3" s="18"/>
      <x:c r="F3" s="18"/>
      <x:c r="G3" s="18"/>
      <x:c r="H3" s="18"/>
    </x:row>
    <x:row r="5" ht="28" customHeight="1">
      <x:c r="A5" s="30" t="str">
        <x:v>구분</x:v>
      </x:c>
      <x:c r="B5" s="31" t="str">
        <x:v>내용</x:v>
      </x:c>
    </x:row>
    <x:row r="6">
      <x:c r="A6" s="45" t="str">
        <x:v>샘플 성격</x:v>
      </x:c>
      <x:c r="B6" s="52" t="str">
        <x:v>실제 회사·개인정보를 사용하지 않은 합성 업무 파일</x:v>
      </x:c>
    </x:row>
    <x:row r="7">
      <x:c r="A7" s="45" t="str">
        <x:v>검증 목적</x:v>
      </x:c>
      <x:c r="B7" s="52" t="str">
        <x:v>급여 계산열의 행 참조 이탈, 상수 덮어쓰기, 빈 수식 셀 및 정상 소계·조정 행</x:v>
      </x:c>
    </x:row>
    <x:row r="8">
      <x:c r="A8" s="45" t="str">
        <x:v>사용 방법</x:v>
      </x:c>
      <x:c r="B8" s="52" t="str">
        <x:v>WorkbookCare 기본 진단 후 내부 베타 수식 패턴 정밀검사를 선택 실행</x:v>
      </x:c>
    </x:row>
    <x:row r="9">
      <x:c r="A9" s="45" t="str">
        <x:v>주의</x:v>
      </x:c>
      <x:c r="B9" s="52" t="str">
        <x:v>탐지 결과는 업무상 오류 확정이 아니라 사람이 확인할 이상 후보입니다.</x:v>
      </x:c>
    </x:row>
    <x:row r="10">
      <x:c r="A10" s="45" t="str">
        <x:v>권장 기록</x:v>
      </x:c>
      <x:c r="B10" s="52" t="str">
        <x:v>별도 예상결과 문서에 실제 탐지 여부와 전문가 판정을 기록하세요.</x:v>
      </x:c>
    </x:row>
    <x:row r="12" ht="28" customHeight="1">
      <x:c r="A12" s="30" t="str">
        <x:v>시트</x:v>
      </x:c>
      <x:c r="B12" s="31" t="str">
        <x:v>업무 역할</x:v>
      </x:c>
    </x:row>
    <x:row r="13">
      <x:c r="A13" s="57" t="str">
        <x:v>직원</x:v>
      </x:c>
      <x:c r="B13" s="60" t="str">
        <x:v>직원·기본급 마스터</x:v>
      </x:c>
    </x:row>
    <x:row r="14">
      <x:c r="A14" s="57" t="str">
        <x:v>근태</x:v>
      </x:c>
      <x:c r="B14" s="60" t="str">
        <x:v>일별 초과근무시간 입력</x:v>
      </x:c>
    </x:row>
    <x:row r="15">
      <x:c r="A15" s="57" t="str">
        <x:v>급여계산</x:v>
      </x:c>
      <x:c r="B15" s="60" t="str">
        <x:v>직원별 급여 계산</x:v>
      </x:c>
    </x:row>
    <x:row r="16">
      <x:c r="A16" s="57" t="str">
        <x:v>요약</x:v>
      </x:c>
      <x:c r="B16" s="60" t="str">
        <x:v>월 급여 KPI</x:v>
      </x:c>
    </x:row>
  </x:sheetData>
  <x:mergeCells>
    <x:mergeCell ref="A1:H1"/>
    <x:mergeCell ref="A2:H2"/>
    <x:mergeCell ref="A3:H3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3" max="3" width="12" hidden="0" customWidth="1"/>
    <x:col min="4" max="4" width="10" hidden="0" customWidth="1"/>
    <x:col min="5" max="5" width="15" hidden="0" customWidth="1"/>
    <x:col min="6" max="6" width="12" hidden="0" customWidth="1"/>
  </x:cols>
  <x:sheetData>
    <x:row r="1" ht="30" customHeight="1">
      <x:c r="A1" s="5" t="str">
        <x:v>직원 마스터</x:v>
      </x:c>
      <x:c r="B1" s="5"/>
      <x:c r="C1" s="5"/>
      <x:c r="D1" s="5"/>
      <x:c r="E1" s="5"/>
      <x:c r="F1" s="5"/>
    </x:row>
    <x:row r="2" ht="24" customHeight="1">
      <x:c r="A2" s="12" t="str">
        <x:v>실제 개인정보가 아닌 합성 직원 데이터</x:v>
      </x:c>
      <x:c r="B2" s="12"/>
      <x:c r="C2" s="12"/>
      <x:c r="D2" s="12"/>
      <x:c r="E2" s="12"/>
      <x:c r="F2" s="12"/>
    </x:row>
    <x:row r="3" ht="20" customHeight="1">
      <x:c r="A3" s="18" t="str">
        <x:v>합성 데이터 기반 M4-C 검증 샘플입니다. 노란색은 입력, 파란색은 계산 영역입니다.</x:v>
      </x:c>
      <x:c r="B3" s="18"/>
      <x:c r="C3" s="18"/>
      <x:c r="D3" s="18"/>
      <x:c r="E3" s="18"/>
      <x:c r="F3" s="18"/>
    </x:row>
    <x:row r="5" ht="28" customHeight="1">
      <x:c r="A5" s="30" t="str">
        <x:v>사번</x:v>
      </x:c>
      <x:c r="B5" s="65" t="str">
        <x:v>성명</x:v>
      </x:c>
      <x:c r="C5" s="65" t="str">
        <x:v>부서</x:v>
      </x:c>
      <x:c r="D5" s="65" t="str">
        <x:v>직급</x:v>
      </x:c>
      <x:c r="E5" s="65" t="str">
        <x:v>기본급</x:v>
      </x:c>
      <x:c r="F5" s="31" t="str">
        <x:v>식대</x:v>
      </x:c>
    </x:row>
    <x:row r="6">
      <x:c r="A6" s="71" t="str">
        <x:v>E0001</x:v>
      </x:c>
      <x:c r="B6" s="72" t="str">
        <x:v>직원01</x:v>
      </x:c>
      <x:c r="C6" s="72" t="str">
        <x:v>생산</x:v>
      </x:c>
      <x:c r="D6" s="72" t="str">
        <x:v>대리</x:v>
      </x:c>
      <x:c r="E6" s="88" t="n">
        <x:v>2845000</x:v>
      </x:c>
      <x:c r="F6" s="89" t="n">
        <x:v>200000</x:v>
      </x:c>
    </x:row>
    <x:row r="7">
      <x:c r="A7" s="74" t="str">
        <x:v>E0002</x:v>
      </x:c>
      <x:c r="B7" s="70" t="str">
        <x:v>직원02</x:v>
      </x:c>
      <x:c r="C7" s="70" t="str">
        <x:v>IT</x:v>
      </x:c>
      <x:c r="D7" s="70" t="str">
        <x:v>과장</x:v>
      </x:c>
      <x:c r="E7" s="90" t="n">
        <x:v>2890000</x:v>
      </x:c>
      <x:c r="F7" s="91" t="n">
        <x:v>200000</x:v>
      </x:c>
    </x:row>
    <x:row r="8">
      <x:c r="A8" s="74" t="str">
        <x:v>E0003</x:v>
      </x:c>
      <x:c r="B8" s="70" t="str">
        <x:v>직원03</x:v>
      </x:c>
      <x:c r="C8" s="70" t="str">
        <x:v>관리</x:v>
      </x:c>
      <x:c r="D8" s="70" t="str">
        <x:v>차장</x:v>
      </x:c>
      <x:c r="E8" s="90" t="n">
        <x:v>2935000</x:v>
      </x:c>
      <x:c r="F8" s="91" t="n">
        <x:v>200000</x:v>
      </x:c>
    </x:row>
    <x:row r="9">
      <x:c r="A9" s="74" t="str">
        <x:v>E0004</x:v>
      </x:c>
      <x:c r="B9" s="70" t="str">
        <x:v>직원04</x:v>
      </x:c>
      <x:c r="C9" s="70" t="str">
        <x:v>영업</x:v>
      </x:c>
      <x:c r="D9" s="70" t="str">
        <x:v>사원</x:v>
      </x:c>
      <x:c r="E9" s="90" t="n">
        <x:v>2980000</x:v>
      </x:c>
      <x:c r="F9" s="91" t="n">
        <x:v>200000</x:v>
      </x:c>
    </x:row>
    <x:row r="10">
      <x:c r="A10" s="74" t="str">
        <x:v>E0005</x:v>
      </x:c>
      <x:c r="B10" s="70" t="str">
        <x:v>직원05</x:v>
      </x:c>
      <x:c r="C10" s="70" t="str">
        <x:v>생산</x:v>
      </x:c>
      <x:c r="D10" s="70" t="str">
        <x:v>대리</x:v>
      </x:c>
      <x:c r="E10" s="90" t="n">
        <x:v>3025000</x:v>
      </x:c>
      <x:c r="F10" s="91" t="n">
        <x:v>200000</x:v>
      </x:c>
    </x:row>
    <x:row r="11">
      <x:c r="A11" s="74" t="str">
        <x:v>E0006</x:v>
      </x:c>
      <x:c r="B11" s="70" t="str">
        <x:v>직원06</x:v>
      </x:c>
      <x:c r="C11" s="70" t="str">
        <x:v>IT</x:v>
      </x:c>
      <x:c r="D11" s="70" t="str">
        <x:v>과장</x:v>
      </x:c>
      <x:c r="E11" s="90" t="n">
        <x:v>3070000</x:v>
      </x:c>
      <x:c r="F11" s="91" t="n">
        <x:v>200000</x:v>
      </x:c>
    </x:row>
    <x:row r="12">
      <x:c r="A12" s="74" t="str">
        <x:v>E0007</x:v>
      </x:c>
      <x:c r="B12" s="70" t="str">
        <x:v>직원07</x:v>
      </x:c>
      <x:c r="C12" s="70" t="str">
        <x:v>관리</x:v>
      </x:c>
      <x:c r="D12" s="70" t="str">
        <x:v>차장</x:v>
      </x:c>
      <x:c r="E12" s="90" t="n">
        <x:v>3115000</x:v>
      </x:c>
      <x:c r="F12" s="91" t="n">
        <x:v>200000</x:v>
      </x:c>
    </x:row>
    <x:row r="13">
      <x:c r="A13" s="74" t="str">
        <x:v>E0008</x:v>
      </x:c>
      <x:c r="B13" s="70" t="str">
        <x:v>직원08</x:v>
      </x:c>
      <x:c r="C13" s="70" t="str">
        <x:v>영업</x:v>
      </x:c>
      <x:c r="D13" s="70" t="str">
        <x:v>사원</x:v>
      </x:c>
      <x:c r="E13" s="90" t="n">
        <x:v>3160000</x:v>
      </x:c>
      <x:c r="F13" s="91" t="n">
        <x:v>200000</x:v>
      </x:c>
    </x:row>
    <x:row r="14">
      <x:c r="A14" s="74" t="str">
        <x:v>E0009</x:v>
      </x:c>
      <x:c r="B14" s="70" t="str">
        <x:v>직원09</x:v>
      </x:c>
      <x:c r="C14" s="70" t="str">
        <x:v>생산</x:v>
      </x:c>
      <x:c r="D14" s="70" t="str">
        <x:v>대리</x:v>
      </x:c>
      <x:c r="E14" s="90" t="n">
        <x:v>3205000</x:v>
      </x:c>
      <x:c r="F14" s="91" t="n">
        <x:v>200000</x:v>
      </x:c>
    </x:row>
    <x:row r="15">
      <x:c r="A15" s="74" t="str">
        <x:v>E0010</x:v>
      </x:c>
      <x:c r="B15" s="70" t="str">
        <x:v>직원10</x:v>
      </x:c>
      <x:c r="C15" s="70" t="str">
        <x:v>IT</x:v>
      </x:c>
      <x:c r="D15" s="70" t="str">
        <x:v>과장</x:v>
      </x:c>
      <x:c r="E15" s="90" t="n">
        <x:v>3250000</x:v>
      </x:c>
      <x:c r="F15" s="91" t="n">
        <x:v>200000</x:v>
      </x:c>
    </x:row>
    <x:row r="16">
      <x:c r="A16" s="74" t="str">
        <x:v>E0011</x:v>
      </x:c>
      <x:c r="B16" s="70" t="str">
        <x:v>직원11</x:v>
      </x:c>
      <x:c r="C16" s="70" t="str">
        <x:v>관리</x:v>
      </x:c>
      <x:c r="D16" s="70" t="str">
        <x:v>차장</x:v>
      </x:c>
      <x:c r="E16" s="90" t="n">
        <x:v>3295000</x:v>
      </x:c>
      <x:c r="F16" s="91" t="n">
        <x:v>200000</x:v>
      </x:c>
    </x:row>
    <x:row r="17">
      <x:c r="A17" s="74" t="str">
        <x:v>E0012</x:v>
      </x:c>
      <x:c r="B17" s="70" t="str">
        <x:v>직원12</x:v>
      </x:c>
      <x:c r="C17" s="70" t="str">
        <x:v>영업</x:v>
      </x:c>
      <x:c r="D17" s="70" t="str">
        <x:v>사원</x:v>
      </x:c>
      <x:c r="E17" s="90" t="n">
        <x:v>3340000</x:v>
      </x:c>
      <x:c r="F17" s="91" t="n">
        <x:v>200000</x:v>
      </x:c>
    </x:row>
    <x:row r="18">
      <x:c r="A18" s="74" t="str">
        <x:v>E0013</x:v>
      </x:c>
      <x:c r="B18" s="70" t="str">
        <x:v>직원13</x:v>
      </x:c>
      <x:c r="C18" s="70" t="str">
        <x:v>생산</x:v>
      </x:c>
      <x:c r="D18" s="70" t="str">
        <x:v>대리</x:v>
      </x:c>
      <x:c r="E18" s="90" t="n">
        <x:v>3385000</x:v>
      </x:c>
      <x:c r="F18" s="91" t="n">
        <x:v>200000</x:v>
      </x:c>
    </x:row>
    <x:row r="19">
      <x:c r="A19" s="74" t="str">
        <x:v>E0014</x:v>
      </x:c>
      <x:c r="B19" s="70" t="str">
        <x:v>직원14</x:v>
      </x:c>
      <x:c r="C19" s="70" t="str">
        <x:v>IT</x:v>
      </x:c>
      <x:c r="D19" s="70" t="str">
        <x:v>과장</x:v>
      </x:c>
      <x:c r="E19" s="90" t="n">
        <x:v>3430000</x:v>
      </x:c>
      <x:c r="F19" s="91" t="n">
        <x:v>200000</x:v>
      </x:c>
    </x:row>
    <x:row r="20">
      <x:c r="A20" s="74" t="str">
        <x:v>E0015</x:v>
      </x:c>
      <x:c r="B20" s="70" t="str">
        <x:v>직원15</x:v>
      </x:c>
      <x:c r="C20" s="70" t="str">
        <x:v>관리</x:v>
      </x:c>
      <x:c r="D20" s="70" t="str">
        <x:v>차장</x:v>
      </x:c>
      <x:c r="E20" s="90" t="n">
        <x:v>3475000</x:v>
      </x:c>
      <x:c r="F20" s="91" t="n">
        <x:v>200000</x:v>
      </x:c>
    </x:row>
    <x:row r="21">
      <x:c r="A21" s="74" t="str">
        <x:v>E0016</x:v>
      </x:c>
      <x:c r="B21" s="70" t="str">
        <x:v>직원16</x:v>
      </x:c>
      <x:c r="C21" s="70" t="str">
        <x:v>영업</x:v>
      </x:c>
      <x:c r="D21" s="70" t="str">
        <x:v>사원</x:v>
      </x:c>
      <x:c r="E21" s="90" t="n">
        <x:v>3520000</x:v>
      </x:c>
      <x:c r="F21" s="91" t="n">
        <x:v>200000</x:v>
      </x:c>
    </x:row>
    <x:row r="22">
      <x:c r="A22" s="74" t="str">
        <x:v>E0017</x:v>
      </x:c>
      <x:c r="B22" s="70" t="str">
        <x:v>직원17</x:v>
      </x:c>
      <x:c r="C22" s="70" t="str">
        <x:v>생산</x:v>
      </x:c>
      <x:c r="D22" s="70" t="str">
        <x:v>대리</x:v>
      </x:c>
      <x:c r="E22" s="90" t="n">
        <x:v>3565000</x:v>
      </x:c>
      <x:c r="F22" s="91" t="n">
        <x:v>200000</x:v>
      </x:c>
    </x:row>
    <x:row r="23">
      <x:c r="A23" s="74" t="str">
        <x:v>E0018</x:v>
      </x:c>
      <x:c r="B23" s="70" t="str">
        <x:v>직원18</x:v>
      </x:c>
      <x:c r="C23" s="70" t="str">
        <x:v>IT</x:v>
      </x:c>
      <x:c r="D23" s="70" t="str">
        <x:v>과장</x:v>
      </x:c>
      <x:c r="E23" s="90" t="n">
        <x:v>3610000</x:v>
      </x:c>
      <x:c r="F23" s="91" t="n">
        <x:v>200000</x:v>
      </x:c>
    </x:row>
    <x:row r="24">
      <x:c r="A24" s="74" t="str">
        <x:v>E0019</x:v>
      </x:c>
      <x:c r="B24" s="70" t="str">
        <x:v>직원19</x:v>
      </x:c>
      <x:c r="C24" s="70" t="str">
        <x:v>관리</x:v>
      </x:c>
      <x:c r="D24" s="70" t="str">
        <x:v>차장</x:v>
      </x:c>
      <x:c r="E24" s="90" t="n">
        <x:v>3655000</x:v>
      </x:c>
      <x:c r="F24" s="91" t="n">
        <x:v>200000</x:v>
      </x:c>
    </x:row>
    <x:row r="25">
      <x:c r="A25" s="74" t="str">
        <x:v>E0020</x:v>
      </x:c>
      <x:c r="B25" s="70" t="str">
        <x:v>직원20</x:v>
      </x:c>
      <x:c r="C25" s="70" t="str">
        <x:v>영업</x:v>
      </x:c>
      <x:c r="D25" s="70" t="str">
        <x:v>사원</x:v>
      </x:c>
      <x:c r="E25" s="90" t="n">
        <x:v>3700000</x:v>
      </x:c>
      <x:c r="F25" s="91" t="n">
        <x:v>200000</x:v>
      </x:c>
    </x:row>
    <x:row r="26">
      <x:c r="A26" s="74" t="str">
        <x:v>E0021</x:v>
      </x:c>
      <x:c r="B26" s="70" t="str">
        <x:v>직원21</x:v>
      </x:c>
      <x:c r="C26" s="70" t="str">
        <x:v>생산</x:v>
      </x:c>
      <x:c r="D26" s="70" t="str">
        <x:v>대리</x:v>
      </x:c>
      <x:c r="E26" s="90" t="n">
        <x:v>3745000</x:v>
      </x:c>
      <x:c r="F26" s="91" t="n">
        <x:v>200000</x:v>
      </x:c>
    </x:row>
    <x:row r="27">
      <x:c r="A27" s="74" t="str">
        <x:v>E0022</x:v>
      </x:c>
      <x:c r="B27" s="70" t="str">
        <x:v>직원22</x:v>
      </x:c>
      <x:c r="C27" s="70" t="str">
        <x:v>IT</x:v>
      </x:c>
      <x:c r="D27" s="70" t="str">
        <x:v>과장</x:v>
      </x:c>
      <x:c r="E27" s="90" t="n">
        <x:v>3790000</x:v>
      </x:c>
      <x:c r="F27" s="91" t="n">
        <x:v>200000</x:v>
      </x:c>
    </x:row>
    <x:row r="28">
      <x:c r="A28" s="74" t="str">
        <x:v>E0023</x:v>
      </x:c>
      <x:c r="B28" s="70" t="str">
        <x:v>직원23</x:v>
      </x:c>
      <x:c r="C28" s="70" t="str">
        <x:v>관리</x:v>
      </x:c>
      <x:c r="D28" s="70" t="str">
        <x:v>차장</x:v>
      </x:c>
      <x:c r="E28" s="90" t="n">
        <x:v>3835000</x:v>
      </x:c>
      <x:c r="F28" s="91" t="n">
        <x:v>200000</x:v>
      </x:c>
    </x:row>
    <x:row r="29">
      <x:c r="A29" s="74" t="str">
        <x:v>E0024</x:v>
      </x:c>
      <x:c r="B29" s="70" t="str">
        <x:v>직원24</x:v>
      </x:c>
      <x:c r="C29" s="70" t="str">
        <x:v>영업</x:v>
      </x:c>
      <x:c r="D29" s="70" t="str">
        <x:v>사원</x:v>
      </x:c>
      <x:c r="E29" s="90" t="n">
        <x:v>3880000</x:v>
      </x:c>
      <x:c r="F29" s="91" t="n">
        <x:v>200000</x:v>
      </x:c>
    </x:row>
    <x:row r="30">
      <x:c r="A30" s="74" t="str">
        <x:v>E0025</x:v>
      </x:c>
      <x:c r="B30" s="70" t="str">
        <x:v>직원25</x:v>
      </x:c>
      <x:c r="C30" s="70" t="str">
        <x:v>생산</x:v>
      </x:c>
      <x:c r="D30" s="70" t="str">
        <x:v>대리</x:v>
      </x:c>
      <x:c r="E30" s="90" t="n">
        <x:v>3925000</x:v>
      </x:c>
      <x:c r="F30" s="91" t="n">
        <x:v>200000</x:v>
      </x:c>
    </x:row>
    <x:row r="31">
      <x:c r="A31" s="74" t="str">
        <x:v>E0026</x:v>
      </x:c>
      <x:c r="B31" s="70" t="str">
        <x:v>직원26</x:v>
      </x:c>
      <x:c r="C31" s="70" t="str">
        <x:v>IT</x:v>
      </x:c>
      <x:c r="D31" s="70" t="str">
        <x:v>과장</x:v>
      </x:c>
      <x:c r="E31" s="90" t="n">
        <x:v>3970000</x:v>
      </x:c>
      <x:c r="F31" s="91" t="n">
        <x:v>200000</x:v>
      </x:c>
    </x:row>
    <x:row r="32">
      <x:c r="A32" s="74" t="str">
        <x:v>E0027</x:v>
      </x:c>
      <x:c r="B32" s="70" t="str">
        <x:v>직원27</x:v>
      </x:c>
      <x:c r="C32" s="70" t="str">
        <x:v>관리</x:v>
      </x:c>
      <x:c r="D32" s="70" t="str">
        <x:v>차장</x:v>
      </x:c>
      <x:c r="E32" s="90" t="n">
        <x:v>4015000</x:v>
      </x:c>
      <x:c r="F32" s="91" t="n">
        <x:v>200000</x:v>
      </x:c>
    </x:row>
    <x:row r="33">
      <x:c r="A33" s="74" t="str">
        <x:v>E0028</x:v>
      </x:c>
      <x:c r="B33" s="70" t="str">
        <x:v>직원28</x:v>
      </x:c>
      <x:c r="C33" s="70" t="str">
        <x:v>영업</x:v>
      </x:c>
      <x:c r="D33" s="70" t="str">
        <x:v>사원</x:v>
      </x:c>
      <x:c r="E33" s="90" t="n">
        <x:v>4060000</x:v>
      </x:c>
      <x:c r="F33" s="91" t="n">
        <x:v>200000</x:v>
      </x:c>
    </x:row>
    <x:row r="34">
      <x:c r="A34" s="74" t="str">
        <x:v>E0029</x:v>
      </x:c>
      <x:c r="B34" s="70" t="str">
        <x:v>직원29</x:v>
      </x:c>
      <x:c r="C34" s="70" t="str">
        <x:v>생산</x:v>
      </x:c>
      <x:c r="D34" s="70" t="str">
        <x:v>대리</x:v>
      </x:c>
      <x:c r="E34" s="90" t="n">
        <x:v>4105000</x:v>
      </x:c>
      <x:c r="F34" s="91" t="n">
        <x:v>200000</x:v>
      </x:c>
    </x:row>
    <x:row r="35">
      <x:c r="A35" s="74" t="str">
        <x:v>E0030</x:v>
      </x:c>
      <x:c r="B35" s="70" t="str">
        <x:v>직원30</x:v>
      </x:c>
      <x:c r="C35" s="70" t="str">
        <x:v>IT</x:v>
      </x:c>
      <x:c r="D35" s="70" t="str">
        <x:v>과장</x:v>
      </x:c>
      <x:c r="E35" s="90" t="n">
        <x:v>4150000</x:v>
      </x:c>
      <x:c r="F35" s="91" t="n">
        <x:v>200000</x:v>
      </x:c>
    </x:row>
    <x:row r="36">
      <x:c r="A36" s="74" t="str">
        <x:v>E0031</x:v>
      </x:c>
      <x:c r="B36" s="70" t="str">
        <x:v>직원31</x:v>
      </x:c>
      <x:c r="C36" s="70" t="str">
        <x:v>관리</x:v>
      </x:c>
      <x:c r="D36" s="70" t="str">
        <x:v>차장</x:v>
      </x:c>
      <x:c r="E36" s="90" t="n">
        <x:v>4195000</x:v>
      </x:c>
      <x:c r="F36" s="91" t="n">
        <x:v>200000</x:v>
      </x:c>
    </x:row>
    <x:row r="37">
      <x:c r="A37" s="74" t="str">
        <x:v>E0032</x:v>
      </x:c>
      <x:c r="B37" s="70" t="str">
        <x:v>직원32</x:v>
      </x:c>
      <x:c r="C37" s="70" t="str">
        <x:v>영업</x:v>
      </x:c>
      <x:c r="D37" s="70" t="str">
        <x:v>사원</x:v>
      </x:c>
      <x:c r="E37" s="90" t="n">
        <x:v>4240000</x:v>
      </x:c>
      <x:c r="F37" s="91" t="n">
        <x:v>200000</x:v>
      </x:c>
    </x:row>
    <x:row r="38">
      <x:c r="A38" s="74" t="str">
        <x:v>E0033</x:v>
      </x:c>
      <x:c r="B38" s="70" t="str">
        <x:v>직원33</x:v>
      </x:c>
      <x:c r="C38" s="70" t="str">
        <x:v>생산</x:v>
      </x:c>
      <x:c r="D38" s="70" t="str">
        <x:v>대리</x:v>
      </x:c>
      <x:c r="E38" s="90" t="n">
        <x:v>4285000</x:v>
      </x:c>
      <x:c r="F38" s="91" t="n">
        <x:v>200000</x:v>
      </x:c>
    </x:row>
    <x:row r="39">
      <x:c r="A39" s="74" t="str">
        <x:v>E0034</x:v>
      </x:c>
      <x:c r="B39" s="70" t="str">
        <x:v>직원34</x:v>
      </x:c>
      <x:c r="C39" s="70" t="str">
        <x:v>IT</x:v>
      </x:c>
      <x:c r="D39" s="70" t="str">
        <x:v>과장</x:v>
      </x:c>
      <x:c r="E39" s="90" t="n">
        <x:v>4330000</x:v>
      </x:c>
      <x:c r="F39" s="91" t="n">
        <x:v>200000</x:v>
      </x:c>
    </x:row>
    <x:row r="40">
      <x:c r="A40" s="74" t="str">
        <x:v>E0035</x:v>
      </x:c>
      <x:c r="B40" s="70" t="str">
        <x:v>직원35</x:v>
      </x:c>
      <x:c r="C40" s="70" t="str">
        <x:v>관리</x:v>
      </x:c>
      <x:c r="D40" s="70" t="str">
        <x:v>차장</x:v>
      </x:c>
      <x:c r="E40" s="90" t="n">
        <x:v>4375000</x:v>
      </x:c>
      <x:c r="F40" s="91" t="n">
        <x:v>200000</x:v>
      </x:c>
    </x:row>
    <x:row r="41">
      <x:c r="A41" s="74" t="str">
        <x:v>E0036</x:v>
      </x:c>
      <x:c r="B41" s="70" t="str">
        <x:v>직원36</x:v>
      </x:c>
      <x:c r="C41" s="70" t="str">
        <x:v>영업</x:v>
      </x:c>
      <x:c r="D41" s="70" t="str">
        <x:v>사원</x:v>
      </x:c>
      <x:c r="E41" s="90" t="n">
        <x:v>4420000</x:v>
      </x:c>
      <x:c r="F41" s="91" t="n">
        <x:v>200000</x:v>
      </x:c>
    </x:row>
    <x:row r="42">
      <x:c r="A42" s="74" t="str">
        <x:v>E0037</x:v>
      </x:c>
      <x:c r="B42" s="70" t="str">
        <x:v>직원37</x:v>
      </x:c>
      <x:c r="C42" s="70" t="str">
        <x:v>생산</x:v>
      </x:c>
      <x:c r="D42" s="70" t="str">
        <x:v>대리</x:v>
      </x:c>
      <x:c r="E42" s="90" t="n">
        <x:v>4465000</x:v>
      </x:c>
      <x:c r="F42" s="91" t="n">
        <x:v>200000</x:v>
      </x:c>
    </x:row>
    <x:row r="43">
      <x:c r="A43" s="74" t="str">
        <x:v>E0038</x:v>
      </x:c>
      <x:c r="B43" s="70" t="str">
        <x:v>직원38</x:v>
      </x:c>
      <x:c r="C43" s="70" t="str">
        <x:v>IT</x:v>
      </x:c>
      <x:c r="D43" s="70" t="str">
        <x:v>과장</x:v>
      </x:c>
      <x:c r="E43" s="90" t="n">
        <x:v>4510000</x:v>
      </x:c>
      <x:c r="F43" s="91" t="n">
        <x:v>200000</x:v>
      </x:c>
    </x:row>
    <x:row r="44">
      <x:c r="A44" s="74" t="str">
        <x:v>E0039</x:v>
      </x:c>
      <x:c r="B44" s="70" t="str">
        <x:v>직원39</x:v>
      </x:c>
      <x:c r="C44" s="70" t="str">
        <x:v>관리</x:v>
      </x:c>
      <x:c r="D44" s="70" t="str">
        <x:v>차장</x:v>
      </x:c>
      <x:c r="E44" s="90" t="n">
        <x:v>4555000</x:v>
      </x:c>
      <x:c r="F44" s="91" t="n">
        <x:v>200000</x:v>
      </x:c>
    </x:row>
    <x:row r="45">
      <x:c r="A45" s="74" t="str">
        <x:v>E0040</x:v>
      </x:c>
      <x:c r="B45" s="70" t="str">
        <x:v>직원40</x:v>
      </x:c>
      <x:c r="C45" s="70" t="str">
        <x:v>영업</x:v>
      </x:c>
      <x:c r="D45" s="70" t="str">
        <x:v>사원</x:v>
      </x:c>
      <x:c r="E45" s="90" t="n">
        <x:v>4600000</x:v>
      </x:c>
      <x:c r="F45" s="91" t="n">
        <x:v>200000</x:v>
      </x:c>
    </x:row>
    <x:row r="46">
      <x:c r="A46" s="74" t="str">
        <x:v>E0041</x:v>
      </x:c>
      <x:c r="B46" s="70" t="str">
        <x:v>직원41</x:v>
      </x:c>
      <x:c r="C46" s="70" t="str">
        <x:v>생산</x:v>
      </x:c>
      <x:c r="D46" s="70" t="str">
        <x:v>대리</x:v>
      </x:c>
      <x:c r="E46" s="90" t="n">
        <x:v>4645000</x:v>
      </x:c>
      <x:c r="F46" s="91" t="n">
        <x:v>200000</x:v>
      </x:c>
    </x:row>
    <x:row r="47">
      <x:c r="A47" s="74" t="str">
        <x:v>E0042</x:v>
      </x:c>
      <x:c r="B47" s="70" t="str">
        <x:v>직원42</x:v>
      </x:c>
      <x:c r="C47" s="70" t="str">
        <x:v>IT</x:v>
      </x:c>
      <x:c r="D47" s="70" t="str">
        <x:v>과장</x:v>
      </x:c>
      <x:c r="E47" s="90" t="n">
        <x:v>4690000</x:v>
      </x:c>
      <x:c r="F47" s="91" t="n">
        <x:v>200000</x:v>
      </x:c>
    </x:row>
    <x:row r="48">
      <x:c r="A48" s="74" t="str">
        <x:v>E0043</x:v>
      </x:c>
      <x:c r="B48" s="70" t="str">
        <x:v>직원43</x:v>
      </x:c>
      <x:c r="C48" s="70" t="str">
        <x:v>관리</x:v>
      </x:c>
      <x:c r="D48" s="70" t="str">
        <x:v>차장</x:v>
      </x:c>
      <x:c r="E48" s="90" t="n">
        <x:v>4735000</x:v>
      </x:c>
      <x:c r="F48" s="91" t="n">
        <x:v>200000</x:v>
      </x:c>
    </x:row>
    <x:row r="49">
      <x:c r="A49" s="74" t="str">
        <x:v>E0044</x:v>
      </x:c>
      <x:c r="B49" s="70" t="str">
        <x:v>직원44</x:v>
      </x:c>
      <x:c r="C49" s="70" t="str">
        <x:v>영업</x:v>
      </x:c>
      <x:c r="D49" s="70" t="str">
        <x:v>사원</x:v>
      </x:c>
      <x:c r="E49" s="90" t="n">
        <x:v>4780000</x:v>
      </x:c>
      <x:c r="F49" s="91" t="n">
        <x:v>200000</x:v>
      </x:c>
    </x:row>
    <x:row r="50">
      <x:c r="A50" s="74" t="str">
        <x:v>E0045</x:v>
      </x:c>
      <x:c r="B50" s="70" t="str">
        <x:v>직원45</x:v>
      </x:c>
      <x:c r="C50" s="70" t="str">
        <x:v>생산</x:v>
      </x:c>
      <x:c r="D50" s="70" t="str">
        <x:v>대리</x:v>
      </x:c>
      <x:c r="E50" s="90" t="n">
        <x:v>4825000</x:v>
      </x:c>
      <x:c r="F50" s="91" t="n">
        <x:v>200000</x:v>
      </x:c>
    </x:row>
    <x:row r="51">
      <x:c r="A51" s="74" t="str">
        <x:v>E0046</x:v>
      </x:c>
      <x:c r="B51" s="70" t="str">
        <x:v>직원46</x:v>
      </x:c>
      <x:c r="C51" s="70" t="str">
        <x:v>IT</x:v>
      </x:c>
      <x:c r="D51" s="70" t="str">
        <x:v>과장</x:v>
      </x:c>
      <x:c r="E51" s="90" t="n">
        <x:v>4870000</x:v>
      </x:c>
      <x:c r="F51" s="91" t="n">
        <x:v>200000</x:v>
      </x:c>
    </x:row>
    <x:row r="52">
      <x:c r="A52" s="74" t="str">
        <x:v>E0047</x:v>
      </x:c>
      <x:c r="B52" s="70" t="str">
        <x:v>직원47</x:v>
      </x:c>
      <x:c r="C52" s="70" t="str">
        <x:v>관리</x:v>
      </x:c>
      <x:c r="D52" s="70" t="str">
        <x:v>차장</x:v>
      </x:c>
      <x:c r="E52" s="90" t="n">
        <x:v>4915000</x:v>
      </x:c>
      <x:c r="F52" s="91" t="n">
        <x:v>200000</x:v>
      </x:c>
    </x:row>
    <x:row r="53">
      <x:c r="A53" s="74" t="str">
        <x:v>E0048</x:v>
      </x:c>
      <x:c r="B53" s="70" t="str">
        <x:v>직원48</x:v>
      </x:c>
      <x:c r="C53" s="70" t="str">
        <x:v>영업</x:v>
      </x:c>
      <x:c r="D53" s="70" t="str">
        <x:v>사원</x:v>
      </x:c>
      <x:c r="E53" s="90" t="n">
        <x:v>4960000</x:v>
      </x:c>
      <x:c r="F53" s="91" t="n">
        <x:v>200000</x:v>
      </x:c>
    </x:row>
    <x:row r="54">
      <x:c r="A54" s="74" t="str">
        <x:v>E0049</x:v>
      </x:c>
      <x:c r="B54" s="70" t="str">
        <x:v>직원49</x:v>
      </x:c>
      <x:c r="C54" s="70" t="str">
        <x:v>생산</x:v>
      </x:c>
      <x:c r="D54" s="70" t="str">
        <x:v>대리</x:v>
      </x:c>
      <x:c r="E54" s="90" t="n">
        <x:v>5005000</x:v>
      </x:c>
      <x:c r="F54" s="91" t="n">
        <x:v>200000</x:v>
      </x:c>
    </x:row>
    <x:row r="55">
      <x:c r="A55" s="76" t="str">
        <x:v>E0050</x:v>
      </x:c>
      <x:c r="B55" s="77" t="str">
        <x:v>직원50</x:v>
      </x:c>
      <x:c r="C55" s="77" t="str">
        <x:v>IT</x:v>
      </x:c>
      <x:c r="D55" s="77" t="str">
        <x:v>과장</x:v>
      </x:c>
      <x:c r="E55" s="92" t="n">
        <x:v>5050000</x:v>
      </x:c>
      <x:c r="F55" s="93" t="n">
        <x:v>200000</x:v>
      </x:c>
    </x:row>
  </x:sheetData>
  <x:mergeCells>
    <x:mergeCell ref="A1:F1"/>
    <x:mergeCell ref="A2:F2"/>
    <x:mergeCell ref="A3:F3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14" hidden="0" customWidth="1"/>
    <x:col min="3" max="3" width="14" hidden="0" customWidth="1"/>
    <x:col min="4" max="4" width="14" hidden="0" customWidth="1"/>
    <x:col min="5" max="5" width="20" hidden="0" customWidth="1"/>
  </x:cols>
  <x:sheetData>
    <x:row r="1" ht="30" customHeight="1">
      <x:c r="A1" s="5" t="str">
        <x:v>초과근무 내역</x:v>
      </x:c>
      <x:c r="B1" s="5"/>
      <x:c r="C1" s="5"/>
      <x:c r="D1" s="5"/>
      <x:c r="E1" s="5"/>
    </x:row>
    <x:row r="2" ht="24" customHeight="1">
      <x:c r="A2" s="12" t="str">
        <x:v>합성 근태 데이터</x:v>
      </x:c>
      <x:c r="B2" s="12"/>
      <x:c r="C2" s="12"/>
      <x:c r="D2" s="12"/>
      <x:c r="E2" s="12"/>
    </x:row>
    <x:row r="3" ht="20" customHeight="1">
      <x:c r="A3" s="18" t="str">
        <x:v>합성 데이터 기반 M4-C 검증 샘플입니다. 노란색은 입력, 파란색은 계산 영역입니다.</x:v>
      </x:c>
      <x:c r="B3" s="18"/>
      <x:c r="C3" s="18"/>
      <x:c r="D3" s="18"/>
      <x:c r="E3" s="18"/>
    </x:row>
    <x:row r="5" ht="28" customHeight="1">
      <x:c r="A5" s="30" t="str">
        <x:v>일자</x:v>
      </x:c>
      <x:c r="B5" s="65" t="str">
        <x:v>사번</x:v>
      </x:c>
      <x:c r="C5" s="65" t="str">
        <x:v>성명</x:v>
      </x:c>
      <x:c r="D5" s="65" t="str">
        <x:v>초과근무시간</x:v>
      </x:c>
      <x:c r="E5" s="31" t="str">
        <x:v>사유</x:v>
      </x:c>
    </x:row>
    <x:row r="6">
      <x:c r="A6" s="100" t="n">
        <x:v>46235</x:v>
      </x:c>
      <x:c r="B6" s="72" t="str">
        <x:v>E0001</x:v>
      </x:c>
      <x:c r="C6" s="72" t="str">
        <x:v>직원01</x:v>
      </x:c>
      <x:c r="D6" s="106" t="n">
        <x:v>2.9</x:v>
      </x:c>
      <x:c r="E6" s="73" t="str">
        <x:v>월말마감</x:v>
      </x:c>
    </x:row>
    <x:row r="7">
      <x:c r="A7" s="101" t="n">
        <x:v>46236</x:v>
      </x:c>
      <x:c r="B7" s="70" t="str">
        <x:v>E0002</x:v>
      </x:c>
      <x:c r="C7" s="70" t="str">
        <x:v>직원02</x:v>
      </x:c>
      <x:c r="D7" s="107" t="n">
        <x:v>0.2</x:v>
      </x:c>
      <x:c r="E7" s="75" t="str">
        <x:v>긴급지원</x:v>
      </x:c>
    </x:row>
    <x:row r="8">
      <x:c r="A8" s="101" t="n">
        <x:v>46237</x:v>
      </x:c>
      <x:c r="B8" s="70" t="str">
        <x:v>E0003</x:v>
      </x:c>
      <x:c r="C8" s="70" t="str">
        <x:v>직원03</x:v>
      </x:c>
      <x:c r="D8" s="107" t="n">
        <x:v>2.7</x:v>
      </x:c>
      <x:c r="E8" s="75" t="str">
        <x:v>생산대응</x:v>
      </x:c>
    </x:row>
    <x:row r="9">
      <x:c r="A9" s="101" t="n">
        <x:v>46238</x:v>
      </x:c>
      <x:c r="B9" s="70" t="str">
        <x:v>E0004</x:v>
      </x:c>
      <x:c r="C9" s="70" t="str">
        <x:v>직원04</x:v>
      </x:c>
      <x:c r="D9" s="107" t="n">
        <x:v>2.6</x:v>
      </x:c>
      <x:c r="E9" s="75" t="str"/>
    </x:row>
    <x:row r="10">
      <x:c r="A10" s="101" t="n">
        <x:v>46239</x:v>
      </x:c>
      <x:c r="B10" s="70" t="str">
        <x:v>E0005</x:v>
      </x:c>
      <x:c r="C10" s="70" t="str">
        <x:v>직원05</x:v>
      </x:c>
      <x:c r="D10" s="107" t="n">
        <x:v>0.5</x:v>
      </x:c>
      <x:c r="E10" s="75" t="str">
        <x:v>월말마감</x:v>
      </x:c>
    </x:row>
    <x:row r="11">
      <x:c r="A11" s="101" t="n">
        <x:v>46240</x:v>
      </x:c>
      <x:c r="B11" s="70" t="str">
        <x:v>E0006</x:v>
      </x:c>
      <x:c r="C11" s="70" t="str">
        <x:v>직원06</x:v>
      </x:c>
      <x:c r="D11" s="107" t="n">
        <x:v>1.9</x:v>
      </x:c>
      <x:c r="E11" s="75" t="str">
        <x:v>긴급지원</x:v>
      </x:c>
    </x:row>
    <x:row r="12">
      <x:c r="A12" s="101" t="n">
        <x:v>46241</x:v>
      </x:c>
      <x:c r="B12" s="70" t="str">
        <x:v>E0007</x:v>
      </x:c>
      <x:c r="C12" s="70" t="str">
        <x:v>직원07</x:v>
      </x:c>
      <x:c r="D12" s="107" t="n">
        <x:v>0.7</x:v>
      </x:c>
      <x:c r="E12" s="75" t="str">
        <x:v>생산대응</x:v>
      </x:c>
    </x:row>
    <x:row r="13">
      <x:c r="A13" s="101" t="n">
        <x:v>46242</x:v>
      </x:c>
      <x:c r="B13" s="70" t="str">
        <x:v>E0008</x:v>
      </x:c>
      <x:c r="C13" s="70" t="str">
        <x:v>직원08</x:v>
      </x:c>
      <x:c r="D13" s="107" t="n">
        <x:v>3.6</x:v>
      </x:c>
      <x:c r="E13" s="75" t="str"/>
    </x:row>
    <x:row r="14">
      <x:c r="A14" s="101" t="n">
        <x:v>46243</x:v>
      </x:c>
      <x:c r="B14" s="70" t="str">
        <x:v>E0009</x:v>
      </x:c>
      <x:c r="C14" s="70" t="str">
        <x:v>직원09</x:v>
      </x:c>
      <x:c r="D14" s="107" t="n">
        <x:v>2.6</x:v>
      </x:c>
      <x:c r="E14" s="75" t="str">
        <x:v>월말마감</x:v>
      </x:c>
    </x:row>
    <x:row r="15">
      <x:c r="A15" s="101" t="n">
        <x:v>46244</x:v>
      </x:c>
      <x:c r="B15" s="70" t="str">
        <x:v>E0010</x:v>
      </x:c>
      <x:c r="C15" s="70" t="str">
        <x:v>직원10</x:v>
      </x:c>
      <x:c r="D15" s="107" t="n">
        <x:v>0.1</x:v>
      </x:c>
      <x:c r="E15" s="75" t="str">
        <x:v>긴급지원</x:v>
      </x:c>
    </x:row>
    <x:row r="16">
      <x:c r="A16" s="101" t="n">
        <x:v>46245</x:v>
      </x:c>
      <x:c r="B16" s="70" t="str">
        <x:v>E0011</x:v>
      </x:c>
      <x:c r="C16" s="70" t="str">
        <x:v>직원11</x:v>
      </x:c>
      <x:c r="D16" s="107" t="n">
        <x:v>3</x:v>
      </x:c>
      <x:c r="E16" s="75" t="str">
        <x:v>생산대응</x:v>
      </x:c>
    </x:row>
    <x:row r="17">
      <x:c r="A17" s="101" t="n">
        <x:v>46246</x:v>
      </x:c>
      <x:c r="B17" s="70" t="str">
        <x:v>E0012</x:v>
      </x:c>
      <x:c r="C17" s="70" t="str">
        <x:v>직원12</x:v>
      </x:c>
      <x:c r="D17" s="107" t="n">
        <x:v>1.7</x:v>
      </x:c>
      <x:c r="E17" s="75" t="str"/>
    </x:row>
    <x:row r="18">
      <x:c r="A18" s="101" t="n">
        <x:v>46247</x:v>
      </x:c>
      <x:c r="B18" s="70" t="str">
        <x:v>E0013</x:v>
      </x:c>
      <x:c r="C18" s="70" t="str">
        <x:v>직원13</x:v>
      </x:c>
      <x:c r="D18" s="107" t="n">
        <x:v>0.4</x:v>
      </x:c>
      <x:c r="E18" s="75" t="str">
        <x:v>월말마감</x:v>
      </x:c>
    </x:row>
    <x:row r="19">
      <x:c r="A19" s="101" t="n">
        <x:v>46248</x:v>
      </x:c>
      <x:c r="B19" s="70" t="str">
        <x:v>E0014</x:v>
      </x:c>
      <x:c r="C19" s="70" t="str">
        <x:v>직원14</x:v>
      </x:c>
      <x:c r="D19" s="107" t="n">
        <x:v>1.6</x:v>
      </x:c>
      <x:c r="E19" s="75" t="str">
        <x:v>긴급지원</x:v>
      </x:c>
    </x:row>
    <x:row r="20">
      <x:c r="A20" s="101" t="n">
        <x:v>46249</x:v>
      </x:c>
      <x:c r="B20" s="70" t="str">
        <x:v>E0015</x:v>
      </x:c>
      <x:c r="C20" s="70" t="str">
        <x:v>직원15</x:v>
      </x:c>
      <x:c r="D20" s="107" t="n">
        <x:v>1.7</x:v>
      </x:c>
      <x:c r="E20" s="75" t="str">
        <x:v>생산대응</x:v>
      </x:c>
    </x:row>
    <x:row r="21">
      <x:c r="A21" s="101" t="n">
        <x:v>46250</x:v>
      </x:c>
      <x:c r="B21" s="70" t="str">
        <x:v>E0016</x:v>
      </x:c>
      <x:c r="C21" s="70" t="str">
        <x:v>직원16</x:v>
      </x:c>
      <x:c r="D21" s="107" t="n">
        <x:v>3.8</x:v>
      </x:c>
      <x:c r="E21" s="75" t="str"/>
    </x:row>
    <x:row r="22">
      <x:c r="A22" s="101" t="n">
        <x:v>46251</x:v>
      </x:c>
      <x:c r="B22" s="70" t="str">
        <x:v>E0017</x:v>
      </x:c>
      <x:c r="C22" s="70" t="str">
        <x:v>직원17</x:v>
      </x:c>
      <x:c r="D22" s="107" t="n">
        <x:v>0.3</x:v>
      </x:c>
      <x:c r="E22" s="75" t="str">
        <x:v>월말마감</x:v>
      </x:c>
    </x:row>
    <x:row r="23">
      <x:c r="A23" s="101" t="n">
        <x:v>46252</x:v>
      </x:c>
      <x:c r="B23" s="70" t="str">
        <x:v>E0018</x:v>
      </x:c>
      <x:c r="C23" s="70" t="str">
        <x:v>직원18</x:v>
      </x:c>
      <x:c r="D23" s="107" t="n">
        <x:v>0.9</x:v>
      </x:c>
      <x:c r="E23" s="75" t="str">
        <x:v>긴급지원</x:v>
      </x:c>
    </x:row>
    <x:row r="24">
      <x:c r="A24" s="101" t="n">
        <x:v>46253</x:v>
      </x:c>
      <x:c r="B24" s="70" t="str">
        <x:v>E0019</x:v>
      </x:c>
      <x:c r="C24" s="70" t="str">
        <x:v>직원19</x:v>
      </x:c>
      <x:c r="D24" s="107" t="n">
        <x:v>3.1</x:v>
      </x:c>
      <x:c r="E24" s="75" t="str">
        <x:v>생산대응</x:v>
      </x:c>
    </x:row>
    <x:row r="25">
      <x:c r="A25" s="101" t="n">
        <x:v>46254</x:v>
      </x:c>
      <x:c r="B25" s="70" t="str">
        <x:v>E0020</x:v>
      </x:c>
      <x:c r="C25" s="70" t="str">
        <x:v>직원20</x:v>
      </x:c>
      <x:c r="D25" s="107" t="n">
        <x:v>2.2</x:v>
      </x:c>
      <x:c r="E25" s="75" t="str"/>
    </x:row>
    <x:row r="26">
      <x:c r="A26" s="101" t="n">
        <x:v>46255</x:v>
      </x:c>
      <x:c r="B26" s="70" t="str">
        <x:v>E0021</x:v>
      </x:c>
      <x:c r="C26" s="70" t="str">
        <x:v>직원21</x:v>
      </x:c>
      <x:c r="D26" s="107" t="n">
        <x:v>0.6</x:v>
      </x:c>
      <x:c r="E26" s="75" t="str">
        <x:v>월말마감</x:v>
      </x:c>
    </x:row>
    <x:row r="27">
      <x:c r="A27" s="101" t="n">
        <x:v>46256</x:v>
      </x:c>
      <x:c r="B27" s="70" t="str">
        <x:v>E0022</x:v>
      </x:c>
      <x:c r="C27" s="70" t="str">
        <x:v>직원22</x:v>
      </x:c>
      <x:c r="D27" s="107" t="n">
        <x:v>1.7</x:v>
      </x:c>
      <x:c r="E27" s="75" t="str">
        <x:v>긴급지원</x:v>
      </x:c>
    </x:row>
    <x:row r="28">
      <x:c r="A28" s="101" t="n">
        <x:v>46257</x:v>
      </x:c>
      <x:c r="B28" s="70" t="str">
        <x:v>E0023</x:v>
      </x:c>
      <x:c r="C28" s="70" t="str">
        <x:v>직원23</x:v>
      </x:c>
      <x:c r="D28" s="107" t="n">
        <x:v>2.4</x:v>
      </x:c>
      <x:c r="E28" s="75" t="str">
        <x:v>생산대응</x:v>
      </x:c>
    </x:row>
    <x:row r="29">
      <x:c r="A29" s="101" t="n">
        <x:v>46258</x:v>
      </x:c>
      <x:c r="B29" s="70" t="str">
        <x:v>E0024</x:v>
      </x:c>
      <x:c r="C29" s="70" t="str">
        <x:v>직원24</x:v>
      </x:c>
      <x:c r="D29" s="107" t="n">
        <x:v>1.3</x:v>
      </x:c>
      <x:c r="E29" s="75" t="str"/>
    </x:row>
    <x:row r="30">
      <x:c r="A30" s="101" t="n">
        <x:v>46259</x:v>
      </x:c>
      <x:c r="B30" s="70" t="str">
        <x:v>E0025</x:v>
      </x:c>
      <x:c r="C30" s="70" t="str">
        <x:v>직원25</x:v>
      </x:c>
      <x:c r="D30" s="107" t="n">
        <x:v>3</x:v>
      </x:c>
      <x:c r="E30" s="75" t="str">
        <x:v>월말마감</x:v>
      </x:c>
    </x:row>
    <x:row r="31">
      <x:c r="A31" s="101" t="n">
        <x:v>46260</x:v>
      </x:c>
      <x:c r="B31" s="70" t="str">
        <x:v>E0026</x:v>
      </x:c>
      <x:c r="C31" s="70" t="str">
        <x:v>직원26</x:v>
      </x:c>
      <x:c r="D31" s="107" t="n">
        <x:v>0.5</x:v>
      </x:c>
      <x:c r="E31" s="75" t="str">
        <x:v>긴급지원</x:v>
      </x:c>
    </x:row>
    <x:row r="32">
      <x:c r="A32" s="101" t="n">
        <x:v>46261</x:v>
      </x:c>
      <x:c r="B32" s="70" t="str">
        <x:v>E0027</x:v>
      </x:c>
      <x:c r="C32" s="70" t="str">
        <x:v>직원27</x:v>
      </x:c>
      <x:c r="D32" s="107" t="n">
        <x:v>3.6</x:v>
      </x:c>
      <x:c r="E32" s="75" t="str">
        <x:v>생산대응</x:v>
      </x:c>
    </x:row>
    <x:row r="33">
      <x:c r="A33" s="101" t="n">
        <x:v>46262</x:v>
      </x:c>
      <x:c r="B33" s="70" t="str">
        <x:v>E0028</x:v>
      </x:c>
      <x:c r="C33" s="70" t="str">
        <x:v>직원28</x:v>
      </x:c>
      <x:c r="D33" s="107" t="n">
        <x:v>2.3</x:v>
      </x:c>
      <x:c r="E33" s="75" t="str"/>
    </x:row>
    <x:row r="34">
      <x:c r="A34" s="101" t="n">
        <x:v>46235</x:v>
      </x:c>
      <x:c r="B34" s="70" t="str">
        <x:v>E0029</x:v>
      </x:c>
      <x:c r="C34" s="70" t="str">
        <x:v>직원29</x:v>
      </x:c>
      <x:c r="D34" s="107" t="n">
        <x:v>0.3</x:v>
      </x:c>
      <x:c r="E34" s="75" t="str">
        <x:v>월말마감</x:v>
      </x:c>
    </x:row>
    <x:row r="35">
      <x:c r="A35" s="101" t="n">
        <x:v>46236</x:v>
      </x:c>
      <x:c r="B35" s="70" t="str">
        <x:v>E0030</x:v>
      </x:c>
      <x:c r="C35" s="70" t="str">
        <x:v>직원30</x:v>
      </x:c>
      <x:c r="D35" s="107" t="n">
        <x:v>2.1</x:v>
      </x:c>
      <x:c r="E35" s="75" t="str">
        <x:v>긴급지원</x:v>
      </x:c>
    </x:row>
    <x:row r="36">
      <x:c r="A36" s="101" t="n">
        <x:v>46237</x:v>
      </x:c>
      <x:c r="B36" s="70" t="str">
        <x:v>E0031</x:v>
      </x:c>
      <x:c r="C36" s="70" t="str">
        <x:v>직원31</x:v>
      </x:c>
      <x:c r="D36" s="107" t="n">
        <x:v>3.9</x:v>
      </x:c>
      <x:c r="E36" s="75" t="str">
        <x:v>생산대응</x:v>
      </x:c>
    </x:row>
    <x:row r="37">
      <x:c r="A37" s="101" t="n">
        <x:v>46238</x:v>
      </x:c>
      <x:c r="B37" s="70" t="str">
        <x:v>E0032</x:v>
      </x:c>
      <x:c r="C37" s="70" t="str">
        <x:v>직원32</x:v>
      </x:c>
      <x:c r="D37" s="107" t="n">
        <x:v>1.5</x:v>
      </x:c>
      <x:c r="E37" s="75" t="str"/>
    </x:row>
    <x:row r="38">
      <x:c r="A38" s="101" t="n">
        <x:v>46239</x:v>
      </x:c>
      <x:c r="B38" s="70" t="str">
        <x:v>E0033</x:v>
      </x:c>
      <x:c r="C38" s="70" t="str">
        <x:v>직원33</x:v>
      </x:c>
      <x:c r="D38" s="107" t="n">
        <x:v>0.3</x:v>
      </x:c>
      <x:c r="E38" s="75" t="str">
        <x:v>월말마감</x:v>
      </x:c>
    </x:row>
    <x:row r="39">
      <x:c r="A39" s="101" t="n">
        <x:v>46240</x:v>
      </x:c>
      <x:c r="B39" s="70" t="str">
        <x:v>E0034</x:v>
      </x:c>
      <x:c r="C39" s="70" t="str">
        <x:v>직원34</x:v>
      </x:c>
      <x:c r="D39" s="107" t="n">
        <x:v>1.4</x:v>
      </x:c>
      <x:c r="E39" s="75" t="str">
        <x:v>긴급지원</x:v>
      </x:c>
    </x:row>
    <x:row r="40">
      <x:c r="A40" s="101" t="n">
        <x:v>46241</x:v>
      </x:c>
      <x:c r="B40" s="70" t="str">
        <x:v>E0035</x:v>
      </x:c>
      <x:c r="C40" s="70" t="str">
        <x:v>직원35</x:v>
      </x:c>
      <x:c r="D40" s="107" t="n">
        <x:v>0.3</x:v>
      </x:c>
      <x:c r="E40" s="75" t="str">
        <x:v>생산대응</x:v>
      </x:c>
    </x:row>
    <x:row r="41">
      <x:c r="A41" s="101" t="n">
        <x:v>46242</x:v>
      </x:c>
      <x:c r="B41" s="70" t="str">
        <x:v>E0036</x:v>
      </x:c>
      <x:c r="C41" s="70" t="str">
        <x:v>직원36</x:v>
      </x:c>
      <x:c r="D41" s="107" t="n">
        <x:v>0.2</x:v>
      </x:c>
      <x:c r="E41" s="75" t="str"/>
    </x:row>
    <x:row r="42">
      <x:c r="A42" s="101" t="n">
        <x:v>46243</x:v>
      </x:c>
      <x:c r="B42" s="70" t="str">
        <x:v>E0037</x:v>
      </x:c>
      <x:c r="C42" s="70" t="str">
        <x:v>직원37</x:v>
      </x:c>
      <x:c r="D42" s="107" t="n">
        <x:v>3.1</x:v>
      </x:c>
      <x:c r="E42" s="75" t="str">
        <x:v>월말마감</x:v>
      </x:c>
    </x:row>
    <x:row r="43">
      <x:c r="A43" s="101" t="n">
        <x:v>46244</x:v>
      </x:c>
      <x:c r="B43" s="70" t="str">
        <x:v>E0038</x:v>
      </x:c>
      <x:c r="C43" s="70" t="str">
        <x:v>직원38</x:v>
      </x:c>
      <x:c r="D43" s="107" t="n">
        <x:v>3.7</x:v>
      </x:c>
      <x:c r="E43" s="75" t="str">
        <x:v>긴급지원</x:v>
      </x:c>
    </x:row>
    <x:row r="44">
      <x:c r="A44" s="101" t="n">
        <x:v>46245</x:v>
      </x:c>
      <x:c r="B44" s="70" t="str">
        <x:v>E0039</x:v>
      </x:c>
      <x:c r="C44" s="70" t="str">
        <x:v>직원39</x:v>
      </x:c>
      <x:c r="D44" s="107" t="n">
        <x:v>1.3</x:v>
      </x:c>
      <x:c r="E44" s="75" t="str">
        <x:v>생산대응</x:v>
      </x:c>
    </x:row>
    <x:row r="45">
      <x:c r="A45" s="101" t="n">
        <x:v>46246</x:v>
      </x:c>
      <x:c r="B45" s="70" t="str">
        <x:v>E0040</x:v>
      </x:c>
      <x:c r="C45" s="70" t="str">
        <x:v>직원40</x:v>
      </x:c>
      <x:c r="D45" s="107" t="n">
        <x:v>3.8</x:v>
      </x:c>
      <x:c r="E45" s="75" t="str"/>
    </x:row>
    <x:row r="46">
      <x:c r="A46" s="101" t="n">
        <x:v>46247</x:v>
      </x:c>
      <x:c r="B46" s="70" t="str">
        <x:v>E0041</x:v>
      </x:c>
      <x:c r="C46" s="70" t="str">
        <x:v>직원41</x:v>
      </x:c>
      <x:c r="D46" s="107" t="n">
        <x:v>2</x:v>
      </x:c>
      <x:c r="E46" s="75" t="str">
        <x:v>월말마감</x:v>
      </x:c>
    </x:row>
    <x:row r="47">
      <x:c r="A47" s="101" t="n">
        <x:v>46248</x:v>
      </x:c>
      <x:c r="B47" s="70" t="str">
        <x:v>E0042</x:v>
      </x:c>
      <x:c r="C47" s="70" t="str">
        <x:v>직원42</x:v>
      </x:c>
      <x:c r="D47" s="107" t="n">
        <x:v>1.3</x:v>
      </x:c>
      <x:c r="E47" s="75" t="str">
        <x:v>긴급지원</x:v>
      </x:c>
    </x:row>
    <x:row r="48">
      <x:c r="A48" s="101" t="n">
        <x:v>46249</x:v>
      </x:c>
      <x:c r="B48" s="70" t="str">
        <x:v>E0043</x:v>
      </x:c>
      <x:c r="C48" s="70" t="str">
        <x:v>직원43</x:v>
      </x:c>
      <x:c r="D48" s="107" t="n">
        <x:v>2.6</x:v>
      </x:c>
      <x:c r="E48" s="75" t="str">
        <x:v>생산대응</x:v>
      </x:c>
    </x:row>
    <x:row r="49">
      <x:c r="A49" s="101" t="n">
        <x:v>46250</x:v>
      </x:c>
      <x:c r="B49" s="70" t="str">
        <x:v>E0044</x:v>
      </x:c>
      <x:c r="C49" s="70" t="str">
        <x:v>직원44</x:v>
      </x:c>
      <x:c r="D49" s="107" t="n">
        <x:v>3.9</x:v>
      </x:c>
      <x:c r="E49" s="75" t="str"/>
    </x:row>
    <x:row r="50">
      <x:c r="A50" s="101" t="n">
        <x:v>46251</x:v>
      </x:c>
      <x:c r="B50" s="70" t="str">
        <x:v>E0045</x:v>
      </x:c>
      <x:c r="C50" s="70" t="str">
        <x:v>직원45</x:v>
      </x:c>
      <x:c r="D50" s="107" t="n">
        <x:v>2.5</x:v>
      </x:c>
      <x:c r="E50" s="75" t="str">
        <x:v>월말마감</x:v>
      </x:c>
    </x:row>
    <x:row r="51">
      <x:c r="A51" s="101" t="n">
        <x:v>46252</x:v>
      </x:c>
      <x:c r="B51" s="70" t="str">
        <x:v>E0046</x:v>
      </x:c>
      <x:c r="C51" s="70" t="str">
        <x:v>직원46</x:v>
      </x:c>
      <x:c r="D51" s="107" t="n">
        <x:v>2.4</x:v>
      </x:c>
      <x:c r="E51" s="75" t="str">
        <x:v>긴급지원</x:v>
      </x:c>
    </x:row>
    <x:row r="52">
      <x:c r="A52" s="101" t="n">
        <x:v>46253</x:v>
      </x:c>
      <x:c r="B52" s="70" t="str">
        <x:v>E0047</x:v>
      </x:c>
      <x:c r="C52" s="70" t="str">
        <x:v>직원47</x:v>
      </x:c>
      <x:c r="D52" s="107" t="n">
        <x:v>2</x:v>
      </x:c>
      <x:c r="E52" s="75" t="str">
        <x:v>생산대응</x:v>
      </x:c>
    </x:row>
    <x:row r="53">
      <x:c r="A53" s="101" t="n">
        <x:v>46254</x:v>
      </x:c>
      <x:c r="B53" s="70" t="str">
        <x:v>E0048</x:v>
      </x:c>
      <x:c r="C53" s="70" t="str">
        <x:v>직원48</x:v>
      </x:c>
      <x:c r="D53" s="107" t="n">
        <x:v>0.1</x:v>
      </x:c>
      <x:c r="E53" s="75" t="str"/>
    </x:row>
    <x:row r="54">
      <x:c r="A54" s="101" t="n">
        <x:v>46255</x:v>
      </x:c>
      <x:c r="B54" s="70" t="str">
        <x:v>E0049</x:v>
      </x:c>
      <x:c r="C54" s="70" t="str">
        <x:v>직원49</x:v>
      </x:c>
      <x:c r="D54" s="107" t="n">
        <x:v>3.4</x:v>
      </x:c>
      <x:c r="E54" s="75" t="str">
        <x:v>월말마감</x:v>
      </x:c>
    </x:row>
    <x:row r="55">
      <x:c r="A55" s="101" t="n">
        <x:v>46256</x:v>
      </x:c>
      <x:c r="B55" s="70" t="str">
        <x:v>E0050</x:v>
      </x:c>
      <x:c r="C55" s="70" t="str">
        <x:v>직원50</x:v>
      </x:c>
      <x:c r="D55" s="107" t="n">
        <x:v>1.8</x:v>
      </x:c>
      <x:c r="E55" s="75" t="str">
        <x:v>긴급지원</x:v>
      </x:c>
    </x:row>
    <x:row r="56">
      <x:c r="A56" s="101" t="n">
        <x:v>46257</x:v>
      </x:c>
      <x:c r="B56" s="70" t="str">
        <x:v>E0001</x:v>
      </x:c>
      <x:c r="C56" s="70" t="str">
        <x:v>직원01</x:v>
      </x:c>
      <x:c r="D56" s="107" t="n">
        <x:v>2.9</x:v>
      </x:c>
      <x:c r="E56" s="75" t="str">
        <x:v>생산대응</x:v>
      </x:c>
    </x:row>
    <x:row r="57">
      <x:c r="A57" s="101" t="n">
        <x:v>46258</x:v>
      </x:c>
      <x:c r="B57" s="70" t="str">
        <x:v>E0002</x:v>
      </x:c>
      <x:c r="C57" s="70" t="str">
        <x:v>직원02</x:v>
      </x:c>
      <x:c r="D57" s="107" t="n">
        <x:v>2.4</x:v>
      </x:c>
      <x:c r="E57" s="75" t="str"/>
    </x:row>
    <x:row r="58">
      <x:c r="A58" s="101" t="n">
        <x:v>46259</x:v>
      </x:c>
      <x:c r="B58" s="70" t="str">
        <x:v>E0003</x:v>
      </x:c>
      <x:c r="C58" s="70" t="str">
        <x:v>직원03</x:v>
      </x:c>
      <x:c r="D58" s="107" t="n">
        <x:v>2.1</x:v>
      </x:c>
      <x:c r="E58" s="75" t="str">
        <x:v>월말마감</x:v>
      </x:c>
    </x:row>
    <x:row r="59">
      <x:c r="A59" s="101" t="n">
        <x:v>46260</x:v>
      </x:c>
      <x:c r="B59" s="70" t="str">
        <x:v>E0004</x:v>
      </x:c>
      <x:c r="C59" s="70" t="str">
        <x:v>직원04</x:v>
      </x:c>
      <x:c r="D59" s="107" t="n">
        <x:v>1.3</x:v>
      </x:c>
      <x:c r="E59" s="75" t="str">
        <x:v>긴급지원</x:v>
      </x:c>
    </x:row>
    <x:row r="60">
      <x:c r="A60" s="101" t="n">
        <x:v>46261</x:v>
      </x:c>
      <x:c r="B60" s="70" t="str">
        <x:v>E0005</x:v>
      </x:c>
      <x:c r="C60" s="70" t="str">
        <x:v>직원05</x:v>
      </x:c>
      <x:c r="D60" s="107" t="n">
        <x:v>0.3</x:v>
      </x:c>
      <x:c r="E60" s="75" t="str">
        <x:v>생산대응</x:v>
      </x:c>
    </x:row>
    <x:row r="61">
      <x:c r="A61" s="101" t="n">
        <x:v>46262</x:v>
      </x:c>
      <x:c r="B61" s="70" t="str">
        <x:v>E0006</x:v>
      </x:c>
      <x:c r="C61" s="70" t="str">
        <x:v>직원06</x:v>
      </x:c>
      <x:c r="D61" s="107" t="n">
        <x:v>1.7</x:v>
      </x:c>
      <x:c r="E61" s="75" t="str"/>
    </x:row>
    <x:row r="62">
      <x:c r="A62" s="101" t="n">
        <x:v>46235</x:v>
      </x:c>
      <x:c r="B62" s="70" t="str">
        <x:v>E0007</x:v>
      </x:c>
      <x:c r="C62" s="70" t="str">
        <x:v>직원07</x:v>
      </x:c>
      <x:c r="D62" s="107" t="n">
        <x:v>2.2</x:v>
      </x:c>
      <x:c r="E62" s="75" t="str">
        <x:v>월말마감</x:v>
      </x:c>
    </x:row>
    <x:row r="63">
      <x:c r="A63" s="101" t="n">
        <x:v>46236</x:v>
      </x:c>
      <x:c r="B63" s="70" t="str">
        <x:v>E0008</x:v>
      </x:c>
      <x:c r="C63" s="70" t="str">
        <x:v>직원08</x:v>
      </x:c>
      <x:c r="D63" s="107" t="n">
        <x:v>3.4</x:v>
      </x:c>
      <x:c r="E63" s="75" t="str">
        <x:v>긴급지원</x:v>
      </x:c>
    </x:row>
    <x:row r="64">
      <x:c r="A64" s="101" t="n">
        <x:v>46237</x:v>
      </x:c>
      <x:c r="B64" s="70" t="str">
        <x:v>E0009</x:v>
      </x:c>
      <x:c r="C64" s="70" t="str">
        <x:v>직원09</x:v>
      </x:c>
      <x:c r="D64" s="107" t="n">
        <x:v>0.6</x:v>
      </x:c>
      <x:c r="E64" s="75" t="str">
        <x:v>생산대응</x:v>
      </x:c>
    </x:row>
    <x:row r="65">
      <x:c r="A65" s="101" t="n">
        <x:v>46238</x:v>
      </x:c>
      <x:c r="B65" s="70" t="str">
        <x:v>E0010</x:v>
      </x:c>
      <x:c r="C65" s="70" t="str">
        <x:v>직원10</x:v>
      </x:c>
      <x:c r="D65" s="107" t="n">
        <x:v>3.1</x:v>
      </x:c>
      <x:c r="E65" s="75" t="str"/>
    </x:row>
    <x:row r="66">
      <x:c r="A66" s="101" t="n">
        <x:v>46239</x:v>
      </x:c>
      <x:c r="B66" s="70" t="str">
        <x:v>E0011</x:v>
      </x:c>
      <x:c r="C66" s="70" t="str">
        <x:v>직원11</x:v>
      </x:c>
      <x:c r="D66" s="107" t="n">
        <x:v>0.9</x:v>
      </x:c>
      <x:c r="E66" s="75" t="str">
        <x:v>월말마감</x:v>
      </x:c>
    </x:row>
    <x:row r="67">
      <x:c r="A67" s="101" t="n">
        <x:v>46240</x:v>
      </x:c>
      <x:c r="B67" s="70" t="str">
        <x:v>E0012</x:v>
      </x:c>
      <x:c r="C67" s="70" t="str">
        <x:v>직원12</x:v>
      </x:c>
      <x:c r="D67" s="107" t="n">
        <x:v>3.1</x:v>
      </x:c>
      <x:c r="E67" s="75" t="str">
        <x:v>긴급지원</x:v>
      </x:c>
    </x:row>
    <x:row r="68">
      <x:c r="A68" s="101" t="n">
        <x:v>46241</x:v>
      </x:c>
      <x:c r="B68" s="70" t="str">
        <x:v>E0013</x:v>
      </x:c>
      <x:c r="C68" s="70" t="str">
        <x:v>직원13</x:v>
      </x:c>
      <x:c r="D68" s="107" t="n">
        <x:v>3.2</x:v>
      </x:c>
      <x:c r="E68" s="75" t="str">
        <x:v>생산대응</x:v>
      </x:c>
    </x:row>
    <x:row r="69">
      <x:c r="A69" s="101" t="n">
        <x:v>46242</x:v>
      </x:c>
      <x:c r="B69" s="70" t="str">
        <x:v>E0014</x:v>
      </x:c>
      <x:c r="C69" s="70" t="str">
        <x:v>직원14</x:v>
      </x:c>
      <x:c r="D69" s="107" t="n">
        <x:v>0</x:v>
      </x:c>
      <x:c r="E69" s="75" t="str"/>
    </x:row>
    <x:row r="70">
      <x:c r="A70" s="101" t="n">
        <x:v>46243</x:v>
      </x:c>
      <x:c r="B70" s="70" t="str">
        <x:v>E0015</x:v>
      </x:c>
      <x:c r="C70" s="70" t="str">
        <x:v>직원15</x:v>
      </x:c>
      <x:c r="D70" s="107" t="n">
        <x:v>4</x:v>
      </x:c>
      <x:c r="E70" s="75" t="str">
        <x:v>월말마감</x:v>
      </x:c>
    </x:row>
    <x:row r="71">
      <x:c r="A71" s="101" t="n">
        <x:v>46244</x:v>
      </x:c>
      <x:c r="B71" s="70" t="str">
        <x:v>E0016</x:v>
      </x:c>
      <x:c r="C71" s="70" t="str">
        <x:v>직원16</x:v>
      </x:c>
      <x:c r="D71" s="107" t="n">
        <x:v>2.8</x:v>
      </x:c>
      <x:c r="E71" s="75" t="str">
        <x:v>긴급지원</x:v>
      </x:c>
    </x:row>
    <x:row r="72">
      <x:c r="A72" s="101" t="n">
        <x:v>46245</x:v>
      </x:c>
      <x:c r="B72" s="70" t="str">
        <x:v>E0017</x:v>
      </x:c>
      <x:c r="C72" s="70" t="str">
        <x:v>직원17</x:v>
      </x:c>
      <x:c r="D72" s="107" t="n">
        <x:v>1.9</x:v>
      </x:c>
      <x:c r="E72" s="75" t="str">
        <x:v>생산대응</x:v>
      </x:c>
    </x:row>
    <x:row r="73">
      <x:c r="A73" s="101" t="n">
        <x:v>46246</x:v>
      </x:c>
      <x:c r="B73" s="70" t="str">
        <x:v>E0018</x:v>
      </x:c>
      <x:c r="C73" s="70" t="str">
        <x:v>직원18</x:v>
      </x:c>
      <x:c r="D73" s="107" t="n">
        <x:v>2.2</x:v>
      </x:c>
      <x:c r="E73" s="75" t="str"/>
    </x:row>
    <x:row r="74">
      <x:c r="A74" s="101" t="n">
        <x:v>46247</x:v>
      </x:c>
      <x:c r="B74" s="70" t="str">
        <x:v>E0019</x:v>
      </x:c>
      <x:c r="C74" s="70" t="str">
        <x:v>직원19</x:v>
      </x:c>
      <x:c r="D74" s="107" t="n">
        <x:v>1.5</x:v>
      </x:c>
      <x:c r="E74" s="75" t="str">
        <x:v>월말마감</x:v>
      </x:c>
    </x:row>
    <x:row r="75">
      <x:c r="A75" s="101" t="n">
        <x:v>46248</x:v>
      </x:c>
      <x:c r="B75" s="70" t="str">
        <x:v>E0020</x:v>
      </x:c>
      <x:c r="C75" s="70" t="str">
        <x:v>직원20</x:v>
      </x:c>
      <x:c r="D75" s="107" t="n">
        <x:v>1.7</x:v>
      </x:c>
      <x:c r="E75" s="75" t="str">
        <x:v>긴급지원</x:v>
      </x:c>
    </x:row>
    <x:row r="76">
      <x:c r="A76" s="101" t="n">
        <x:v>46249</x:v>
      </x:c>
      <x:c r="B76" s="70" t="str">
        <x:v>E0021</x:v>
      </x:c>
      <x:c r="C76" s="70" t="str">
        <x:v>직원21</x:v>
      </x:c>
      <x:c r="D76" s="107" t="n">
        <x:v>0.3</x:v>
      </x:c>
      <x:c r="E76" s="75" t="str">
        <x:v>생산대응</x:v>
      </x:c>
    </x:row>
    <x:row r="77">
      <x:c r="A77" s="101" t="n">
        <x:v>46250</x:v>
      </x:c>
      <x:c r="B77" s="70" t="str">
        <x:v>E0022</x:v>
      </x:c>
      <x:c r="C77" s="70" t="str">
        <x:v>직원22</x:v>
      </x:c>
      <x:c r="D77" s="107" t="n">
        <x:v>2.4</x:v>
      </x:c>
      <x:c r="E77" s="75" t="str"/>
    </x:row>
    <x:row r="78">
      <x:c r="A78" s="101" t="n">
        <x:v>46251</x:v>
      </x:c>
      <x:c r="B78" s="70" t="str">
        <x:v>E0023</x:v>
      </x:c>
      <x:c r="C78" s="70" t="str">
        <x:v>직원23</x:v>
      </x:c>
      <x:c r="D78" s="107" t="n">
        <x:v>3.2</x:v>
      </x:c>
      <x:c r="E78" s="75" t="str">
        <x:v>월말마감</x:v>
      </x:c>
    </x:row>
    <x:row r="79">
      <x:c r="A79" s="101" t="n">
        <x:v>46252</x:v>
      </x:c>
      <x:c r="B79" s="70" t="str">
        <x:v>E0024</x:v>
      </x:c>
      <x:c r="C79" s="70" t="str">
        <x:v>직원24</x:v>
      </x:c>
      <x:c r="D79" s="107" t="n">
        <x:v>1.6</x:v>
      </x:c>
      <x:c r="E79" s="75" t="str">
        <x:v>긴급지원</x:v>
      </x:c>
    </x:row>
    <x:row r="80">
      <x:c r="A80" s="101" t="n">
        <x:v>46253</x:v>
      </x:c>
      <x:c r="B80" s="70" t="str">
        <x:v>E0025</x:v>
      </x:c>
      <x:c r="C80" s="70" t="str">
        <x:v>직원25</x:v>
      </x:c>
      <x:c r="D80" s="107" t="n">
        <x:v>1.7</x:v>
      </x:c>
      <x:c r="E80" s="75" t="str">
        <x:v>생산대응</x:v>
      </x:c>
    </x:row>
    <x:row r="81">
      <x:c r="A81" s="101" t="n">
        <x:v>46254</x:v>
      </x:c>
      <x:c r="B81" s="70" t="str">
        <x:v>E0026</x:v>
      </x:c>
      <x:c r="C81" s="70" t="str">
        <x:v>직원26</x:v>
      </x:c>
      <x:c r="D81" s="107" t="n">
        <x:v>3.6</x:v>
      </x:c>
      <x:c r="E81" s="75" t="str"/>
    </x:row>
    <x:row r="82">
      <x:c r="A82" s="101" t="n">
        <x:v>46255</x:v>
      </x:c>
      <x:c r="B82" s="70" t="str">
        <x:v>E0027</x:v>
      </x:c>
      <x:c r="C82" s="70" t="str">
        <x:v>직원27</x:v>
      </x:c>
      <x:c r="D82" s="107" t="n">
        <x:v>1.4</x:v>
      </x:c>
      <x:c r="E82" s="75" t="str">
        <x:v>월말마감</x:v>
      </x:c>
    </x:row>
    <x:row r="83">
      <x:c r="A83" s="101" t="n">
        <x:v>46256</x:v>
      </x:c>
      <x:c r="B83" s="70" t="str">
        <x:v>E0028</x:v>
      </x:c>
      <x:c r="C83" s="70" t="str">
        <x:v>직원28</x:v>
      </x:c>
      <x:c r="D83" s="107" t="n">
        <x:v>0.3</x:v>
      </x:c>
      <x:c r="E83" s="75" t="str">
        <x:v>긴급지원</x:v>
      </x:c>
    </x:row>
    <x:row r="84">
      <x:c r="A84" s="101" t="n">
        <x:v>46257</x:v>
      </x:c>
      <x:c r="B84" s="70" t="str">
        <x:v>E0029</x:v>
      </x:c>
      <x:c r="C84" s="70" t="str">
        <x:v>직원29</x:v>
      </x:c>
      <x:c r="D84" s="107" t="n">
        <x:v>1.4</x:v>
      </x:c>
      <x:c r="E84" s="75" t="str">
        <x:v>생산대응</x:v>
      </x:c>
    </x:row>
    <x:row r="85">
      <x:c r="A85" s="101" t="n">
        <x:v>46258</x:v>
      </x:c>
      <x:c r="B85" s="70" t="str">
        <x:v>E0030</x:v>
      </x:c>
      <x:c r="C85" s="70" t="str">
        <x:v>직원30</x:v>
      </x:c>
      <x:c r="D85" s="107" t="n">
        <x:v>2.6</x:v>
      </x:c>
      <x:c r="E85" s="75" t="str"/>
    </x:row>
    <x:row r="86">
      <x:c r="A86" s="101" t="n">
        <x:v>46259</x:v>
      </x:c>
      <x:c r="B86" s="70" t="str">
        <x:v>E0031</x:v>
      </x:c>
      <x:c r="C86" s="70" t="str">
        <x:v>직원31</x:v>
      </x:c>
      <x:c r="D86" s="107" t="n">
        <x:v>1.6</x:v>
      </x:c>
      <x:c r="E86" s="75" t="str">
        <x:v>월말마감</x:v>
      </x:c>
    </x:row>
    <x:row r="87">
      <x:c r="A87" s="101" t="n">
        <x:v>46260</x:v>
      </x:c>
      <x:c r="B87" s="70" t="str">
        <x:v>E0032</x:v>
      </x:c>
      <x:c r="C87" s="70" t="str">
        <x:v>직원32</x:v>
      </x:c>
      <x:c r="D87" s="107" t="n">
        <x:v>2.8</x:v>
      </x:c>
      <x:c r="E87" s="75" t="str">
        <x:v>긴급지원</x:v>
      </x:c>
    </x:row>
    <x:row r="88">
      <x:c r="A88" s="101" t="n">
        <x:v>46261</x:v>
      </x:c>
      <x:c r="B88" s="70" t="str">
        <x:v>E0033</x:v>
      </x:c>
      <x:c r="C88" s="70" t="str">
        <x:v>직원33</x:v>
      </x:c>
      <x:c r="D88" s="107" t="n">
        <x:v>3.3</x:v>
      </x:c>
      <x:c r="E88" s="75" t="str">
        <x:v>생산대응</x:v>
      </x:c>
    </x:row>
    <x:row r="89">
      <x:c r="A89" s="101" t="n">
        <x:v>46262</x:v>
      </x:c>
      <x:c r="B89" s="70" t="str">
        <x:v>E0034</x:v>
      </x:c>
      <x:c r="C89" s="70" t="str">
        <x:v>직원34</x:v>
      </x:c>
      <x:c r="D89" s="107" t="n">
        <x:v>2.6</x:v>
      </x:c>
      <x:c r="E89" s="75" t="str"/>
    </x:row>
    <x:row r="90">
      <x:c r="A90" s="101" t="n">
        <x:v>46235</x:v>
      </x:c>
      <x:c r="B90" s="70" t="str">
        <x:v>E0035</x:v>
      </x:c>
      <x:c r="C90" s="70" t="str">
        <x:v>직원35</x:v>
      </x:c>
      <x:c r="D90" s="107" t="n">
        <x:v>2.7</x:v>
      </x:c>
      <x:c r="E90" s="75" t="str">
        <x:v>월말마감</x:v>
      </x:c>
    </x:row>
    <x:row r="91">
      <x:c r="A91" s="101" t="n">
        <x:v>46236</x:v>
      </x:c>
      <x:c r="B91" s="70" t="str">
        <x:v>E0036</x:v>
      </x:c>
      <x:c r="C91" s="70" t="str">
        <x:v>직원36</x:v>
      </x:c>
      <x:c r="D91" s="107" t="n">
        <x:v>3</x:v>
      </x:c>
      <x:c r="E91" s="75" t="str">
        <x:v>긴급지원</x:v>
      </x:c>
    </x:row>
    <x:row r="92">
      <x:c r="A92" s="101" t="n">
        <x:v>46237</x:v>
      </x:c>
      <x:c r="B92" s="70" t="str">
        <x:v>E0037</x:v>
      </x:c>
      <x:c r="C92" s="70" t="str">
        <x:v>직원37</x:v>
      </x:c>
      <x:c r="D92" s="107" t="n">
        <x:v>3.6</x:v>
      </x:c>
      <x:c r="E92" s="75" t="str">
        <x:v>생산대응</x:v>
      </x:c>
    </x:row>
    <x:row r="93">
      <x:c r="A93" s="101" t="n">
        <x:v>46238</x:v>
      </x:c>
      <x:c r="B93" s="70" t="str">
        <x:v>E0038</x:v>
      </x:c>
      <x:c r="C93" s="70" t="str">
        <x:v>직원38</x:v>
      </x:c>
      <x:c r="D93" s="107" t="n">
        <x:v>0</x:v>
      </x:c>
      <x:c r="E93" s="75" t="str"/>
    </x:row>
    <x:row r="94">
      <x:c r="A94" s="101" t="n">
        <x:v>46239</x:v>
      </x:c>
      <x:c r="B94" s="70" t="str">
        <x:v>E0039</x:v>
      </x:c>
      <x:c r="C94" s="70" t="str">
        <x:v>직원39</x:v>
      </x:c>
      <x:c r="D94" s="107" t="n">
        <x:v>0.1</x:v>
      </x:c>
      <x:c r="E94" s="75" t="str">
        <x:v>월말마감</x:v>
      </x:c>
    </x:row>
    <x:row r="95">
      <x:c r="A95" s="101" t="n">
        <x:v>46240</x:v>
      </x:c>
      <x:c r="B95" s="70" t="str">
        <x:v>E0040</x:v>
      </x:c>
      <x:c r="C95" s="70" t="str">
        <x:v>직원40</x:v>
      </x:c>
      <x:c r="D95" s="107" t="n">
        <x:v>3.4</x:v>
      </x:c>
      <x:c r="E95" s="75" t="str">
        <x:v>긴급지원</x:v>
      </x:c>
    </x:row>
    <x:row r="96">
      <x:c r="A96" s="101" t="n">
        <x:v>46241</x:v>
      </x:c>
      <x:c r="B96" s="70" t="str">
        <x:v>E0041</x:v>
      </x:c>
      <x:c r="C96" s="70" t="str">
        <x:v>직원41</x:v>
      </x:c>
      <x:c r="D96" s="107" t="n">
        <x:v>3.6</x:v>
      </x:c>
      <x:c r="E96" s="75" t="str">
        <x:v>생산대응</x:v>
      </x:c>
    </x:row>
    <x:row r="97">
      <x:c r="A97" s="101" t="n">
        <x:v>46242</x:v>
      </x:c>
      <x:c r="B97" s="70" t="str">
        <x:v>E0042</x:v>
      </x:c>
      <x:c r="C97" s="70" t="str">
        <x:v>직원42</x:v>
      </x:c>
      <x:c r="D97" s="107" t="n">
        <x:v>0.3</x:v>
      </x:c>
      <x:c r="E97" s="75" t="str"/>
    </x:row>
    <x:row r="98">
      <x:c r="A98" s="101" t="n">
        <x:v>46243</x:v>
      </x:c>
      <x:c r="B98" s="70" t="str">
        <x:v>E0043</x:v>
      </x:c>
      <x:c r="C98" s="70" t="str">
        <x:v>직원43</x:v>
      </x:c>
      <x:c r="D98" s="107" t="n">
        <x:v>0.8</x:v>
      </x:c>
      <x:c r="E98" s="75" t="str">
        <x:v>월말마감</x:v>
      </x:c>
    </x:row>
    <x:row r="99">
      <x:c r="A99" s="101" t="n">
        <x:v>46244</x:v>
      </x:c>
      <x:c r="B99" s="70" t="str">
        <x:v>E0044</x:v>
      </x:c>
      <x:c r="C99" s="70" t="str">
        <x:v>직원44</x:v>
      </x:c>
      <x:c r="D99" s="107" t="n">
        <x:v>2</x:v>
      </x:c>
      <x:c r="E99" s="75" t="str">
        <x:v>긴급지원</x:v>
      </x:c>
    </x:row>
    <x:row r="100">
      <x:c r="A100" s="101" t="n">
        <x:v>46245</x:v>
      </x:c>
      <x:c r="B100" s="70" t="str">
        <x:v>E0045</x:v>
      </x:c>
      <x:c r="C100" s="70" t="str">
        <x:v>직원45</x:v>
      </x:c>
      <x:c r="D100" s="107" t="n">
        <x:v>0.2</x:v>
      </x:c>
      <x:c r="E100" s="75" t="str">
        <x:v>생산대응</x:v>
      </x:c>
    </x:row>
    <x:row r="101">
      <x:c r="A101" s="101" t="n">
        <x:v>46246</x:v>
      </x:c>
      <x:c r="B101" s="70" t="str">
        <x:v>E0046</x:v>
      </x:c>
      <x:c r="C101" s="70" t="str">
        <x:v>직원46</x:v>
      </x:c>
      <x:c r="D101" s="107" t="n">
        <x:v>2.5</x:v>
      </x:c>
      <x:c r="E101" s="75" t="str"/>
    </x:row>
    <x:row r="102">
      <x:c r="A102" s="101" t="n">
        <x:v>46247</x:v>
      </x:c>
      <x:c r="B102" s="70" t="str">
        <x:v>E0047</x:v>
      </x:c>
      <x:c r="C102" s="70" t="str">
        <x:v>직원47</x:v>
      </x:c>
      <x:c r="D102" s="107" t="n">
        <x:v>0.8</x:v>
      </x:c>
      <x:c r="E102" s="75" t="str">
        <x:v>월말마감</x:v>
      </x:c>
    </x:row>
    <x:row r="103">
      <x:c r="A103" s="101" t="n">
        <x:v>46248</x:v>
      </x:c>
      <x:c r="B103" s="70" t="str">
        <x:v>E0048</x:v>
      </x:c>
      <x:c r="C103" s="70" t="str">
        <x:v>직원48</x:v>
      </x:c>
      <x:c r="D103" s="107" t="n">
        <x:v>2.6</x:v>
      </x:c>
      <x:c r="E103" s="75" t="str">
        <x:v>긴급지원</x:v>
      </x:c>
    </x:row>
    <x:row r="104">
      <x:c r="A104" s="101" t="n">
        <x:v>46249</x:v>
      </x:c>
      <x:c r="B104" s="70" t="str">
        <x:v>E0049</x:v>
      </x:c>
      <x:c r="C104" s="70" t="str">
        <x:v>직원49</x:v>
      </x:c>
      <x:c r="D104" s="107" t="n">
        <x:v>0.3</x:v>
      </x:c>
      <x:c r="E104" s="75" t="str">
        <x:v>생산대응</x:v>
      </x:c>
    </x:row>
    <x:row r="105">
      <x:c r="A105" s="101" t="n">
        <x:v>46250</x:v>
      </x:c>
      <x:c r="B105" s="70" t="str">
        <x:v>E0050</x:v>
      </x:c>
      <x:c r="C105" s="70" t="str">
        <x:v>직원50</x:v>
      </x:c>
      <x:c r="D105" s="107" t="n">
        <x:v>2</x:v>
      </x:c>
      <x:c r="E105" s="75" t="str"/>
    </x:row>
    <x:row r="106">
      <x:c r="A106" s="101" t="n">
        <x:v>46251</x:v>
      </x:c>
      <x:c r="B106" s="70" t="str">
        <x:v>E0001</x:v>
      </x:c>
      <x:c r="C106" s="70" t="str">
        <x:v>직원01</x:v>
      </x:c>
      <x:c r="D106" s="107" t="n">
        <x:v>1.7</x:v>
      </x:c>
      <x:c r="E106" s="75" t="str">
        <x:v>월말마감</x:v>
      </x:c>
    </x:row>
    <x:row r="107">
      <x:c r="A107" s="101" t="n">
        <x:v>46252</x:v>
      </x:c>
      <x:c r="B107" s="70" t="str">
        <x:v>E0002</x:v>
      </x:c>
      <x:c r="C107" s="70" t="str">
        <x:v>직원02</x:v>
      </x:c>
      <x:c r="D107" s="107" t="n">
        <x:v>0.4</x:v>
      </x:c>
      <x:c r="E107" s="75" t="str">
        <x:v>긴급지원</x:v>
      </x:c>
    </x:row>
    <x:row r="108">
      <x:c r="A108" s="101" t="n">
        <x:v>46253</x:v>
      </x:c>
      <x:c r="B108" s="70" t="str">
        <x:v>E0003</x:v>
      </x:c>
      <x:c r="C108" s="70" t="str">
        <x:v>직원03</x:v>
      </x:c>
      <x:c r="D108" s="107" t="n">
        <x:v>2.2</x:v>
      </x:c>
      <x:c r="E108" s="75" t="str">
        <x:v>생산대응</x:v>
      </x:c>
    </x:row>
    <x:row r="109">
      <x:c r="A109" s="101" t="n">
        <x:v>46254</x:v>
      </x:c>
      <x:c r="B109" s="70" t="str">
        <x:v>E0004</x:v>
      </x:c>
      <x:c r="C109" s="70" t="str">
        <x:v>직원04</x:v>
      </x:c>
      <x:c r="D109" s="107" t="n">
        <x:v>1.9</x:v>
      </x:c>
      <x:c r="E109" s="75" t="str"/>
    </x:row>
    <x:row r="110">
      <x:c r="A110" s="101" t="n">
        <x:v>46255</x:v>
      </x:c>
      <x:c r="B110" s="70" t="str">
        <x:v>E0005</x:v>
      </x:c>
      <x:c r="C110" s="70" t="str">
        <x:v>직원05</x:v>
      </x:c>
      <x:c r="D110" s="107" t="n">
        <x:v>3.2</x:v>
      </x:c>
      <x:c r="E110" s="75" t="str">
        <x:v>월말마감</x:v>
      </x:c>
    </x:row>
    <x:row r="111">
      <x:c r="A111" s="101" t="n">
        <x:v>46256</x:v>
      </x:c>
      <x:c r="B111" s="70" t="str">
        <x:v>E0006</x:v>
      </x:c>
      <x:c r="C111" s="70" t="str">
        <x:v>직원06</x:v>
      </x:c>
      <x:c r="D111" s="107" t="n">
        <x:v>1.2</x:v>
      </x:c>
      <x:c r="E111" s="75" t="str">
        <x:v>긴급지원</x:v>
      </x:c>
    </x:row>
    <x:row r="112">
      <x:c r="A112" s="101" t="n">
        <x:v>46257</x:v>
      </x:c>
      <x:c r="B112" s="70" t="str">
        <x:v>E0007</x:v>
      </x:c>
      <x:c r="C112" s="70" t="str">
        <x:v>직원07</x:v>
      </x:c>
      <x:c r="D112" s="107" t="n">
        <x:v>2.8</x:v>
      </x:c>
      <x:c r="E112" s="75" t="str">
        <x:v>생산대응</x:v>
      </x:c>
    </x:row>
    <x:row r="113">
      <x:c r="A113" s="101" t="n">
        <x:v>46258</x:v>
      </x:c>
      <x:c r="B113" s="70" t="str">
        <x:v>E0008</x:v>
      </x:c>
      <x:c r="C113" s="70" t="str">
        <x:v>직원08</x:v>
      </x:c>
      <x:c r="D113" s="107" t="n">
        <x:v>2.5</x:v>
      </x:c>
      <x:c r="E113" s="75" t="str"/>
    </x:row>
    <x:row r="114">
      <x:c r="A114" s="101" t="n">
        <x:v>46259</x:v>
      </x:c>
      <x:c r="B114" s="70" t="str">
        <x:v>E0009</x:v>
      </x:c>
      <x:c r="C114" s="70" t="str">
        <x:v>직원09</x:v>
      </x:c>
      <x:c r="D114" s="107" t="n">
        <x:v>2.1</x:v>
      </x:c>
      <x:c r="E114" s="75" t="str">
        <x:v>월말마감</x:v>
      </x:c>
    </x:row>
    <x:row r="115">
      <x:c r="A115" s="101" t="n">
        <x:v>46260</x:v>
      </x:c>
      <x:c r="B115" s="70" t="str">
        <x:v>E0010</x:v>
      </x:c>
      <x:c r="C115" s="70" t="str">
        <x:v>직원10</x:v>
      </x:c>
      <x:c r="D115" s="107" t="n">
        <x:v>3</x:v>
      </x:c>
      <x:c r="E115" s="75" t="str">
        <x:v>긴급지원</x:v>
      </x:c>
    </x:row>
    <x:row r="116">
      <x:c r="A116" s="101" t="n">
        <x:v>46261</x:v>
      </x:c>
      <x:c r="B116" s="70" t="str">
        <x:v>E0011</x:v>
      </x:c>
      <x:c r="C116" s="70" t="str">
        <x:v>직원11</x:v>
      </x:c>
      <x:c r="D116" s="107" t="n">
        <x:v>3.1</x:v>
      </x:c>
      <x:c r="E116" s="75" t="str">
        <x:v>생산대응</x:v>
      </x:c>
    </x:row>
    <x:row r="117">
      <x:c r="A117" s="101" t="n">
        <x:v>46262</x:v>
      </x:c>
      <x:c r="B117" s="70" t="str">
        <x:v>E0012</x:v>
      </x:c>
      <x:c r="C117" s="70" t="str">
        <x:v>직원12</x:v>
      </x:c>
      <x:c r="D117" s="107" t="n">
        <x:v>3</x:v>
      </x:c>
      <x:c r="E117" s="75" t="str"/>
    </x:row>
    <x:row r="118">
      <x:c r="A118" s="101" t="n">
        <x:v>46235</x:v>
      </x:c>
      <x:c r="B118" s="70" t="str">
        <x:v>E0013</x:v>
      </x:c>
      <x:c r="C118" s="70" t="str">
        <x:v>직원13</x:v>
      </x:c>
      <x:c r="D118" s="107" t="n">
        <x:v>3</x:v>
      </x:c>
      <x:c r="E118" s="75" t="str">
        <x:v>월말마감</x:v>
      </x:c>
    </x:row>
    <x:row r="119">
      <x:c r="A119" s="101" t="n">
        <x:v>46236</x:v>
      </x:c>
      <x:c r="B119" s="70" t="str">
        <x:v>E0014</x:v>
      </x:c>
      <x:c r="C119" s="70" t="str">
        <x:v>직원14</x:v>
      </x:c>
      <x:c r="D119" s="107" t="n">
        <x:v>2.6</x:v>
      </x:c>
      <x:c r="E119" s="75" t="str">
        <x:v>긴급지원</x:v>
      </x:c>
    </x:row>
    <x:row r="120">
      <x:c r="A120" s="101" t="n">
        <x:v>46237</x:v>
      </x:c>
      <x:c r="B120" s="70" t="str">
        <x:v>E0015</x:v>
      </x:c>
      <x:c r="C120" s="70" t="str">
        <x:v>직원15</x:v>
      </x:c>
      <x:c r="D120" s="107" t="n">
        <x:v>2.3</x:v>
      </x:c>
      <x:c r="E120" s="75" t="str">
        <x:v>생산대응</x:v>
      </x:c>
    </x:row>
    <x:row r="121">
      <x:c r="A121" s="101" t="n">
        <x:v>46238</x:v>
      </x:c>
      <x:c r="B121" s="70" t="str">
        <x:v>E0016</x:v>
      </x:c>
      <x:c r="C121" s="70" t="str">
        <x:v>직원16</x:v>
      </x:c>
      <x:c r="D121" s="107" t="n">
        <x:v>1.5</x:v>
      </x:c>
      <x:c r="E121" s="75" t="str"/>
    </x:row>
    <x:row r="122">
      <x:c r="A122" s="101" t="n">
        <x:v>46239</x:v>
      </x:c>
      <x:c r="B122" s="70" t="str">
        <x:v>E0017</x:v>
      </x:c>
      <x:c r="C122" s="70" t="str">
        <x:v>직원17</x:v>
      </x:c>
      <x:c r="D122" s="107" t="n">
        <x:v>0.9</x:v>
      </x:c>
      <x:c r="E122" s="75" t="str">
        <x:v>월말마감</x:v>
      </x:c>
    </x:row>
    <x:row r="123">
      <x:c r="A123" s="101" t="n">
        <x:v>46240</x:v>
      </x:c>
      <x:c r="B123" s="70" t="str">
        <x:v>E0018</x:v>
      </x:c>
      <x:c r="C123" s="70" t="str">
        <x:v>직원18</x:v>
      </x:c>
      <x:c r="D123" s="107" t="n">
        <x:v>0.6</x:v>
      </x:c>
      <x:c r="E123" s="75" t="str">
        <x:v>긴급지원</x:v>
      </x:c>
    </x:row>
    <x:row r="124">
      <x:c r="A124" s="101" t="n">
        <x:v>46241</x:v>
      </x:c>
      <x:c r="B124" s="70" t="str">
        <x:v>E0019</x:v>
      </x:c>
      <x:c r="C124" s="70" t="str">
        <x:v>직원19</x:v>
      </x:c>
      <x:c r="D124" s="107" t="n">
        <x:v>3.5</x:v>
      </x:c>
      <x:c r="E124" s="75" t="str">
        <x:v>생산대응</x:v>
      </x:c>
    </x:row>
    <x:row r="125">
      <x:c r="A125" s="101" t="n">
        <x:v>46242</x:v>
      </x:c>
      <x:c r="B125" s="70" t="str">
        <x:v>E0020</x:v>
      </x:c>
      <x:c r="C125" s="70" t="str">
        <x:v>직원20</x:v>
      </x:c>
      <x:c r="D125" s="107" t="n">
        <x:v>2.9</x:v>
      </x:c>
      <x:c r="E125" s="75" t="str"/>
    </x:row>
    <x:row r="126">
      <x:c r="A126" s="101" t="n">
        <x:v>46243</x:v>
      </x:c>
      <x:c r="B126" s="70" t="str">
        <x:v>E0021</x:v>
      </x:c>
      <x:c r="C126" s="70" t="str">
        <x:v>직원21</x:v>
      </x:c>
      <x:c r="D126" s="107" t="n">
        <x:v>2.3</x:v>
      </x:c>
      <x:c r="E126" s="75" t="str">
        <x:v>월말마감</x:v>
      </x:c>
    </x:row>
    <x:row r="127">
      <x:c r="A127" s="101" t="n">
        <x:v>46244</x:v>
      </x:c>
      <x:c r="B127" s="70" t="str">
        <x:v>E0022</x:v>
      </x:c>
      <x:c r="C127" s="70" t="str">
        <x:v>직원22</x:v>
      </x:c>
      <x:c r="D127" s="107" t="n">
        <x:v>3.5</x:v>
      </x:c>
      <x:c r="E127" s="75" t="str">
        <x:v>긴급지원</x:v>
      </x:c>
    </x:row>
    <x:row r="128">
      <x:c r="A128" s="101" t="n">
        <x:v>46245</x:v>
      </x:c>
      <x:c r="B128" s="70" t="str">
        <x:v>E0023</x:v>
      </x:c>
      <x:c r="C128" s="70" t="str">
        <x:v>직원23</x:v>
      </x:c>
      <x:c r="D128" s="107" t="n">
        <x:v>1.2</x:v>
      </x:c>
      <x:c r="E128" s="75" t="str">
        <x:v>생산대응</x:v>
      </x:c>
    </x:row>
    <x:row r="129">
      <x:c r="A129" s="101" t="n">
        <x:v>46246</x:v>
      </x:c>
      <x:c r="B129" s="70" t="str">
        <x:v>E0024</x:v>
      </x:c>
      <x:c r="C129" s="70" t="str">
        <x:v>직원24</x:v>
      </x:c>
      <x:c r="D129" s="107" t="n">
        <x:v>0.2</x:v>
      </x:c>
      <x:c r="E129" s="75" t="str"/>
    </x:row>
    <x:row r="130">
      <x:c r="A130" s="101" t="n">
        <x:v>46247</x:v>
      </x:c>
      <x:c r="B130" s="70" t="str">
        <x:v>E0025</x:v>
      </x:c>
      <x:c r="C130" s="70" t="str">
        <x:v>직원25</x:v>
      </x:c>
      <x:c r="D130" s="107" t="n">
        <x:v>1.6</x:v>
      </x:c>
      <x:c r="E130" s="75" t="str">
        <x:v>월말마감</x:v>
      </x:c>
    </x:row>
    <x:row r="131">
      <x:c r="A131" s="101" t="n">
        <x:v>46248</x:v>
      </x:c>
      <x:c r="B131" s="70" t="str">
        <x:v>E0026</x:v>
      </x:c>
      <x:c r="C131" s="70" t="str">
        <x:v>직원26</x:v>
      </x:c>
      <x:c r="D131" s="107" t="n">
        <x:v>3.9</x:v>
      </x:c>
      <x:c r="E131" s="75" t="str">
        <x:v>긴급지원</x:v>
      </x:c>
    </x:row>
    <x:row r="132">
      <x:c r="A132" s="101" t="n">
        <x:v>46249</x:v>
      </x:c>
      <x:c r="B132" s="70" t="str">
        <x:v>E0027</x:v>
      </x:c>
      <x:c r="C132" s="70" t="str">
        <x:v>직원27</x:v>
      </x:c>
      <x:c r="D132" s="107" t="n">
        <x:v>2</x:v>
      </x:c>
      <x:c r="E132" s="75" t="str">
        <x:v>생산대응</x:v>
      </x:c>
    </x:row>
    <x:row r="133">
      <x:c r="A133" s="101" t="n">
        <x:v>46250</x:v>
      </x:c>
      <x:c r="B133" s="70" t="str">
        <x:v>E0028</x:v>
      </x:c>
      <x:c r="C133" s="70" t="str">
        <x:v>직원28</x:v>
      </x:c>
      <x:c r="D133" s="107" t="n">
        <x:v>3.1</x:v>
      </x:c>
      <x:c r="E133" s="75" t="str"/>
    </x:row>
    <x:row r="134">
      <x:c r="A134" s="101" t="n">
        <x:v>46251</x:v>
      </x:c>
      <x:c r="B134" s="70" t="str">
        <x:v>E0029</x:v>
      </x:c>
      <x:c r="C134" s="70" t="str">
        <x:v>직원29</x:v>
      </x:c>
      <x:c r="D134" s="107" t="n">
        <x:v>3.8</x:v>
      </x:c>
      <x:c r="E134" s="75" t="str">
        <x:v>월말마감</x:v>
      </x:c>
    </x:row>
    <x:row r="135">
      <x:c r="A135" s="101" t="n">
        <x:v>46252</x:v>
      </x:c>
      <x:c r="B135" s="70" t="str">
        <x:v>E0030</x:v>
      </x:c>
      <x:c r="C135" s="70" t="str">
        <x:v>직원30</x:v>
      </x:c>
      <x:c r="D135" s="107" t="n">
        <x:v>3.5</x:v>
      </x:c>
      <x:c r="E135" s="75" t="str">
        <x:v>긴급지원</x:v>
      </x:c>
    </x:row>
    <x:row r="136">
      <x:c r="A136" s="101" t="n">
        <x:v>46253</x:v>
      </x:c>
      <x:c r="B136" s="70" t="str">
        <x:v>E0031</x:v>
      </x:c>
      <x:c r="C136" s="70" t="str">
        <x:v>직원31</x:v>
      </x:c>
      <x:c r="D136" s="107" t="n">
        <x:v>2.4</x:v>
      </x:c>
      <x:c r="E136" s="75" t="str">
        <x:v>생산대응</x:v>
      </x:c>
    </x:row>
    <x:row r="137">
      <x:c r="A137" s="101" t="n">
        <x:v>46254</x:v>
      </x:c>
      <x:c r="B137" s="70" t="str">
        <x:v>E0032</x:v>
      </x:c>
      <x:c r="C137" s="70" t="str">
        <x:v>직원32</x:v>
      </x:c>
      <x:c r="D137" s="107" t="n">
        <x:v>3.6</x:v>
      </x:c>
      <x:c r="E137" s="75" t="str"/>
    </x:row>
    <x:row r="138">
      <x:c r="A138" s="101" t="n">
        <x:v>46255</x:v>
      </x:c>
      <x:c r="B138" s="70" t="str">
        <x:v>E0033</x:v>
      </x:c>
      <x:c r="C138" s="70" t="str">
        <x:v>직원33</x:v>
      </x:c>
      <x:c r="D138" s="107" t="n">
        <x:v>1.6</x:v>
      </x:c>
      <x:c r="E138" s="75" t="str">
        <x:v>월말마감</x:v>
      </x:c>
    </x:row>
    <x:row r="139">
      <x:c r="A139" s="101" t="n">
        <x:v>46256</x:v>
      </x:c>
      <x:c r="B139" s="70" t="str">
        <x:v>E0034</x:v>
      </x:c>
      <x:c r="C139" s="70" t="str">
        <x:v>직원34</x:v>
      </x:c>
      <x:c r="D139" s="107" t="n">
        <x:v>3.3</x:v>
      </x:c>
      <x:c r="E139" s="75" t="str">
        <x:v>긴급지원</x:v>
      </x:c>
    </x:row>
    <x:row r="140">
      <x:c r="A140" s="101" t="n">
        <x:v>46257</x:v>
      </x:c>
      <x:c r="B140" s="70" t="str">
        <x:v>E0035</x:v>
      </x:c>
      <x:c r="C140" s="70" t="str">
        <x:v>직원35</x:v>
      </x:c>
      <x:c r="D140" s="107" t="n">
        <x:v>1.5</x:v>
      </x:c>
      <x:c r="E140" s="75" t="str">
        <x:v>생산대응</x:v>
      </x:c>
    </x:row>
    <x:row r="141">
      <x:c r="A141" s="101" t="n">
        <x:v>46258</x:v>
      </x:c>
      <x:c r="B141" s="70" t="str">
        <x:v>E0036</x:v>
      </x:c>
      <x:c r="C141" s="70" t="str">
        <x:v>직원36</x:v>
      </x:c>
      <x:c r="D141" s="107" t="n">
        <x:v>1.4</x:v>
      </x:c>
      <x:c r="E141" s="75" t="str"/>
    </x:row>
    <x:row r="142">
      <x:c r="A142" s="101" t="n">
        <x:v>46259</x:v>
      </x:c>
      <x:c r="B142" s="70" t="str">
        <x:v>E0037</x:v>
      </x:c>
      <x:c r="C142" s="70" t="str">
        <x:v>직원37</x:v>
      </x:c>
      <x:c r="D142" s="107" t="n">
        <x:v>2.3</x:v>
      </x:c>
      <x:c r="E142" s="75" t="str">
        <x:v>월말마감</x:v>
      </x:c>
    </x:row>
    <x:row r="143">
      <x:c r="A143" s="101" t="n">
        <x:v>46260</x:v>
      </x:c>
      <x:c r="B143" s="70" t="str">
        <x:v>E0038</x:v>
      </x:c>
      <x:c r="C143" s="70" t="str">
        <x:v>직원38</x:v>
      </x:c>
      <x:c r="D143" s="107" t="n">
        <x:v>2.1</x:v>
      </x:c>
      <x:c r="E143" s="75" t="str">
        <x:v>긴급지원</x:v>
      </x:c>
    </x:row>
    <x:row r="144">
      <x:c r="A144" s="101" t="n">
        <x:v>46261</x:v>
      </x:c>
      <x:c r="B144" s="70" t="str">
        <x:v>E0039</x:v>
      </x:c>
      <x:c r="C144" s="70" t="str">
        <x:v>직원39</x:v>
      </x:c>
      <x:c r="D144" s="107" t="n">
        <x:v>2.5</x:v>
      </x:c>
      <x:c r="E144" s="75" t="str">
        <x:v>생산대응</x:v>
      </x:c>
    </x:row>
    <x:row r="145">
      <x:c r="A145" s="101" t="n">
        <x:v>46262</x:v>
      </x:c>
      <x:c r="B145" s="70" t="str">
        <x:v>E0040</x:v>
      </x:c>
      <x:c r="C145" s="70" t="str">
        <x:v>직원40</x:v>
      </x:c>
      <x:c r="D145" s="107" t="n">
        <x:v>2.9</x:v>
      </x:c>
      <x:c r="E145" s="75" t="str"/>
    </x:row>
    <x:row r="146">
      <x:c r="A146" s="101" t="n">
        <x:v>46235</x:v>
      </x:c>
      <x:c r="B146" s="70" t="str">
        <x:v>E0041</x:v>
      </x:c>
      <x:c r="C146" s="70" t="str">
        <x:v>직원41</x:v>
      </x:c>
      <x:c r="D146" s="107" t="n">
        <x:v>3.4</x:v>
      </x:c>
      <x:c r="E146" s="75" t="str">
        <x:v>월말마감</x:v>
      </x:c>
    </x:row>
    <x:row r="147">
      <x:c r="A147" s="101" t="n">
        <x:v>46236</x:v>
      </x:c>
      <x:c r="B147" s="70" t="str">
        <x:v>E0042</x:v>
      </x:c>
      <x:c r="C147" s="70" t="str">
        <x:v>직원42</x:v>
      </x:c>
      <x:c r="D147" s="107" t="n">
        <x:v>2.7</x:v>
      </x:c>
      <x:c r="E147" s="75" t="str">
        <x:v>긴급지원</x:v>
      </x:c>
    </x:row>
    <x:row r="148">
      <x:c r="A148" s="101" t="n">
        <x:v>46237</x:v>
      </x:c>
      <x:c r="B148" s="70" t="str">
        <x:v>E0043</x:v>
      </x:c>
      <x:c r="C148" s="70" t="str">
        <x:v>직원43</x:v>
      </x:c>
      <x:c r="D148" s="107" t="n">
        <x:v>3</x:v>
      </x:c>
      <x:c r="E148" s="75" t="str">
        <x:v>생산대응</x:v>
      </x:c>
    </x:row>
    <x:row r="149">
      <x:c r="A149" s="101" t="n">
        <x:v>46238</x:v>
      </x:c>
      <x:c r="B149" s="70" t="str">
        <x:v>E0044</x:v>
      </x:c>
      <x:c r="C149" s="70" t="str">
        <x:v>직원44</x:v>
      </x:c>
      <x:c r="D149" s="107" t="n">
        <x:v>0.2</x:v>
      </x:c>
      <x:c r="E149" s="75" t="str"/>
    </x:row>
    <x:row r="150">
      <x:c r="A150" s="101" t="n">
        <x:v>46239</x:v>
      </x:c>
      <x:c r="B150" s="70" t="str">
        <x:v>E0045</x:v>
      </x:c>
      <x:c r="C150" s="70" t="str">
        <x:v>직원45</x:v>
      </x:c>
      <x:c r="D150" s="107" t="n">
        <x:v>1.9</x:v>
      </x:c>
      <x:c r="E150" s="75" t="str">
        <x:v>월말마감</x:v>
      </x:c>
    </x:row>
    <x:row r="151">
      <x:c r="A151" s="101" t="n">
        <x:v>46240</x:v>
      </x:c>
      <x:c r="B151" s="70" t="str">
        <x:v>E0046</x:v>
      </x:c>
      <x:c r="C151" s="70" t="str">
        <x:v>직원46</x:v>
      </x:c>
      <x:c r="D151" s="107" t="n">
        <x:v>0.3</x:v>
      </x:c>
      <x:c r="E151" s="75" t="str">
        <x:v>긴급지원</x:v>
      </x:c>
    </x:row>
    <x:row r="152">
      <x:c r="A152" s="101" t="n">
        <x:v>46241</x:v>
      </x:c>
      <x:c r="B152" s="70" t="str">
        <x:v>E0047</x:v>
      </x:c>
      <x:c r="C152" s="70" t="str">
        <x:v>직원47</x:v>
      </x:c>
      <x:c r="D152" s="107" t="n">
        <x:v>1.8</x:v>
      </x:c>
      <x:c r="E152" s="75" t="str">
        <x:v>생산대응</x:v>
      </x:c>
    </x:row>
    <x:row r="153">
      <x:c r="A153" s="101" t="n">
        <x:v>46242</x:v>
      </x:c>
      <x:c r="B153" s="70" t="str">
        <x:v>E0048</x:v>
      </x:c>
      <x:c r="C153" s="70" t="str">
        <x:v>직원48</x:v>
      </x:c>
      <x:c r="D153" s="107" t="n">
        <x:v>1</x:v>
      </x:c>
      <x:c r="E153" s="75" t="str"/>
    </x:row>
    <x:row r="154">
      <x:c r="A154" s="101" t="n">
        <x:v>46243</x:v>
      </x:c>
      <x:c r="B154" s="70" t="str">
        <x:v>E0049</x:v>
      </x:c>
      <x:c r="C154" s="70" t="str">
        <x:v>직원49</x:v>
      </x:c>
      <x:c r="D154" s="107" t="n">
        <x:v>0.3</x:v>
      </x:c>
      <x:c r="E154" s="75" t="str">
        <x:v>월말마감</x:v>
      </x:c>
    </x:row>
    <x:row r="155">
      <x:c r="A155" s="101" t="n">
        <x:v>46244</x:v>
      </x:c>
      <x:c r="B155" s="70" t="str">
        <x:v>E0050</x:v>
      </x:c>
      <x:c r="C155" s="70" t="str">
        <x:v>직원50</x:v>
      </x:c>
      <x:c r="D155" s="107" t="n">
        <x:v>1.8</x:v>
      </x:c>
      <x:c r="E155" s="75" t="str">
        <x:v>긴급지원</x:v>
      </x:c>
    </x:row>
    <x:row r="156">
      <x:c r="A156" s="101" t="n">
        <x:v>46245</x:v>
      </x:c>
      <x:c r="B156" s="70" t="str">
        <x:v>E0001</x:v>
      </x:c>
      <x:c r="C156" s="70" t="str">
        <x:v>직원01</x:v>
      </x:c>
      <x:c r="D156" s="107" t="n">
        <x:v>3.2</x:v>
      </x:c>
      <x:c r="E156" s="75" t="str">
        <x:v>생산대응</x:v>
      </x:c>
    </x:row>
    <x:row r="157">
      <x:c r="A157" s="101" t="n">
        <x:v>46246</x:v>
      </x:c>
      <x:c r="B157" s="70" t="str">
        <x:v>E0002</x:v>
      </x:c>
      <x:c r="C157" s="70" t="str">
        <x:v>직원02</x:v>
      </x:c>
      <x:c r="D157" s="107" t="n">
        <x:v>1.6</x:v>
      </x:c>
      <x:c r="E157" s="75" t="str"/>
    </x:row>
    <x:row r="158">
      <x:c r="A158" s="101" t="n">
        <x:v>46247</x:v>
      </x:c>
      <x:c r="B158" s="70" t="str">
        <x:v>E0003</x:v>
      </x:c>
      <x:c r="C158" s="70" t="str">
        <x:v>직원03</x:v>
      </x:c>
      <x:c r="D158" s="107" t="n">
        <x:v>3.7</x:v>
      </x:c>
      <x:c r="E158" s="75" t="str">
        <x:v>월말마감</x:v>
      </x:c>
    </x:row>
    <x:row r="159">
      <x:c r="A159" s="101" t="n">
        <x:v>46248</x:v>
      </x:c>
      <x:c r="B159" s="70" t="str">
        <x:v>E0004</x:v>
      </x:c>
      <x:c r="C159" s="70" t="str">
        <x:v>직원04</x:v>
      </x:c>
      <x:c r="D159" s="107" t="n">
        <x:v>0.5</x:v>
      </x:c>
      <x:c r="E159" s="75" t="str">
        <x:v>긴급지원</x:v>
      </x:c>
    </x:row>
    <x:row r="160">
      <x:c r="A160" s="101" t="n">
        <x:v>46249</x:v>
      </x:c>
      <x:c r="B160" s="70" t="str">
        <x:v>E0005</x:v>
      </x:c>
      <x:c r="C160" s="70" t="str">
        <x:v>직원05</x:v>
      </x:c>
      <x:c r="D160" s="107" t="n">
        <x:v>0.2</x:v>
      </x:c>
      <x:c r="E160" s="75" t="str">
        <x:v>생산대응</x:v>
      </x:c>
    </x:row>
    <x:row r="161">
      <x:c r="A161" s="101" t="n">
        <x:v>46250</x:v>
      </x:c>
      <x:c r="B161" s="70" t="str">
        <x:v>E0006</x:v>
      </x:c>
      <x:c r="C161" s="70" t="str">
        <x:v>직원06</x:v>
      </x:c>
      <x:c r="D161" s="107" t="n">
        <x:v>0.4</x:v>
      </x:c>
      <x:c r="E161" s="75" t="str"/>
    </x:row>
    <x:row r="162">
      <x:c r="A162" s="101" t="n">
        <x:v>46251</x:v>
      </x:c>
      <x:c r="B162" s="70" t="str">
        <x:v>E0007</x:v>
      </x:c>
      <x:c r="C162" s="70" t="str">
        <x:v>직원07</x:v>
      </x:c>
      <x:c r="D162" s="107" t="n">
        <x:v>2.4</x:v>
      </x:c>
      <x:c r="E162" s="75" t="str">
        <x:v>월말마감</x:v>
      </x:c>
    </x:row>
    <x:row r="163">
      <x:c r="A163" s="101" t="n">
        <x:v>46252</x:v>
      </x:c>
      <x:c r="B163" s="70" t="str">
        <x:v>E0008</x:v>
      </x:c>
      <x:c r="C163" s="70" t="str">
        <x:v>직원08</x:v>
      </x:c>
      <x:c r="D163" s="107" t="n">
        <x:v>4</x:v>
      </x:c>
      <x:c r="E163" s="75" t="str">
        <x:v>긴급지원</x:v>
      </x:c>
    </x:row>
    <x:row r="164">
      <x:c r="A164" s="101" t="n">
        <x:v>46253</x:v>
      </x:c>
      <x:c r="B164" s="70" t="str">
        <x:v>E0009</x:v>
      </x:c>
      <x:c r="C164" s="70" t="str">
        <x:v>직원09</x:v>
      </x:c>
      <x:c r="D164" s="107" t="n">
        <x:v>3.6</x:v>
      </x:c>
      <x:c r="E164" s="75" t="str">
        <x:v>생산대응</x:v>
      </x:c>
    </x:row>
    <x:row r="165">
      <x:c r="A165" s="101" t="n">
        <x:v>46254</x:v>
      </x:c>
      <x:c r="B165" s="70" t="str">
        <x:v>E0010</x:v>
      </x:c>
      <x:c r="C165" s="70" t="str">
        <x:v>직원10</x:v>
      </x:c>
      <x:c r="D165" s="107" t="n">
        <x:v>0.8</x:v>
      </x:c>
      <x:c r="E165" s="75" t="str"/>
    </x:row>
    <x:row r="166">
      <x:c r="A166" s="101" t="n">
        <x:v>46255</x:v>
      </x:c>
      <x:c r="B166" s="70" t="str">
        <x:v>E0011</x:v>
      </x:c>
      <x:c r="C166" s="70" t="str">
        <x:v>직원11</x:v>
      </x:c>
      <x:c r="D166" s="107" t="n">
        <x:v>2.6</x:v>
      </x:c>
      <x:c r="E166" s="75" t="str">
        <x:v>월말마감</x:v>
      </x:c>
    </x:row>
    <x:row r="167">
      <x:c r="A167" s="101" t="n">
        <x:v>46256</x:v>
      </x:c>
      <x:c r="B167" s="70" t="str">
        <x:v>E0012</x:v>
      </x:c>
      <x:c r="C167" s="70" t="str">
        <x:v>직원12</x:v>
      </x:c>
      <x:c r="D167" s="107" t="n">
        <x:v>0.8</x:v>
      </x:c>
      <x:c r="E167" s="75" t="str">
        <x:v>긴급지원</x:v>
      </x:c>
    </x:row>
    <x:row r="168">
      <x:c r="A168" s="101" t="n">
        <x:v>46257</x:v>
      </x:c>
      <x:c r="B168" s="70" t="str">
        <x:v>E0013</x:v>
      </x:c>
      <x:c r="C168" s="70" t="str">
        <x:v>직원13</x:v>
      </x:c>
      <x:c r="D168" s="107" t="n">
        <x:v>0.4</x:v>
      </x:c>
      <x:c r="E168" s="75" t="str">
        <x:v>생산대응</x:v>
      </x:c>
    </x:row>
    <x:row r="169">
      <x:c r="A169" s="101" t="n">
        <x:v>46258</x:v>
      </x:c>
      <x:c r="B169" s="70" t="str">
        <x:v>E0014</x:v>
      </x:c>
      <x:c r="C169" s="70" t="str">
        <x:v>직원14</x:v>
      </x:c>
      <x:c r="D169" s="107" t="n">
        <x:v>3.4</x:v>
      </x:c>
      <x:c r="E169" s="75" t="str"/>
    </x:row>
    <x:row r="170">
      <x:c r="A170" s="101" t="n">
        <x:v>46259</x:v>
      </x:c>
      <x:c r="B170" s="70" t="str">
        <x:v>E0015</x:v>
      </x:c>
      <x:c r="C170" s="70" t="str">
        <x:v>직원15</x:v>
      </x:c>
      <x:c r="D170" s="107" t="n">
        <x:v>1.8</x:v>
      </x:c>
      <x:c r="E170" s="75" t="str">
        <x:v>월말마감</x:v>
      </x:c>
    </x:row>
    <x:row r="171">
      <x:c r="A171" s="101" t="n">
        <x:v>46260</x:v>
      </x:c>
      <x:c r="B171" s="70" t="str">
        <x:v>E0016</x:v>
      </x:c>
      <x:c r="C171" s="70" t="str">
        <x:v>직원16</x:v>
      </x:c>
      <x:c r="D171" s="107" t="n">
        <x:v>0.2</x:v>
      </x:c>
      <x:c r="E171" s="75" t="str">
        <x:v>긴급지원</x:v>
      </x:c>
    </x:row>
    <x:row r="172">
      <x:c r="A172" s="101" t="n">
        <x:v>46261</x:v>
      </x:c>
      <x:c r="B172" s="70" t="str">
        <x:v>E0017</x:v>
      </x:c>
      <x:c r="C172" s="70" t="str">
        <x:v>직원17</x:v>
      </x:c>
      <x:c r="D172" s="107" t="n">
        <x:v>1.4</x:v>
      </x:c>
      <x:c r="E172" s="75" t="str">
        <x:v>생산대응</x:v>
      </x:c>
    </x:row>
    <x:row r="173">
      <x:c r="A173" s="101" t="n">
        <x:v>46262</x:v>
      </x:c>
      <x:c r="B173" s="70" t="str">
        <x:v>E0018</x:v>
      </x:c>
      <x:c r="C173" s="70" t="str">
        <x:v>직원18</x:v>
      </x:c>
      <x:c r="D173" s="107" t="n">
        <x:v>2.3</x:v>
      </x:c>
      <x:c r="E173" s="75" t="str"/>
    </x:row>
    <x:row r="174">
      <x:c r="A174" s="101" t="n">
        <x:v>46235</x:v>
      </x:c>
      <x:c r="B174" s="70" t="str">
        <x:v>E0019</x:v>
      </x:c>
      <x:c r="C174" s="70" t="str">
        <x:v>직원19</x:v>
      </x:c>
      <x:c r="D174" s="107" t="n">
        <x:v>3.5</x:v>
      </x:c>
      <x:c r="E174" s="75" t="str">
        <x:v>월말마감</x:v>
      </x:c>
    </x:row>
    <x:row r="175">
      <x:c r="A175" s="101" t="n">
        <x:v>46236</x:v>
      </x:c>
      <x:c r="B175" s="70" t="str">
        <x:v>E0020</x:v>
      </x:c>
      <x:c r="C175" s="70" t="str">
        <x:v>직원20</x:v>
      </x:c>
      <x:c r="D175" s="107" t="n">
        <x:v>3.2</x:v>
      </x:c>
      <x:c r="E175" s="75" t="str">
        <x:v>긴급지원</x:v>
      </x:c>
    </x:row>
    <x:row r="176">
      <x:c r="A176" s="101" t="n">
        <x:v>46237</x:v>
      </x:c>
      <x:c r="B176" s="70" t="str">
        <x:v>E0021</x:v>
      </x:c>
      <x:c r="C176" s="70" t="str">
        <x:v>직원21</x:v>
      </x:c>
      <x:c r="D176" s="107" t="n">
        <x:v>2.1</x:v>
      </x:c>
      <x:c r="E176" s="75" t="str">
        <x:v>생산대응</x:v>
      </x:c>
    </x:row>
    <x:row r="177">
      <x:c r="A177" s="101" t="n">
        <x:v>46238</x:v>
      </x:c>
      <x:c r="B177" s="70" t="str">
        <x:v>E0022</x:v>
      </x:c>
      <x:c r="C177" s="70" t="str">
        <x:v>직원22</x:v>
      </x:c>
      <x:c r="D177" s="107" t="n">
        <x:v>3.9</x:v>
      </x:c>
      <x:c r="E177" s="75" t="str"/>
    </x:row>
    <x:row r="178">
      <x:c r="A178" s="101" t="n">
        <x:v>46239</x:v>
      </x:c>
      <x:c r="B178" s="70" t="str">
        <x:v>E0023</x:v>
      </x:c>
      <x:c r="C178" s="70" t="str">
        <x:v>직원23</x:v>
      </x:c>
      <x:c r="D178" s="107" t="n">
        <x:v>1.4</x:v>
      </x:c>
      <x:c r="E178" s="75" t="str">
        <x:v>월말마감</x:v>
      </x:c>
    </x:row>
    <x:row r="179">
      <x:c r="A179" s="101" t="n">
        <x:v>46240</x:v>
      </x:c>
      <x:c r="B179" s="70" t="str">
        <x:v>E0024</x:v>
      </x:c>
      <x:c r="C179" s="70" t="str">
        <x:v>직원24</x:v>
      </x:c>
      <x:c r="D179" s="107" t="n">
        <x:v>3.7</x:v>
      </x:c>
      <x:c r="E179" s="75" t="str">
        <x:v>긴급지원</x:v>
      </x:c>
    </x:row>
    <x:row r="180">
      <x:c r="A180" s="101" t="n">
        <x:v>46241</x:v>
      </x:c>
      <x:c r="B180" s="70" t="str">
        <x:v>E0025</x:v>
      </x:c>
      <x:c r="C180" s="70" t="str">
        <x:v>직원25</x:v>
      </x:c>
      <x:c r="D180" s="107" t="n">
        <x:v>3.3</x:v>
      </x:c>
      <x:c r="E180" s="75" t="str">
        <x:v>생산대응</x:v>
      </x:c>
    </x:row>
    <x:row r="181">
      <x:c r="A181" s="101" t="n">
        <x:v>46242</x:v>
      </x:c>
      <x:c r="B181" s="70" t="str">
        <x:v>E0026</x:v>
      </x:c>
      <x:c r="C181" s="70" t="str">
        <x:v>직원26</x:v>
      </x:c>
      <x:c r="D181" s="107" t="n">
        <x:v>1.9</x:v>
      </x:c>
      <x:c r="E181" s="75" t="str"/>
    </x:row>
    <x:row r="182">
      <x:c r="A182" s="101" t="n">
        <x:v>46243</x:v>
      </x:c>
      <x:c r="B182" s="70" t="str">
        <x:v>E0027</x:v>
      </x:c>
      <x:c r="C182" s="70" t="str">
        <x:v>직원27</x:v>
      </x:c>
      <x:c r="D182" s="107" t="n">
        <x:v>1.3</x:v>
      </x:c>
      <x:c r="E182" s="75" t="str">
        <x:v>월말마감</x:v>
      </x:c>
    </x:row>
    <x:row r="183">
      <x:c r="A183" s="101" t="n">
        <x:v>46244</x:v>
      </x:c>
      <x:c r="B183" s="70" t="str">
        <x:v>E0028</x:v>
      </x:c>
      <x:c r="C183" s="70" t="str">
        <x:v>직원28</x:v>
      </x:c>
      <x:c r="D183" s="107" t="n">
        <x:v>1.9</x:v>
      </x:c>
      <x:c r="E183" s="75" t="str">
        <x:v>긴급지원</x:v>
      </x:c>
    </x:row>
    <x:row r="184">
      <x:c r="A184" s="101" t="n">
        <x:v>46245</x:v>
      </x:c>
      <x:c r="B184" s="70" t="str">
        <x:v>E0029</x:v>
      </x:c>
      <x:c r="C184" s="70" t="str">
        <x:v>직원29</x:v>
      </x:c>
      <x:c r="D184" s="107" t="n">
        <x:v>2</x:v>
      </x:c>
      <x:c r="E184" s="75" t="str">
        <x:v>생산대응</x:v>
      </x:c>
    </x:row>
    <x:row r="185">
      <x:c r="A185" s="101" t="n">
        <x:v>46246</x:v>
      </x:c>
      <x:c r="B185" s="70" t="str">
        <x:v>E0030</x:v>
      </x:c>
      <x:c r="C185" s="70" t="str">
        <x:v>직원30</x:v>
      </x:c>
      <x:c r="D185" s="107" t="n">
        <x:v>3.7</x:v>
      </x:c>
      <x:c r="E185" s="75" t="str"/>
    </x:row>
    <x:row r="186">
      <x:c r="A186" s="101" t="n">
        <x:v>46247</x:v>
      </x:c>
      <x:c r="B186" s="70" t="str">
        <x:v>E0031</x:v>
      </x:c>
      <x:c r="C186" s="70" t="str">
        <x:v>직원31</x:v>
      </x:c>
      <x:c r="D186" s="107" t="n">
        <x:v>2.2</x:v>
      </x:c>
      <x:c r="E186" s="75" t="str">
        <x:v>월말마감</x:v>
      </x:c>
    </x:row>
    <x:row r="187">
      <x:c r="A187" s="101" t="n">
        <x:v>46248</x:v>
      </x:c>
      <x:c r="B187" s="70" t="str">
        <x:v>E0032</x:v>
      </x:c>
      <x:c r="C187" s="70" t="str">
        <x:v>직원32</x:v>
      </x:c>
      <x:c r="D187" s="107" t="n">
        <x:v>3.2</x:v>
      </x:c>
      <x:c r="E187" s="75" t="str">
        <x:v>긴급지원</x:v>
      </x:c>
    </x:row>
    <x:row r="188">
      <x:c r="A188" s="101" t="n">
        <x:v>46249</x:v>
      </x:c>
      <x:c r="B188" s="70" t="str">
        <x:v>E0033</x:v>
      </x:c>
      <x:c r="C188" s="70" t="str">
        <x:v>직원33</x:v>
      </x:c>
      <x:c r="D188" s="107" t="n">
        <x:v>3.2</x:v>
      </x:c>
      <x:c r="E188" s="75" t="str">
        <x:v>생산대응</x:v>
      </x:c>
    </x:row>
    <x:row r="189">
      <x:c r="A189" s="101" t="n">
        <x:v>46250</x:v>
      </x:c>
      <x:c r="B189" s="70" t="str">
        <x:v>E0034</x:v>
      </x:c>
      <x:c r="C189" s="70" t="str">
        <x:v>직원34</x:v>
      </x:c>
      <x:c r="D189" s="107" t="n">
        <x:v>2.2</x:v>
      </x:c>
      <x:c r="E189" s="75" t="str"/>
    </x:row>
    <x:row r="190">
      <x:c r="A190" s="101" t="n">
        <x:v>46251</x:v>
      </x:c>
      <x:c r="B190" s="70" t="str">
        <x:v>E0035</x:v>
      </x:c>
      <x:c r="C190" s="70" t="str">
        <x:v>직원35</x:v>
      </x:c>
      <x:c r="D190" s="107" t="n">
        <x:v>3.5</x:v>
      </x:c>
      <x:c r="E190" s="75" t="str">
        <x:v>월말마감</x:v>
      </x:c>
    </x:row>
    <x:row r="191">
      <x:c r="A191" s="101" t="n">
        <x:v>46252</x:v>
      </x:c>
      <x:c r="B191" s="70" t="str">
        <x:v>E0036</x:v>
      </x:c>
      <x:c r="C191" s="70" t="str">
        <x:v>직원36</x:v>
      </x:c>
      <x:c r="D191" s="107" t="n">
        <x:v>3.6</x:v>
      </x:c>
      <x:c r="E191" s="75" t="str">
        <x:v>긴급지원</x:v>
      </x:c>
    </x:row>
    <x:row r="192">
      <x:c r="A192" s="101" t="n">
        <x:v>46253</x:v>
      </x:c>
      <x:c r="B192" s="70" t="str">
        <x:v>E0037</x:v>
      </x:c>
      <x:c r="C192" s="70" t="str">
        <x:v>직원37</x:v>
      </x:c>
      <x:c r="D192" s="107" t="n">
        <x:v>0.7</x:v>
      </x:c>
      <x:c r="E192" s="75" t="str">
        <x:v>생산대응</x:v>
      </x:c>
    </x:row>
    <x:row r="193">
      <x:c r="A193" s="101" t="n">
        <x:v>46254</x:v>
      </x:c>
      <x:c r="B193" s="70" t="str">
        <x:v>E0038</x:v>
      </x:c>
      <x:c r="C193" s="70" t="str">
        <x:v>직원38</x:v>
      </x:c>
      <x:c r="D193" s="107" t="n">
        <x:v>3.9</x:v>
      </x:c>
      <x:c r="E193" s="75" t="str"/>
    </x:row>
    <x:row r="194">
      <x:c r="A194" s="101" t="n">
        <x:v>46255</x:v>
      </x:c>
      <x:c r="B194" s="70" t="str">
        <x:v>E0039</x:v>
      </x:c>
      <x:c r="C194" s="70" t="str">
        <x:v>직원39</x:v>
      </x:c>
      <x:c r="D194" s="107" t="n">
        <x:v>2.1</x:v>
      </x:c>
      <x:c r="E194" s="75" t="str">
        <x:v>월말마감</x:v>
      </x:c>
    </x:row>
    <x:row r="195">
      <x:c r="A195" s="101" t="n">
        <x:v>46256</x:v>
      </x:c>
      <x:c r="B195" s="70" t="str">
        <x:v>E0040</x:v>
      </x:c>
      <x:c r="C195" s="70" t="str">
        <x:v>직원40</x:v>
      </x:c>
      <x:c r="D195" s="107" t="n">
        <x:v>1.9</x:v>
      </x:c>
      <x:c r="E195" s="75" t="str">
        <x:v>긴급지원</x:v>
      </x:c>
    </x:row>
    <x:row r="196">
      <x:c r="A196" s="101" t="n">
        <x:v>46257</x:v>
      </x:c>
      <x:c r="B196" s="70" t="str">
        <x:v>E0041</x:v>
      </x:c>
      <x:c r="C196" s="70" t="str">
        <x:v>직원41</x:v>
      </x:c>
      <x:c r="D196" s="107" t="n">
        <x:v>2</x:v>
      </x:c>
      <x:c r="E196" s="75" t="str">
        <x:v>생산대응</x:v>
      </x:c>
    </x:row>
    <x:row r="197">
      <x:c r="A197" s="101" t="n">
        <x:v>46258</x:v>
      </x:c>
      <x:c r="B197" s="70" t="str">
        <x:v>E0042</x:v>
      </x:c>
      <x:c r="C197" s="70" t="str">
        <x:v>직원42</x:v>
      </x:c>
      <x:c r="D197" s="107" t="n">
        <x:v>2</x:v>
      </x:c>
      <x:c r="E197" s="75" t="str"/>
    </x:row>
    <x:row r="198">
      <x:c r="A198" s="101" t="n">
        <x:v>46259</x:v>
      </x:c>
      <x:c r="B198" s="70" t="str">
        <x:v>E0043</x:v>
      </x:c>
      <x:c r="C198" s="70" t="str">
        <x:v>직원43</x:v>
      </x:c>
      <x:c r="D198" s="107" t="n">
        <x:v>3.6</x:v>
      </x:c>
      <x:c r="E198" s="75" t="str">
        <x:v>월말마감</x:v>
      </x:c>
    </x:row>
    <x:row r="199">
      <x:c r="A199" s="101" t="n">
        <x:v>46260</x:v>
      </x:c>
      <x:c r="B199" s="70" t="str">
        <x:v>E0044</x:v>
      </x:c>
      <x:c r="C199" s="70" t="str">
        <x:v>직원44</x:v>
      </x:c>
      <x:c r="D199" s="107" t="n">
        <x:v>1</x:v>
      </x:c>
      <x:c r="E199" s="75" t="str">
        <x:v>긴급지원</x:v>
      </x:c>
    </x:row>
    <x:row r="200">
      <x:c r="A200" s="101" t="n">
        <x:v>46261</x:v>
      </x:c>
      <x:c r="B200" s="70" t="str">
        <x:v>E0045</x:v>
      </x:c>
      <x:c r="C200" s="70" t="str">
        <x:v>직원45</x:v>
      </x:c>
      <x:c r="D200" s="107" t="n">
        <x:v>0.8</x:v>
      </x:c>
      <x:c r="E200" s="75" t="str">
        <x:v>생산대응</x:v>
      </x:c>
    </x:row>
    <x:row r="201">
      <x:c r="A201" s="101" t="n">
        <x:v>46262</x:v>
      </x:c>
      <x:c r="B201" s="70" t="str">
        <x:v>E0046</x:v>
      </x:c>
      <x:c r="C201" s="70" t="str">
        <x:v>직원46</x:v>
      </x:c>
      <x:c r="D201" s="107" t="n">
        <x:v>1.2</x:v>
      </x:c>
      <x:c r="E201" s="75" t="str"/>
    </x:row>
    <x:row r="202">
      <x:c r="A202" s="101" t="n">
        <x:v>46235</x:v>
      </x:c>
      <x:c r="B202" s="70" t="str">
        <x:v>E0047</x:v>
      </x:c>
      <x:c r="C202" s="70" t="str">
        <x:v>직원47</x:v>
      </x:c>
      <x:c r="D202" s="107" t="n">
        <x:v>1.6</x:v>
      </x:c>
      <x:c r="E202" s="75" t="str">
        <x:v>월말마감</x:v>
      </x:c>
    </x:row>
    <x:row r="203">
      <x:c r="A203" s="101" t="n">
        <x:v>46236</x:v>
      </x:c>
      <x:c r="B203" s="70" t="str">
        <x:v>E0048</x:v>
      </x:c>
      <x:c r="C203" s="70" t="str">
        <x:v>직원48</x:v>
      </x:c>
      <x:c r="D203" s="107" t="n">
        <x:v>0.3</x:v>
      </x:c>
      <x:c r="E203" s="75" t="str">
        <x:v>긴급지원</x:v>
      </x:c>
    </x:row>
    <x:row r="204">
      <x:c r="A204" s="101" t="n">
        <x:v>46237</x:v>
      </x:c>
      <x:c r="B204" s="70" t="str">
        <x:v>E0049</x:v>
      </x:c>
      <x:c r="C204" s="70" t="str">
        <x:v>직원49</x:v>
      </x:c>
      <x:c r="D204" s="107" t="n">
        <x:v>2.2</x:v>
      </x:c>
      <x:c r="E204" s="75" t="str">
        <x:v>생산대응</x:v>
      </x:c>
    </x:row>
    <x:row r="205">
      <x:c r="A205" s="102" t="n">
        <x:v>46238</x:v>
      </x:c>
      <x:c r="B205" s="77" t="str">
        <x:v>E0050</x:v>
      </x:c>
      <x:c r="C205" s="77" t="str">
        <x:v>직원50</x:v>
      </x:c>
      <x:c r="D205" s="108" t="n">
        <x:v>0.1</x:v>
      </x:c>
      <x:c r="E205" s="78" t="str"/>
    </x:row>
  </x:sheetData>
  <x:mergeCells>
    <x:mergeCell ref="A1:E1"/>
    <x:mergeCell ref="A2:E2"/>
    <x:mergeCell ref="A3:E3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5" hidden="0" customWidth="1"/>
    <x:col min="3" max="3" width="14" hidden="0" customWidth="1"/>
    <x:col min="4" max="4" width="14" hidden="0" customWidth="1"/>
    <x:col min="5" max="5" width="16" hidden="0" customWidth="1"/>
    <x:col min="6" max="6" width="12" hidden="0" customWidth="1"/>
    <x:col min="7" max="7" width="16" hidden="0" customWidth="1"/>
    <x:col min="8" max="8" width="14" hidden="0" customWidth="1"/>
    <x:col min="9" max="9" width="16" hidden="0" customWidth="1"/>
  </x:cols>
  <x:sheetData>
    <x:row r="1" ht="30" customHeight="1">
      <x:c r="A1" s="5" t="str">
        <x:v>월 급여 계산</x:v>
      </x:c>
      <x:c r="B1" s="5"/>
      <x:c r="C1" s="5"/>
      <x:c r="D1" s="5"/>
      <x:c r="E1" s="5"/>
      <x:c r="F1" s="5"/>
      <x:c r="G1" s="5"/>
      <x:c r="H1" s="5"/>
      <x:c r="I1" s="5"/>
    </x:row>
    <x:row r="2" ht="24" customHeight="1">
      <x:c r="A2" s="12" t="str">
        <x:v>기본급·초과근무·식대를 기준으로 지급총액과 공제를 계산합니다.</x:v>
      </x:c>
      <x:c r="B2" s="12"/>
      <x:c r="C2" s="12"/>
      <x:c r="D2" s="12"/>
      <x:c r="E2" s="12"/>
      <x:c r="F2" s="12"/>
      <x:c r="G2" s="12"/>
      <x:c r="H2" s="12"/>
      <x:c r="I2" s="12"/>
    </x:row>
    <x:row r="3" ht="20" customHeight="1">
      <x:c r="A3" s="18" t="str">
        <x:v>합성 데이터 기반 M4-C 검증 샘플입니다. 노란색은 입력, 파란색은 계산 영역입니다.</x:v>
      </x:c>
      <x:c r="B3" s="18"/>
      <x:c r="C3" s="18"/>
      <x:c r="D3" s="18"/>
      <x:c r="E3" s="18"/>
      <x:c r="F3" s="18"/>
      <x:c r="G3" s="18"/>
      <x:c r="H3" s="18"/>
      <x:c r="I3" s="18"/>
    </x:row>
    <x:row r="5" ht="28" customHeight="1">
      <x:c r="A5" s="30" t="str">
        <x:v>사번</x:v>
      </x:c>
      <x:c r="B5" s="65" t="str">
        <x:v>기본급</x:v>
      </x:c>
      <x:c r="C5" s="65" t="str">
        <x:v>초과근무시간</x:v>
      </x:c>
      <x:c r="D5" s="65" t="str">
        <x:v>시간당수당</x:v>
      </x:c>
      <x:c r="E5" s="65" t="str">
        <x:v>초과근무수당</x:v>
      </x:c>
      <x:c r="F5" s="65" t="str">
        <x:v>식대</x:v>
      </x:c>
      <x:c r="G5" s="65" t="str">
        <x:v>지급총액</x:v>
      </x:c>
      <x:c r="H5" s="65" t="str">
        <x:v>공제</x:v>
      </x:c>
      <x:c r="I5" s="31" t="str">
        <x:v>실수령액</x:v>
      </x:c>
    </x:row>
    <x:row r="6">
      <x:c r="A6" s="71" t="str">
        <x:v>E0001</x:v>
      </x:c>
      <x:c r="B6" s="89" t="n">
        <x:v>2845000</x:v>
      </x:c>
      <x:c r="C6" s="136" t="n">
        <x:f>SUMIF('근태'!$B$6:$B$205,A6,'근태'!$D$6:$D$205)</x:f>
        <x:v>10.7</x:v>
      </x:c>
      <x:c r="D6" s="142" t="n">
        <x:f>B6/209*1.5</x:f>
        <x:v>20418.660287081337</x:v>
      </x:c>
      <x:c r="E6" s="143" t="n">
        <x:f>C6*D6</x:f>
        <x:v>218479.6650717703</x:v>
      </x:c>
      <x:c r="F6" s="144" t="n">
        <x:v>200000</x:v>
      </x:c>
      <x:c r="G6" s="145" t="n">
        <x:f>B6+E6+F6</x:f>
        <x:v>3263479.66507177</x:v>
      </x:c>
      <x:c r="H6" s="142" t="n">
        <x:f>ROUND(G6*0.033,0)</x:f>
        <x:v>107695</x:v>
      </x:c>
      <x:c r="I6" s="143" t="n">
        <x:f>G6-H6</x:f>
        <x:v>3155784.66507177</x:v>
      </x:c>
    </x:row>
    <x:row r="7">
      <x:c r="A7" s="74" t="str">
        <x:v>E0002</x:v>
      </x:c>
      <x:c r="B7" s="91" t="n">
        <x:v>2890000</x:v>
      </x:c>
      <x:c r="C7" s="137" t="n">
        <x:f>SUMIF('근태'!$B$6:$B$205,A7,'근태'!$D$6:$D$205)</x:f>
        <x:v>4.6</x:v>
      </x:c>
      <x:c r="D7" s="146" t="n">
        <x:f>B7/209*1.5</x:f>
        <x:v>20741.626794258373</x:v>
      </x:c>
      <x:c r="E7" s="147" t="n">
        <x:f>C7*D7</x:f>
        <x:v>95411.4832535885</x:v>
      </x:c>
      <x:c r="F7" s="148" t="n">
        <x:v>200000</x:v>
      </x:c>
      <x:c r="G7" s="149" t="n">
        <x:f>B7+E7+F7</x:f>
        <x:v>3185411.4832535884</x:v>
      </x:c>
      <x:c r="H7" s="146" t="n">
        <x:f>ROUND(G7*0.033,0)</x:f>
        <x:v>105119</x:v>
      </x:c>
      <x:c r="I7" s="147" t="n">
        <x:f>G7-H7</x:f>
        <x:v>3080292.4832535884</x:v>
      </x:c>
    </x:row>
    <x:row r="8">
      <x:c r="A8" s="74" t="str">
        <x:v>E0003</x:v>
      </x:c>
      <x:c r="B8" s="91" t="n">
        <x:v>2935000</x:v>
      </x:c>
      <x:c r="C8" s="137" t="n">
        <x:f>SUMIF('근태'!$B$6:$B$205,A8,'근태'!$D$6:$D$205)</x:f>
        <x:v>10.700000000000001</x:v>
      </x:c>
      <x:c r="D8" s="146" t="n">
        <x:f>B8/209*1.5</x:f>
        <x:v>21064.59330143541</x:v>
      </x:c>
      <x:c r="E8" s="147" t="n">
        <x:f>C8*D8</x:f>
        <x:v>225391.1483253589</x:v>
      </x:c>
      <x:c r="F8" s="148" t="n">
        <x:v>200000</x:v>
      </x:c>
      <x:c r="G8" s="149" t="n">
        <x:f>B8+E8+F8</x:f>
        <x:v>3360391.148325359</x:v>
      </x:c>
      <x:c r="H8" s="146" t="n">
        <x:f>ROUND(G8*0.033,0)</x:f>
        <x:v>110893</x:v>
      </x:c>
      <x:c r="I8" s="147" t="n">
        <x:f>G8-H8</x:f>
        <x:v>3249498.148325359</x:v>
      </x:c>
    </x:row>
    <x:row r="9">
      <x:c r="A9" s="74" t="str">
        <x:v>E0004</x:v>
      </x:c>
      <x:c r="B9" s="91" t="n">
        <x:v>2980000</x:v>
      </x:c>
      <x:c r="C9" s="137" t="n">
        <x:f>SUMIF('근태'!$B$6:$B$205,A9,'근태'!$D$6:$D$205)</x:f>
        <x:v>6.300000000000001</x:v>
      </x:c>
      <x:c r="D9" s="146" t="n">
        <x:f>B9/209*1.5</x:f>
        <x:v>21387.55980861244</x:v>
      </x:c>
      <x:c r="E9" s="147" t="n">
        <x:f>C9*D9</x:f>
        <x:v>134741.6267942584</x:v>
      </x:c>
      <x:c r="F9" s="148" t="n">
        <x:v>200000</x:v>
      </x:c>
      <x:c r="G9" s="149" t="n">
        <x:f>B9+E9+F9</x:f>
        <x:v>3314741.6267942586</x:v>
      </x:c>
      <x:c r="H9" s="146" t="n">
        <x:f>ROUND(G9*0.033,0)</x:f>
        <x:v>109386</x:v>
      </x:c>
      <x:c r="I9" s="147" t="n">
        <x:f>G9-H9</x:f>
        <x:v>3205355.6267942586</x:v>
      </x:c>
    </x:row>
    <x:row r="10">
      <x:c r="A10" s="74" t="str">
        <x:v>E0005</x:v>
      </x:c>
      <x:c r="B10" s="91" t="n">
        <x:v>3025000</x:v>
      </x:c>
      <x:c r="C10" s="137" t="n">
        <x:f>SUMIF('근태'!$B$6:$B$205,A10,'근태'!$D$6:$D$205)</x:f>
        <x:v>4.2</x:v>
      </x:c>
      <x:c r="D10" s="146" t="n">
        <x:f>B10/209*1.5</x:f>
        <x:v>21710.526315789473</x:v>
      </x:c>
      <x:c r="E10" s="147" t="n">
        <x:f>C10*D10</x:f>
        <x:v>91184.21052631579</x:v>
      </x:c>
      <x:c r="F10" s="148" t="n">
        <x:v>200000</x:v>
      </x:c>
      <x:c r="G10" s="149" t="n">
        <x:f>B10+E10+F10</x:f>
        <x:v>3316184.210526316</x:v>
      </x:c>
      <x:c r="H10" s="146" t="n">
        <x:f>ROUND(G10*0.033,0)</x:f>
        <x:v>109434</x:v>
      </x:c>
      <x:c r="I10" s="147" t="n">
        <x:f>G10-H10</x:f>
        <x:v>3206750.210526316</x:v>
      </x:c>
    </x:row>
    <x:row r="11">
      <x:c r="A11" s="74" t="str">
        <x:v>E0006</x:v>
      </x:c>
      <x:c r="B11" s="91" t="n">
        <x:v>3070000</x:v>
      </x:c>
      <x:c r="C11" s="137" t="n">
        <x:f>SUMIF('근태'!$B$6:$B$205,A11,'근태'!$D$6:$D$205)</x:f>
        <x:v>5.2</x:v>
      </x:c>
      <x:c r="D11" s="146" t="n">
        <x:f>B11/209*1.5</x:f>
        <x:v>22033.492822966506</x:v>
      </x:c>
      <x:c r="E11" s="147" t="n">
        <x:f>C11*D11</x:f>
        <x:v>114574.16267942583</x:v>
      </x:c>
      <x:c r="F11" s="148" t="n">
        <x:v>200000</x:v>
      </x:c>
      <x:c r="G11" s="149" t="n">
        <x:f>B11+E11+F11</x:f>
        <x:v>3384574.162679426</x:v>
      </x:c>
      <x:c r="H11" s="146" t="n">
        <x:f>ROUND(G11*0.033,0)</x:f>
        <x:v>111691</x:v>
      </x:c>
      <x:c r="I11" s="147" t="n">
        <x:f>G11-H11</x:f>
        <x:v>3272883.162679426</x:v>
      </x:c>
    </x:row>
    <x:row r="12">
      <x:c r="A12" s="74" t="str">
        <x:v>E0007</x:v>
      </x:c>
      <x:c r="B12" s="91" t="n">
        <x:v>3115000</x:v>
      </x:c>
      <x:c r="C12" s="137" t="n">
        <x:f>SUMIF('근태'!$B$6:$B$205,A12,'근태'!$D$6:$D$205)</x:f>
        <x:v>8.1</x:v>
      </x:c>
      <x:c r="D12" s="146" t="n">
        <x:f>B12/209*1.5</x:f>
        <x:v>22356.45933014354</x:v>
      </x:c>
      <x:c r="E12" s="147" t="n">
        <x:f>C12*D12</x:f>
        <x:v>181087.32057416267</x:v>
      </x:c>
      <x:c r="F12" s="148" t="n">
        <x:v>200000</x:v>
      </x:c>
      <x:c r="G12" s="149" t="n">
        <x:f>B12+E12+F12</x:f>
        <x:v>3496087.3205741625</x:v>
      </x:c>
      <x:c r="H12" s="146" t="n">
        <x:f>ROUND(G12*0.033,0)</x:f>
        <x:v>115371</x:v>
      </x:c>
      <x:c r="I12" s="147" t="n">
        <x:f>G12-H12</x:f>
        <x:v>3380716.3205741625</x:v>
      </x:c>
    </x:row>
    <x:row r="13">
      <x:c r="A13" s="74" t="str">
        <x:v>E0008</x:v>
      </x:c>
      <x:c r="B13" s="91" t="n">
        <x:v>3160000</x:v>
      </x:c>
      <x:c r="C13" s="137" t="n">
        <x:f>SUMIF('근태'!$B$6:$B$205,A13,'근태'!$D$6:$D$205)</x:f>
        <x:v>13.5</x:v>
      </x:c>
      <x:c r="D13" s="146" t="n">
        <x:f>B13/209*1.5</x:f>
        <x:v>22679.425837320574</x:v>
      </x:c>
      <x:c r="E13" s="147" t="n">
        <x:f>C13*D13</x:f>
        <x:v>306172.24880382774</x:v>
      </x:c>
      <x:c r="F13" s="148" t="n">
        <x:v>200000</x:v>
      </x:c>
      <x:c r="G13" s="149" t="n">
        <x:f>B13+E13+F13</x:f>
        <x:v>3666172.248803828</x:v>
      </x:c>
      <x:c r="H13" s="146" t="n">
        <x:f>ROUND(G13*0.033,0)</x:f>
        <x:v>120984</x:v>
      </x:c>
      <x:c r="I13" s="147" t="n">
        <x:f>G13-H13</x:f>
        <x:v>3545188.248803828</x:v>
      </x:c>
    </x:row>
    <x:row r="14">
      <x:c r="A14" s="74" t="str">
        <x:v>E0009</x:v>
      </x:c>
      <x:c r="B14" s="91" t="n">
        <x:v>3205000</x:v>
      </x:c>
      <x:c r="C14" s="137" t="n">
        <x:f>SUMIF('근태'!$B$6:$B$205,A14,'근태'!$D$6:$D$205)</x:f>
        <x:v>8.9</x:v>
      </x:c>
      <x:c r="D14" s="146" t="n">
        <x:f>B14/209*1.5</x:f>
        <x:v>23002.39234449761</x:v>
      </x:c>
      <x:c r="E14" s="147" t="n">
        <x:f>C14*D14</x:f>
        <x:v>204721.29186602874</x:v>
      </x:c>
      <x:c r="F14" s="148" t="n">
        <x:v>200000</x:v>
      </x:c>
      <x:c r="G14" s="149" t="n">
        <x:f>B14+E14+F14</x:f>
        <x:v>3609721.2918660287</x:v>
      </x:c>
      <x:c r="H14" s="146" t="n">
        <x:f>ROUND(G14*0.033,0)</x:f>
        <x:v>119121</x:v>
      </x:c>
      <x:c r="I14" s="147" t="n">
        <x:f>G14-H14</x:f>
        <x:v>3490600.2918660287</x:v>
      </x:c>
    </x:row>
    <x:row r="15">
      <x:c r="A15" s="74" t="str">
        <x:v>E0010</x:v>
      </x:c>
      <x:c r="B15" s="91" t="n">
        <x:v>3250000</x:v>
      </x:c>
      <x:c r="C15" s="137" t="n">
        <x:f>SUMIF('근태'!$B$6:$B$205,A15,'근태'!$D$6:$D$205)</x:f>
        <x:v>7</x:v>
      </x:c>
      <x:c r="D15" s="146" t="n">
        <x:f>B15/209*1.5</x:f>
        <x:v>23325.35885167464</x:v>
      </x:c>
      <x:c r="E15" s="147" t="n">
        <x:f>C15*D15</x:f>
        <x:v>163277.51196172246</x:v>
      </x:c>
      <x:c r="F15" s="148" t="n">
        <x:v>200000</x:v>
      </x:c>
      <x:c r="G15" s="149" t="n">
        <x:f>B15+E15+F15</x:f>
        <x:v>3613277.5119617223</x:v>
      </x:c>
      <x:c r="H15" s="146" t="n">
        <x:f>ROUND(G15*0.033,0)</x:f>
        <x:v>119238</x:v>
      </x:c>
      <x:c r="I15" s="147" t="n">
        <x:f>G15-H15</x:f>
        <x:v>3494039.5119617223</x:v>
      </x:c>
    </x:row>
    <x:row r="16">
      <x:c r="A16" s="74" t="str">
        <x:v>E0011</x:v>
      </x:c>
      <x:c r="B16" s="91" t="n">
        <x:v>3295000</x:v>
      </x:c>
      <x:c r="C16" s="137" t="n">
        <x:f>SUMIF('근태'!$B$6:$B$205,A16,'근태'!$D$6:$D$205)</x:f>
        <x:v>9.6</x:v>
      </x:c>
      <x:c r="D16" s="146" t="n">
        <x:f>B16/209*1.5</x:f>
        <x:v>23648.325358851675</x:v>
      </x:c>
      <x:c r="E16" s="147" t="n">
        <x:f>C16*D16</x:f>
        <x:v>227023.92344497607</x:v>
      </x:c>
      <x:c r="F16" s="148" t="n">
        <x:v>200000</x:v>
      </x:c>
      <x:c r="G16" s="149" t="n">
        <x:f>B16+E16+F16</x:f>
        <x:v>3722023.923444976</x:v>
      </x:c>
      <x:c r="H16" s="146" t="n">
        <x:f>ROUND(G16*0.033,0)</x:f>
        <x:v>122827</x:v>
      </x:c>
      <x:c r="I16" s="147" t="n">
        <x:f>G16-H16</x:f>
        <x:v>3599196.923444976</x:v>
      </x:c>
    </x:row>
    <x:row r="17">
      <x:c r="A17" s="74" t="str">
        <x:v>E0012</x:v>
      </x:c>
      <x:c r="B17" s="91" t="n">
        <x:v>3340000</x:v>
      </x:c>
      <x:c r="C17" s="137" t="n">
        <x:f>SUMIF('근태'!$B$6:$B$205,A17,'근태'!$D$6:$D$205)</x:f>
        <x:v>8.6</x:v>
      </x:c>
      <x:c r="D17" s="146" t="n">
        <x:f>B17/209*1.5</x:f>
        <x:v>23971.29186602871</x:v>
      </x:c>
      <x:c r="E17" s="147" t="n">
        <x:f>C17*D17</x:f>
        <x:v>206153.11004784692</x:v>
      </x:c>
      <x:c r="F17" s="148" t="n">
        <x:v>200000</x:v>
      </x:c>
      <x:c r="G17" s="149" t="n">
        <x:f>B17+E17+F17</x:f>
        <x:v>3746153.110047847</x:v>
      </x:c>
      <x:c r="H17" s="146" t="n">
        <x:f>ROUND(G17*0.033,0)</x:f>
        <x:v>123623</x:v>
      </x:c>
      <x:c r="I17" s="147" t="n">
        <x:f>G17-H17</x:f>
        <x:v>3622530.110047847</x:v>
      </x:c>
    </x:row>
    <x:row r="18">
      <x:c r="A18" s="74" t="str">
        <x:v>E0013</x:v>
      </x:c>
      <x:c r="B18" s="91" t="n">
        <x:v>3385000</x:v>
      </x:c>
      <x:c r="C18" s="137" t="n">
        <x:f>SUMIF('근태'!$B$6:$B$205,A18,'근태'!$D$6:$D$205)</x:f>
        <x:v>7</x:v>
      </x:c>
      <x:c r="D18" s="146" t="n">
        <x:f>B17/209*1.5</x:f>
        <x:v>23971.29186602871</x:v>
      </x:c>
      <x:c r="E18" s="147" t="n">
        <x:f>C18*D18</x:f>
        <x:v>167799.04306220097</x:v>
      </x:c>
      <x:c r="F18" s="148" t="n">
        <x:v>200000</x:v>
      </x:c>
      <x:c r="G18" s="149" t="n">
        <x:f>B18+E18+F18</x:f>
        <x:v>3752799.043062201</x:v>
      </x:c>
      <x:c r="H18" s="146" t="n">
        <x:f>ROUND(G18*0.033,0)</x:f>
        <x:v>123842</x:v>
      </x:c>
      <x:c r="I18" s="147" t="n">
        <x:f>G18-H18</x:f>
        <x:v>3628957.043062201</x:v>
      </x:c>
    </x:row>
    <x:row r="19">
      <x:c r="A19" s="74" t="str">
        <x:v>E0014</x:v>
      </x:c>
      <x:c r="B19" s="91" t="n">
        <x:v>3430000</x:v>
      </x:c>
      <x:c r="C19" s="137" t="n">
        <x:f>SUMIF('근태'!$B$6:$B$205,A19,'근태'!$D$6:$D$205)</x:f>
        <x:v>7.6</x:v>
      </x:c>
      <x:c r="D19" s="146" t="n">
        <x:f>B19/209*1.5</x:f>
        <x:v>24617.224880382775</x:v>
      </x:c>
      <x:c r="E19" s="147" t="n">
        <x:f>C19*D19</x:f>
        <x:v>187090.9090909091</x:v>
      </x:c>
      <x:c r="F19" s="148" t="n">
        <x:v>200000</x:v>
      </x:c>
      <x:c r="G19" s="149" t="n">
        <x:f>B19+E19+F19</x:f>
        <x:v>3817090.909090909</x:v>
      </x:c>
      <x:c r="H19" s="146" t="n">
        <x:f>ROUND(G19*0.033,0)</x:f>
        <x:v>125964</x:v>
      </x:c>
      <x:c r="I19" s="147" t="n">
        <x:f>G19-H19</x:f>
        <x:v>3691126.909090909</x:v>
      </x:c>
    </x:row>
    <x:row r="20">
      <x:c r="A20" s="74" t="str">
        <x:v>E0015</x:v>
      </x:c>
      <x:c r="B20" s="91" t="n">
        <x:v>3475000</x:v>
      </x:c>
      <x:c r="C20" s="137" t="n">
        <x:f>SUMIF('근태'!$B$6:$B$205,A20,'근태'!$D$6:$D$205)</x:f>
        <x:v>9.8</x:v>
      </x:c>
      <x:c r="D20" s="146" t="n">
        <x:f>B20/209*1.5</x:f>
        <x:v>24940.19138755981</x:v>
      </x:c>
      <x:c r="E20" s="147" t="n">
        <x:f>C20*D20</x:f>
        <x:v>244413.87559808616</x:v>
      </x:c>
      <x:c r="F20" s="148" t="n">
        <x:v>200000</x:v>
      </x:c>
      <x:c r="G20" s="149" t="n">
        <x:f>B20+E20+F20</x:f>
        <x:v>3919413.875598086</x:v>
      </x:c>
      <x:c r="H20" s="146" t="n">
        <x:f>ROUND(G20*0.033,0)</x:f>
        <x:v>129341</x:v>
      </x:c>
      <x:c r="I20" s="147" t="n">
        <x:f>G20-H20</x:f>
        <x:v>3790072.875598086</x:v>
      </x:c>
    </x:row>
    <x:row r="21">
      <x:c r="A21" s="74" t="str">
        <x:v>E0016</x:v>
      </x:c>
      <x:c r="B21" s="91" t="n">
        <x:v>3520000</x:v>
      </x:c>
      <x:c r="C21" s="137" t="n">
        <x:f>SUMIF('근태'!$B$6:$B$205,A21,'근태'!$D$6:$D$205)</x:f>
        <x:v>8.299999999999999</x:v>
      </x:c>
      <x:c r="D21" s="146" t="n">
        <x:f>B21/209*1.5</x:f>
        <x:v>25263.15789473684</x:v>
      </x:c>
      <x:c r="E21" s="147" t="n">
        <x:f>C21*D21</x:f>
        <x:v>209684.21052631576</x:v>
      </x:c>
      <x:c r="F21" s="148" t="n">
        <x:v>200000</x:v>
      </x:c>
      <x:c r="G21" s="149" t="n">
        <x:f>B21+E21+F21</x:f>
        <x:v>3929684.210526316</x:v>
      </x:c>
      <x:c r="H21" s="146" t="n">
        <x:f>ROUND(G21*0.033,0)</x:f>
        <x:v>129680</x:v>
      </x:c>
      <x:c r="I21" s="147" t="n">
        <x:f>G21-H21</x:f>
        <x:v>3800004.210526316</x:v>
      </x:c>
    </x:row>
    <x:row r="22">
      <x:c r="A22" s="74" t="str">
        <x:v>E0017</x:v>
      </x:c>
      <x:c r="B22" s="91" t="n">
        <x:v>3565000</x:v>
      </x:c>
      <x:c r="C22" s="137" t="n">
        <x:f>SUMIF('근태'!$B$6:$B$205,A22,'근태'!$D$6:$D$205)</x:f>
        <x:v>4.5</x:v>
      </x:c>
      <x:c r="D22" s="146" t="n">
        <x:f>B22/209*1.5</x:f>
        <x:v>25586.124401913876</x:v>
      </x:c>
      <x:c r="E22" s="147" t="n">
        <x:f>C22*D22</x:f>
        <x:v>115137.55980861244</x:v>
      </x:c>
      <x:c r="F22" s="148" t="n">
        <x:v>200000</x:v>
      </x:c>
      <x:c r="G22" s="149" t="n">
        <x:f>B22+E22+F22</x:f>
        <x:v>3880137.5598086123</x:v>
      </x:c>
      <x:c r="H22" s="146" t="n">
        <x:f>ROUND(G22*0.033,0)</x:f>
        <x:v>128045</x:v>
      </x:c>
      <x:c r="I22" s="147" t="n">
        <x:f>G22-H22</x:f>
        <x:v>3752092.5598086123</x:v>
      </x:c>
    </x:row>
    <x:row r="23">
      <x:c r="A23" s="74" t="str">
        <x:v>E0018</x:v>
      </x:c>
      <x:c r="B23" s="91" t="n">
        <x:v>3610000</x:v>
      </x:c>
      <x:c r="C23" s="137" t="n">
        <x:f>SUMIF('근태'!$B$6:$B$205,A23,'근태'!$D$6:$D$205)</x:f>
        <x:v>6</x:v>
      </x:c>
      <x:c r="D23" s="146" t="n">
        <x:f>B23/209*1.5</x:f>
        <x:v>25909.090909090908</x:v>
      </x:c>
      <x:c r="E23" s="147" t="n">
        <x:f>C23*D23</x:f>
        <x:v>155454.54545454544</x:v>
      </x:c>
      <x:c r="F23" s="148" t="n">
        <x:v>200000</x:v>
      </x:c>
      <x:c r="G23" s="149" t="n">
        <x:f>B23+E23+F23</x:f>
        <x:v>3965454.5454545454</x:v>
      </x:c>
      <x:c r="H23" s="146" t="n">
        <x:f>ROUND(G23*0.033,0)</x:f>
        <x:v>130860</x:v>
      </x:c>
      <x:c r="I23" s="147" t="n">
        <x:f>G23-H23</x:f>
        <x:v>3834594.5454545454</x:v>
      </x:c>
    </x:row>
    <x:row r="24">
      <x:c r="A24" s="74" t="str">
        <x:v>E0019</x:v>
      </x:c>
      <x:c r="B24" s="91" t="n">
        <x:v>3655000</x:v>
      </x:c>
      <x:c r="C24" s="137" t="n">
        <x:f>SUMIF('근태'!$B$6:$B$205,A24,'근태'!$D$6:$D$205)</x:f>
        <x:v>11.6</x:v>
      </x:c>
      <x:c r="D24" s="146" t="n">
        <x:f>B24/209*1.5</x:f>
        <x:v>26232.05741626794</x:v>
      </x:c>
      <x:c r="E24" s="147" t="n">
        <x:f>C24*D24</x:f>
        <x:v>304291.8660287081</x:v>
      </x:c>
      <x:c r="F24" s="148" t="n">
        <x:v>200000</x:v>
      </x:c>
      <x:c r="G24" s="149" t="n">
        <x:f>B24+E24+F24</x:f>
        <x:v>4159291.866028708</x:v>
      </x:c>
      <x:c r="H24" s="146" t="n">
        <x:f>ROUND(G24*0.033,0)</x:f>
        <x:v>137257</x:v>
      </x:c>
      <x:c r="I24" s="147" t="n">
        <x:f>G24-H24</x:f>
        <x:v>4022034.866028708</x:v>
      </x:c>
    </x:row>
    <x:row r="25">
      <x:c r="A25" s="74" t="str">
        <x:v>E0020</x:v>
      </x:c>
      <x:c r="B25" s="91" t="n">
        <x:v>3700000</x:v>
      </x:c>
      <x:c r="C25" s="137" t="n">
        <x:f>SUMIF('근태'!$B$6:$B$205,A25,'근태'!$D$6:$D$205)</x:f>
        <x:v>10</x:v>
      </x:c>
      <x:c r="D25" s="146" t="n">
        <x:f>B25/209*1.5</x:f>
        <x:v>26555.023923444976</x:v>
      </x:c>
      <x:c r="E25" s="147" t="n">
        <x:f>C25*D25</x:f>
        <x:v>265550.23923444975</x:v>
      </x:c>
      <x:c r="F25" s="148" t="n">
        <x:v>200000</x:v>
      </x:c>
      <x:c r="G25" s="149" t="n">
        <x:f>B25+E25+F25</x:f>
        <x:v>4165550.23923445</x:v>
      </x:c>
      <x:c r="H25" s="146" t="n">
        <x:f>ROUND(G25*0.033,0)</x:f>
        <x:v>137463</x:v>
      </x:c>
      <x:c r="I25" s="147" t="n">
        <x:f>G25-H25</x:f>
        <x:v>4028087.23923445</x:v>
      </x:c>
    </x:row>
    <x:row r="26">
      <x:c r="A26" s="74" t="str">
        <x:v>E0021</x:v>
      </x:c>
      <x:c r="B26" s="91" t="n">
        <x:v>3745000</x:v>
      </x:c>
      <x:c r="C26" s="137" t="n">
        <x:f>SUMIF('근태'!$B$6:$B$205,A26,'근태'!$D$6:$D$205)</x:f>
        <x:v>5.3</x:v>
      </x:c>
      <x:c r="D26" s="146" t="n">
        <x:f>B26/209*1.5</x:f>
        <x:v>26877.990430622012</x:v>
      </x:c>
      <x:c r="E26" s="147" t="n">
        <x:v>315000</x:v>
      </x:c>
      <x:c r="F26" s="148" t="n">
        <x:v>200000</x:v>
      </x:c>
      <x:c r="G26" s="149" t="n">
        <x:f>B26+E26+F26</x:f>
        <x:v>4260000</x:v>
      </x:c>
      <x:c r="H26" s="146" t="n">
        <x:f>ROUND(G26*0.033,0)</x:f>
        <x:v>140580</x:v>
      </x:c>
      <x:c r="I26" s="147" t="n">
        <x:f>G26-H26</x:f>
        <x:v>4119420</x:v>
      </x:c>
    </x:row>
    <x:row r="27">
      <x:c r="A27" s="74" t="str">
        <x:v>E0022</x:v>
      </x:c>
      <x:c r="B27" s="91" t="n">
        <x:v>3790000</x:v>
      </x:c>
      <x:c r="C27" s="137" t="n">
        <x:f>SUMIF('근태'!$B$6:$B$205,A27,'근태'!$D$6:$D$205)</x:f>
        <x:v>11.5</x:v>
      </x:c>
      <x:c r="D27" s="146" t="n">
        <x:f>B27/209*1.5</x:f>
        <x:v>27200.956937799045</x:v>
      </x:c>
      <x:c r="E27" s="147" t="n">
        <x:f>C27*D27</x:f>
        <x:v>312811.004784689</x:v>
      </x:c>
      <x:c r="F27" s="148" t="n">
        <x:v>200000</x:v>
      </x:c>
      <x:c r="G27" s="149" t="n">
        <x:f>B27+E27+F27</x:f>
        <x:v>4302811.004784688</x:v>
      </x:c>
      <x:c r="H27" s="146" t="n">
        <x:f>ROUND(G27*0.033,0)</x:f>
        <x:v>141993</x:v>
      </x:c>
      <x:c r="I27" s="147" t="n">
        <x:f>G27-H27</x:f>
        <x:v>4160818.0047846884</x:v>
      </x:c>
    </x:row>
    <x:row r="28">
      <x:c r="A28" s="74" t="str">
        <x:v>E0023</x:v>
      </x:c>
      <x:c r="B28" s="91" t="n">
        <x:v>3835000</x:v>
      </x:c>
      <x:c r="C28" s="137" t="n">
        <x:f>SUMIF('근태'!$B$6:$B$205,A28,'근태'!$D$6:$D$205)</x:f>
        <x:v>8.2</x:v>
      </x:c>
      <x:c r="D28" s="146" t="n">
        <x:f>B28/209*1.5</x:f>
        <x:v>27523.923444976077</x:v>
      </x:c>
      <x:c r="E28" s="147" t="n">
        <x:f>C28*D28</x:f>
        <x:v>225696.1722488038</x:v>
      </x:c>
      <x:c r="F28" s="148" t="n">
        <x:v>200000</x:v>
      </x:c>
      <x:c r="G28" s="149" t="n">
        <x:f>B28+E28+F28</x:f>
        <x:v>4260696.172248804</x:v>
      </x:c>
      <x:c r="H28" s="146" t="n">
        <x:f>ROUND(G28*0.033,0)</x:f>
        <x:v>140603</x:v>
      </x:c>
      <x:c r="I28" s="147" t="n">
        <x:f>G28-H28</x:f>
        <x:v>4120093.172248804</x:v>
      </x:c>
    </x:row>
    <x:row r="29">
      <x:c r="A29" s="74" t="str">
        <x:v>E0024</x:v>
      </x:c>
      <x:c r="B29" s="91" t="n">
        <x:v>3880000</x:v>
      </x:c>
      <x:c r="C29" s="137" t="n">
        <x:f>SUMIF('근태'!$B$6:$B$205,A29,'근태'!$D$6:$D$205)</x:f>
        <x:v>6.800000000000001</x:v>
      </x:c>
      <x:c r="D29" s="146" t="n">
        <x:f>B29/209*1.5</x:f>
        <x:v>27846.889952153106</x:v>
      </x:c>
      <x:c r="E29" s="147" t="n">
        <x:f>C29*D29</x:f>
        <x:v>189358.85167464113</x:v>
      </x:c>
      <x:c r="F29" s="148" t="n">
        <x:v>200000</x:v>
      </x:c>
      <x:c r="G29" s="149" t="n">
        <x:f>B29+E29+F29</x:f>
        <x:v>4269358.851674641</x:v>
      </x:c>
      <x:c r="H29" s="146" t="n">
        <x:f>ROUND(G29*0.033,0)</x:f>
        <x:v>140889</x:v>
      </x:c>
      <x:c r="I29" s="147" t="n">
        <x:f>G29-H29</x:f>
        <x:v>4128469.8516746406</x:v>
      </x:c>
    </x:row>
    <x:row r="30">
      <x:c r="A30" s="74" t="str">
        <x:v>E0025</x:v>
      </x:c>
      <x:c r="B30" s="91" t="n">
        <x:v>3925000</x:v>
      </x:c>
      <x:c r="C30" s="137" t="n">
        <x:f>SUMIF('근태'!$B$6:$B$205,A30,'근태'!$D$6:$D$205)</x:f>
        <x:v>9.600000000000001</x:v>
      </x:c>
      <x:c r="D30" s="146" t="n">
        <x:f>B30/209*1.5</x:f>
        <x:v>28169.85645933014</x:v>
      </x:c>
      <x:c r="E30" s="147" t="n">
        <x:f>C30*D30</x:f>
        <x:v>270430.6220095694</x:v>
      </x:c>
      <x:c r="F30" s="148" t="n">
        <x:v>200000</x:v>
      </x:c>
      <x:c r="G30" s="149" t="n">
        <x:f>B30+E30+F30</x:f>
        <x:v>4395430.62200957</x:v>
      </x:c>
      <x:c r="H30" s="146" t="n">
        <x:f>ROUND(G30*0.033,0)</x:f>
        <x:v>145049</x:v>
      </x:c>
      <x:c r="I30" s="147" t="n">
        <x:f>G30-H30</x:f>
        <x:v>4250381.62200957</x:v>
      </x:c>
    </x:row>
    <x:row r="31">
      <x:c r="A31" s="74" t="str">
        <x:v>E0026</x:v>
      </x:c>
      <x:c r="B31" s="91" t="n">
        <x:v>3970000</x:v>
      </x:c>
      <x:c r="C31" s="137" t="n">
        <x:f>SUMIF('근태'!$B$6:$B$205,A31,'근태'!$D$6:$D$205)</x:f>
        <x:v>9.9</x:v>
      </x:c>
      <x:c r="D31" s="146" t="n">
        <x:f>B31/209*1.5</x:f>
        <x:v>28492.822966507178</x:v>
      </x:c>
      <x:c r="E31" s="147" t="n">
        <x:f>C31*D31</x:f>
        <x:v>282078.94736842107</x:v>
      </x:c>
      <x:c r="F31" s="148" t="n">
        <x:v>200000</x:v>
      </x:c>
      <x:c r="G31" s="149" t="n">
        <x:f>B31+E31+F31</x:f>
        <x:v>4452078.947368421</x:v>
      </x:c>
      <x:c r="H31" s="146" t="n">
        <x:f>ROUND(G31*0.033,0)</x:f>
        <x:v>146919</x:v>
      </x:c>
      <x:c r="I31" s="147" t="n">
        <x:f>G31-H31</x:f>
        <x:v>4305159.947368421</x:v>
      </x:c>
    </x:row>
    <x:row r="32">
      <x:c r="A32" s="74" t="str">
        <x:v>E0027</x:v>
      </x:c>
      <x:c r="B32" s="91" t="n">
        <x:v>4015000</x:v>
      </x:c>
      <x:c r="C32" s="137" t="n">
        <x:f>SUMIF('근태'!$B$6:$B$205,A32,'근태'!$D$6:$D$205)</x:f>
        <x:v>8.3</x:v>
      </x:c>
      <x:c r="D32" s="146" t="n">
        <x:f>B32/209*1.5</x:f>
        <x:v>28815.78947368421</x:v>
      </x:c>
      <x:c r="E32" s="147" t="n">
        <x:f>C32*D32</x:f>
        <x:v>239171.05263157896</x:v>
      </x:c>
      <x:c r="F32" s="148" t="n">
        <x:v>200000</x:v>
      </x:c>
      <x:c r="G32" s="149" t="n">
        <x:f>B32+E32+F32</x:f>
        <x:v>4454171.052631579</x:v>
      </x:c>
      <x:c r="H32" s="146" t="n">
        <x:f>ROUND(G32*0.033,0)</x:f>
        <x:v>146988</x:v>
      </x:c>
      <x:c r="I32" s="147" t="n">
        <x:f>G32-H32</x:f>
        <x:v>4307183.052631579</x:v>
      </x:c>
    </x:row>
    <x:row r="33">
      <x:c r="A33" s="74" t="str">
        <x:v>E0028</x:v>
      </x:c>
      <x:c r="B33" s="91" t="n">
        <x:v>4060000</x:v>
      </x:c>
      <x:c r="C33" s="137" t="n">
        <x:f>SUMIF('근태'!$B$6:$B$205,A33,'근태'!$D$6:$D$205)</x:f>
        <x:v>7.6</x:v>
      </x:c>
      <x:c r="D33" s="146" t="n">
        <x:f>B33/209*1.5</x:f>
        <x:v>29138.755980861242</x:v>
      </x:c>
      <x:c r="E33" s="147" t="n">
        <x:f>C33*D33</x:f>
        <x:v>221454.54545454544</x:v>
      </x:c>
      <x:c r="F33" s="148" t="n">
        <x:v>200000</x:v>
      </x:c>
      <x:c r="G33" s="149"/>
      <x:c r="H33" s="146" t="n">
        <x:f>ROUND(G33*0.033,0)</x:f>
        <x:v>0</x:v>
      </x:c>
      <x:c r="I33" s="147" t="n">
        <x:f>G33-H33</x:f>
        <x:v>0</x:v>
      </x:c>
    </x:row>
    <x:row r="34">
      <x:c r="A34" s="74" t="str">
        <x:v>E0029</x:v>
      </x:c>
      <x:c r="B34" s="91" t="n">
        <x:v>4105000</x:v>
      </x:c>
      <x:c r="C34" s="137" t="n">
        <x:f>SUMIF('근태'!$B$6:$B$205,A34,'근태'!$D$6:$D$205)</x:f>
        <x:v>7.5</x:v>
      </x:c>
      <x:c r="D34" s="146" t="n">
        <x:f>B34/209*1.5</x:f>
        <x:v>29461.72248803828</x:v>
      </x:c>
      <x:c r="E34" s="147" t="n">
        <x:f>C34*D34</x:f>
        <x:v>220962.91866028708</x:v>
      </x:c>
      <x:c r="F34" s="148" t="n">
        <x:v>200000</x:v>
      </x:c>
      <x:c r="G34" s="149" t="n">
        <x:f>B34+E34+F34</x:f>
        <x:v>4525962.918660287</x:v>
      </x:c>
      <x:c r="H34" s="146" t="n">
        <x:f>ROUND(G34*0.033,0)</x:f>
        <x:v>149357</x:v>
      </x:c>
      <x:c r="I34" s="147" t="n">
        <x:f>G34-H34</x:f>
        <x:v>4376605.918660287</x:v>
      </x:c>
    </x:row>
    <x:row r="35">
      <x:c r="A35" s="74" t="str">
        <x:v>E0030</x:v>
      </x:c>
      <x:c r="B35" s="91" t="n">
        <x:v>4150000</x:v>
      </x:c>
      <x:c r="C35" s="137" t="n">
        <x:f>SUMIF('근태'!$B$6:$B$205,A35,'근태'!$D$6:$D$205)</x:f>
        <x:v>11.899999999999999</x:v>
      </x:c>
      <x:c r="D35" s="146" t="n">
        <x:f>B35/209*1.5</x:f>
        <x:v>29784.688995215314</x:v>
      </x:c>
      <x:c r="E35" s="147" t="n">
        <x:f>C35*D35</x:f>
        <x:v>354437.7990430622</x:v>
      </x:c>
      <x:c r="F35" s="148" t="n">
        <x:v>200000</x:v>
      </x:c>
      <x:c r="G35" s="149" t="n">
        <x:f>B35+E35+F35</x:f>
        <x:v>4704437.799043062</x:v>
      </x:c>
      <x:c r="H35" s="146" t="n">
        <x:f>ROUND(G35*0.033,0)</x:f>
        <x:v>155246</x:v>
      </x:c>
      <x:c r="I35" s="147" t="n">
        <x:f>G35-H35</x:f>
        <x:v>4549191.799043062</x:v>
      </x:c>
    </x:row>
    <x:row r="36">
      <x:c r="A36" s="74" t="str">
        <x:v>E0031</x:v>
      </x:c>
      <x:c r="B36" s="91" t="n">
        <x:v>4195000</x:v>
      </x:c>
      <x:c r="C36" s="137" t="n">
        <x:f>SUMIF('근태'!$B$6:$B$205,A36,'근태'!$D$6:$D$205)</x:f>
        <x:v>10.100000000000001</x:v>
      </x:c>
      <x:c r="D36" s="146" t="n">
        <x:f>B36/209*1.5</x:f>
        <x:v>30107.655502392347</x:v>
      </x:c>
      <x:c r="E36" s="147" t="n">
        <x:f>C36*D36</x:f>
        <x:v>304087.32057416276</x:v>
      </x:c>
      <x:c r="F36" s="148" t="n">
        <x:v>200000</x:v>
      </x:c>
      <x:c r="G36" s="149" t="n">
        <x:f>B36+E36+F36</x:f>
        <x:v>4699087.3205741625</x:v>
      </x:c>
      <x:c r="H36" s="146" t="n">
        <x:f>ROUND(G36*0.033,0)</x:f>
        <x:v>155070</x:v>
      </x:c>
      <x:c r="I36" s="147" t="n">
        <x:f>G36-H36</x:f>
        <x:v>4544017.3205741625</x:v>
      </x:c>
    </x:row>
    <x:row r="37">
      <x:c r="A37" s="74" t="str">
        <x:v>E0032</x:v>
      </x:c>
      <x:c r="B37" s="91" t="n">
        <x:v>4240000</x:v>
      </x:c>
      <x:c r="C37" s="137" t="n">
        <x:f>SUMIF('근태'!$B$6:$B$205,A37,'근태'!$D$6:$D$205)</x:f>
        <x:v>11.100000000000001</x:v>
      </x:c>
      <x:c r="D37" s="146" t="n">
        <x:f>B37/209*1.5</x:f>
        <x:v>30430.62200956938</x:v>
      </x:c>
      <x:c r="E37" s="147" t="n">
        <x:f>C37*D37</x:f>
        <x:v>337779.9043062201</x:v>
      </x:c>
      <x:c r="F37" s="148" t="n">
        <x:v>200000</x:v>
      </x:c>
      <x:c r="G37" s="149" t="n">
        <x:f>B37+E37+F37</x:f>
        <x:v>4777779.90430622</x:v>
      </x:c>
      <x:c r="H37" s="146" t="n">
        <x:f>ROUND(G37*0.033,0)</x:f>
        <x:v>157667</x:v>
      </x:c>
      <x:c r="I37" s="147" t="n">
        <x:f>G37-H37</x:f>
        <x:v>4620112.90430622</x:v>
      </x:c>
    </x:row>
    <x:row r="38">
      <x:c r="A38" s="74" t="str">
        <x:v>E0033</x:v>
      </x:c>
      <x:c r="B38" s="91" t="n">
        <x:v>4285000</x:v>
      </x:c>
      <x:c r="C38" s="137" t="n">
        <x:f>SUMIF('근태'!$B$6:$B$205,A38,'근태'!$D$6:$D$205)</x:f>
        <x:v>8.399999999999999</x:v>
      </x:c>
      <x:c r="D38" s="146" t="n">
        <x:f>B38/209*1.5</x:f>
        <x:v>30753.588516746408</x:v>
      </x:c>
      <x:c r="E38" s="147" t="n">
        <x:f>C38*D38</x:f>
        <x:v>258330.1435406698</x:v>
      </x:c>
      <x:c r="F38" s="148" t="n">
        <x:v>200000</x:v>
      </x:c>
      <x:c r="G38" s="149" t="n">
        <x:f>B38+E38+F38</x:f>
        <x:v>4743330.14354067</x:v>
      </x:c>
      <x:c r="H38" s="146" t="n">
        <x:f>ROUND(G38*0.033,0)</x:f>
        <x:v>156530</x:v>
      </x:c>
      <x:c r="I38" s="147" t="n">
        <x:f>G38-H38</x:f>
        <x:v>4586800.14354067</x:v>
      </x:c>
    </x:row>
    <x:row r="39">
      <x:c r="A39" s="74" t="str">
        <x:v>E0034</x:v>
      </x:c>
      <x:c r="B39" s="91" t="n">
        <x:v>4330000</x:v>
      </x:c>
      <x:c r="C39" s="137" t="n">
        <x:f>SUMIF('근태'!$B$6:$B$205,A39,'근태'!$D$6:$D$205)</x:f>
        <x:v>9.5</x:v>
      </x:c>
      <x:c r="D39" s="146" t="n">
        <x:f>B39/209*1.5</x:f>
        <x:v>31076.555023923444</x:v>
      </x:c>
      <x:c r="E39" s="147" t="n">
        <x:f>C39*D39</x:f>
        <x:v>295227.2727272727</x:v>
      </x:c>
      <x:c r="F39" s="148" t="n">
        <x:v>200000</x:v>
      </x:c>
      <x:c r="G39" s="149" t="n">
        <x:f>B39+E39+F39</x:f>
        <x:v>4825227.2727272725</x:v>
      </x:c>
      <x:c r="H39" s="146" t="n">
        <x:f>ROUND(G39*0.033,0)</x:f>
        <x:v>159233</x:v>
      </x:c>
      <x:c r="I39" s="147" t="n">
        <x:f>G39-H39</x:f>
        <x:v>4665994.2727272725</x:v>
      </x:c>
    </x:row>
    <x:row r="40">
      <x:c r="A40" s="74" t="str">
        <x:v>E0035</x:v>
      </x:c>
      <x:c r="B40" s="91" t="n">
        <x:v>4375000</x:v>
      </x:c>
      <x:c r="C40" s="137" t="n">
        <x:f>SUMIF('근태'!$B$6:$B$205,A40,'근태'!$D$6:$D$205)</x:f>
        <x:v>8</x:v>
      </x:c>
      <x:c r="D40" s="146" t="n">
        <x:f>B40/209*1.5</x:f>
        <x:v>31399.52153110048</x:v>
      </x:c>
      <x:c r="E40" s="147" t="n">
        <x:f>C40*D40</x:f>
        <x:v>251196.17224880384</x:v>
      </x:c>
      <x:c r="F40" s="148" t="n">
        <x:v>200000</x:v>
      </x:c>
      <x:c r="G40" s="149" t="n">
        <x:f>B40+E40+F40</x:f>
        <x:v>4826196.172248804</x:v>
      </x:c>
      <x:c r="H40" s="146" t="n">
        <x:f>ROUND(G40*0.033,0)</x:f>
        <x:v>159264</x:v>
      </x:c>
      <x:c r="I40" s="147" t="n">
        <x:f>G40-H40</x:f>
        <x:v>4666932.172248804</x:v>
      </x:c>
    </x:row>
    <x:row r="41">
      <x:c r="A41" s="74" t="str">
        <x:v>E0036</x:v>
      </x:c>
      <x:c r="B41" s="91" t="n">
        <x:v>4420000</x:v>
      </x:c>
      <x:c r="C41" s="137" t="n">
        <x:f>SUMIF('근태'!$B$6:$B$205,A41,'근태'!$D$6:$D$205)</x:f>
        <x:v>8.2</x:v>
      </x:c>
      <x:c r="D41" s="146" t="n">
        <x:f>B41/209*1.5</x:f>
        <x:v>31722.48803827751</x:v>
      </x:c>
      <x:c r="E41" s="147" t="n">
        <x:f>C41*D41</x:f>
        <x:v>260124.40191387557</x:v>
      </x:c>
      <x:c r="F41" s="148" t="n">
        <x:v>200000</x:v>
      </x:c>
      <x:c r="G41" s="149" t="n">
        <x:f>B41+E41+F41</x:f>
        <x:v>4880124.401913876</x:v>
      </x:c>
      <x:c r="H41" s="146" t="n">
        <x:f>ROUND(G41*0.033,0)</x:f>
        <x:v>161044</x:v>
      </x:c>
      <x:c r="I41" s="147" t="n">
        <x:f>G41-H41</x:f>
        <x:v>4719080.401913876</x:v>
      </x:c>
    </x:row>
    <x:row r="42">
      <x:c r="A42" s="74" t="str">
        <x:v>E0037</x:v>
      </x:c>
      <x:c r="B42" s="91" t="n">
        <x:v>4465000</x:v>
      </x:c>
      <x:c r="C42" s="137" t="n">
        <x:f>SUMIF('근태'!$B$6:$B$205,A42,'근태'!$D$6:$D$205)</x:f>
        <x:v>9.7</x:v>
      </x:c>
      <x:c r="D42" s="146" t="n">
        <x:f>B42/209*1.5</x:f>
        <x:v>32045.454545454544</x:v>
      </x:c>
      <x:c r="E42" s="147" t="n">
        <x:f>C42*D42</x:f>
        <x:v>310840.90909090906</x:v>
      </x:c>
      <x:c r="F42" s="148" t="n">
        <x:v>200000</x:v>
      </x:c>
      <x:c r="G42" s="149" t="n">
        <x:f>B42+E42+F42</x:f>
        <x:v>4975840.909090909</x:v>
      </x:c>
      <x:c r="H42" s="146" t="n">
        <x:f>ROUND(G42*0.033,0)</x:f>
        <x:v>164203</x:v>
      </x:c>
      <x:c r="I42" s="147" t="n">
        <x:f>G42-H42</x:f>
        <x:v>4811637.909090909</x:v>
      </x:c>
    </x:row>
    <x:row r="43">
      <x:c r="A43" s="74" t="str">
        <x:v>E0038</x:v>
      </x:c>
      <x:c r="B43" s="91" t="n">
        <x:v>4510000</x:v>
      </x:c>
      <x:c r="C43" s="137" t="n">
        <x:f>SUMIF('근태'!$B$6:$B$205,A43,'근태'!$D$6:$D$205)</x:f>
        <x:v>9.700000000000001</x:v>
      </x:c>
      <x:c r="D43" s="146" t="n">
        <x:f>B43/209*1.5</x:f>
        <x:v>32368.42105263158</x:v>
      </x:c>
      <x:c r="E43" s="147" t="n">
        <x:f>C43*D43</x:f>
        <x:v>313973.68421052635</x:v>
      </x:c>
      <x:c r="F43" s="148" t="n">
        <x:v>200000</x:v>
      </x:c>
      <x:c r="G43" s="149" t="n">
        <x:f>B43+E43+F43</x:f>
        <x:v>5023973.684210527</x:v>
      </x:c>
      <x:c r="H43" s="146" t="n">
        <x:f>ROUND(G43*0.033,0)</x:f>
        <x:v>165791</x:v>
      </x:c>
      <x:c r="I43" s="147" t="n">
        <x:f>G43-H43</x:f>
        <x:v>4858182.684210527</x:v>
      </x:c>
    </x:row>
    <x:row r="44">
      <x:c r="A44" s="74" t="str">
        <x:v>E0039</x:v>
      </x:c>
      <x:c r="B44" s="91" t="n">
        <x:v>4555000</x:v>
      </x:c>
      <x:c r="C44" s="137" t="n">
        <x:f>SUMIF('근태'!$B$6:$B$205,A44,'근태'!$D$6:$D$205)</x:f>
        <x:v>6</x:v>
      </x:c>
      <x:c r="D44" s="146" t="n">
        <x:f>B44/209*1.5</x:f>
        <x:v>32691.387559808616</x:v>
      </x:c>
      <x:c r="E44" s="147" t="n">
        <x:f>C44*D44</x:f>
        <x:v>196148.3253588517</x:v>
      </x:c>
      <x:c r="F44" s="148" t="n">
        <x:v>200000</x:v>
      </x:c>
      <x:c r="G44" s="149" t="n">
        <x:f>B44+E44+F44</x:f>
        <x:v>4951148.325358852</x:v>
      </x:c>
      <x:c r="H44" s="146" t="n">
        <x:f>ROUND(G44*0.033,0)</x:f>
        <x:v>163388</x:v>
      </x:c>
      <x:c r="I44" s="147" t="n">
        <x:f>G44-H43</x:f>
        <x:v>4785357.325358852</x:v>
      </x:c>
    </x:row>
    <x:row r="45">
      <x:c r="A45" s="74" t="str">
        <x:v>E0040</x:v>
      </x:c>
      <x:c r="B45" s="91" t="n">
        <x:v>4600000</x:v>
      </x:c>
      <x:c r="C45" s="137" t="n">
        <x:f>SUMIF('근태'!$B$6:$B$205,A45,'근태'!$D$6:$D$205)</x:f>
        <x:v>12</x:v>
      </x:c>
      <x:c r="D45" s="146" t="n">
        <x:f>B45/209*1.5</x:f>
        <x:v>33014.354066985645</x:v>
      </x:c>
      <x:c r="E45" s="147" t="n">
        <x:f>C45*D45</x:f>
        <x:v>396172.24880382774</x:v>
      </x:c>
      <x:c r="F45" s="148" t="n">
        <x:v>200000</x:v>
      </x:c>
      <x:c r="G45" s="149" t="n">
        <x:f>B45+E45+F45</x:f>
        <x:v>5196172.248803828</x:v>
      </x:c>
      <x:c r="H45" s="146" t="n">
        <x:f>ROUND(G45*0.033,0)</x:f>
        <x:v>171474</x:v>
      </x:c>
      <x:c r="I45" s="147" t="n">
        <x:f>G45-H45</x:f>
        <x:v>5024698.248803828</x:v>
      </x:c>
    </x:row>
    <x:row r="46">
      <x:c r="A46" s="74" t="str">
        <x:v>E0041</x:v>
      </x:c>
      <x:c r="B46" s="91" t="n">
        <x:v>4645000</x:v>
      </x:c>
      <x:c r="C46" s="137" t="n">
        <x:f>SUMIF('근태'!$B$6:$B$205,A46,'근태'!$D$6:$D$205)</x:f>
        <x:v>11</x:v>
      </x:c>
      <x:c r="D46" s="146" t="n">
        <x:f>B46/209*1.5</x:f>
        <x:v>33337.32057416267</x:v>
      </x:c>
      <x:c r="E46" s="147" t="n">
        <x:f>C46*D46</x:f>
        <x:v>366710.52631578944</x:v>
      </x:c>
      <x:c r="F46" s="148" t="n">
        <x:v>200000</x:v>
      </x:c>
      <x:c r="G46" s="149" t="n">
        <x:f>B46+E46+F46</x:f>
        <x:v>5211710.52631579</x:v>
      </x:c>
      <x:c r="H46" s="146" t="n">
        <x:f>ROUND(G46*0.033,0)</x:f>
        <x:v>171986</x:v>
      </x:c>
      <x:c r="I46" s="147" t="n">
        <x:f>G46-H46</x:f>
        <x:v>5039724.52631579</x:v>
      </x:c>
    </x:row>
    <x:row r="47">
      <x:c r="A47" s="74" t="str">
        <x:v>E0042</x:v>
      </x:c>
      <x:c r="B47" s="91" t="n">
        <x:v>4690000</x:v>
      </x:c>
      <x:c r="C47" s="137" t="n">
        <x:f>SUMIF('근태'!$B$6:$B$205,A47,'근태'!$D$6:$D$205)</x:f>
        <x:v>6.300000000000001</x:v>
      </x:c>
      <x:c r="D47" s="146" t="n">
        <x:f>B47/209*1.5</x:f>
        <x:v>33660.28708133971</x:v>
      </x:c>
      <x:c r="E47" s="147" t="n">
        <x:f>C47*D47</x:f>
        <x:v>212059.8086124402</x:v>
      </x:c>
      <x:c r="F47" s="148" t="n">
        <x:v>200000</x:v>
      </x:c>
      <x:c r="G47" s="149" t="n">
        <x:f>B47+E47+F47</x:f>
        <x:v>5102059.80861244</x:v>
      </x:c>
      <x:c r="H47" s="146" t="n">
        <x:f>ROUND(G47*0.033,0)</x:f>
        <x:v>168368</x:v>
      </x:c>
      <x:c r="I47" s="147" t="n">
        <x:f>G47-H47</x:f>
        <x:v>4933691.80861244</x:v>
      </x:c>
    </x:row>
    <x:row r="48">
      <x:c r="A48" s="74" t="str">
        <x:v>E0043</x:v>
      </x:c>
      <x:c r="B48" s="91" t="n">
        <x:v>4735000</x:v>
      </x:c>
      <x:c r="C48" s="137" t="n">
        <x:f>SUMIF('근태'!$B$6:$B$205,A48,'근태'!$D$6:$D$205)</x:f>
        <x:v>10</x:v>
      </x:c>
      <x:c r="D48" s="146" t="n">
        <x:f>B48/209*1.5</x:f>
        <x:v>33983.253588516745</x:v>
      </x:c>
      <x:c r="E48" s="147" t="n">
        <x:f>C48*D48</x:f>
        <x:v>339832.5358851674</x:v>
      </x:c>
      <x:c r="F48" s="148" t="n">
        <x:v>200000</x:v>
      </x:c>
      <x:c r="G48" s="149" t="n">
        <x:f>B48+E48+F48</x:f>
        <x:v>5274832.535885167</x:v>
      </x:c>
      <x:c r="H48" s="146" t="n">
        <x:f>ROUND(G48*0.033,0)</x:f>
        <x:v>174069</x:v>
      </x:c>
      <x:c r="I48" s="147" t="n">
        <x:f>G48-H48</x:f>
        <x:v>5100763.535885167</x:v>
      </x:c>
    </x:row>
    <x:row r="49">
      <x:c r="A49" s="74" t="str">
        <x:v>E0044</x:v>
      </x:c>
      <x:c r="B49" s="91" t="n">
        <x:v>4780000</x:v>
      </x:c>
      <x:c r="C49" s="137" t="n">
        <x:f>SUMIF('근태'!$B$6:$B$205,A49,'근태'!$D$6:$D$205)</x:f>
        <x:v>7.1000000000000005</x:v>
      </x:c>
      <x:c r="D49" s="146" t="n">
        <x:f>B49/209*1.5</x:f>
        <x:v>34306.22009569378</x:v>
      </x:c>
      <x:c r="E49" s="147" t="n">
        <x:f>C49*D49</x:f>
        <x:v>243574.16267942588</x:v>
      </x:c>
      <x:c r="F49" s="148" t="n">
        <x:v>200000</x:v>
      </x:c>
      <x:c r="G49" s="149" t="n">
        <x:f>B49+E49+F49</x:f>
        <x:v>5223574.162679425</x:v>
      </x:c>
      <x:c r="H49" s="146" t="n">
        <x:f>ROUND(G49*0.033,0)</x:f>
        <x:v>172378</x:v>
      </x:c>
      <x:c r="I49" s="147" t="n">
        <x:f>G49-H49</x:f>
        <x:v>5051196.162679425</x:v>
      </x:c>
    </x:row>
    <x:row r="50">
      <x:c r="A50" s="74" t="str">
        <x:v>E0045</x:v>
      </x:c>
      <x:c r="B50" s="91" t="n">
        <x:v>4825000</x:v>
      </x:c>
      <x:c r="C50" s="137" t="n">
        <x:f>SUMIF('근태'!$B$6:$B$205,A50,'근태'!$D$6:$D$205)</x:f>
        <x:v>5.3999999999999995</x:v>
      </x:c>
      <x:c r="D50" s="146" t="n">
        <x:f>B50/209*1.5</x:f>
        <x:v>34629.18660287082</x:v>
      </x:c>
      <x:c r="E50" s="147" t="n">
        <x:f>C50*D50</x:f>
        <x:v>186997.6076555024</x:v>
      </x:c>
      <x:c r="F50" s="148" t="n">
        <x:v>200000</x:v>
      </x:c>
      <x:c r="G50" s="149" t="n">
        <x:f>B50+E50+F50</x:f>
        <x:v>5211997.607655503</x:v>
      </x:c>
      <x:c r="H50" s="146" t="n">
        <x:f>ROUND(G50*0.033,0)</x:f>
        <x:v>171996</x:v>
      </x:c>
      <x:c r="I50" s="147" t="n">
        <x:f>G50-H50</x:f>
        <x:v>5040001.607655503</x:v>
      </x:c>
    </x:row>
    <x:row r="51">
      <x:c r="A51" s="74" t="str">
        <x:v>E0046</x:v>
      </x:c>
      <x:c r="B51" s="91" t="n">
        <x:v>4870000</x:v>
      </x:c>
      <x:c r="C51" s="137" t="n">
        <x:f>SUMIF('근태'!$B$6:$B$205,A51,'근태'!$D$6:$D$205)</x:f>
        <x:v>6.4</x:v>
      </x:c>
      <x:c r="D51" s="146" t="n">
        <x:f>B51/209*1.5</x:f>
        <x:v>34952.153110047846</x:v>
      </x:c>
      <x:c r="E51" s="147" t="n">
        <x:f>C51*D51</x:f>
        <x:v>223693.77990430623</x:v>
      </x:c>
      <x:c r="F51" s="148" t="n">
        <x:v>200000</x:v>
      </x:c>
      <x:c r="G51" s="149" t="n">
        <x:f>B51+E51+F51</x:f>
        <x:v>5293693.779904306</x:v>
      </x:c>
      <x:c r="H51" s="146" t="n">
        <x:f>ROUND(G51*0.033,0)</x:f>
        <x:v>174692</x:v>
      </x:c>
      <x:c r="I51" s="147" t="n">
        <x:f>G51-H51</x:f>
        <x:v>5119001.779904306</x:v>
      </x:c>
    </x:row>
    <x:row r="52">
      <x:c r="A52" s="74" t="str">
        <x:v>E0047</x:v>
      </x:c>
      <x:c r="B52" s="91" t="n">
        <x:v>4915000</x:v>
      </x:c>
      <x:c r="C52" s="137" t="n">
        <x:f>SUMIF('근태'!$B$6:$B$205,A52,'근태'!$D$6:$D$205)</x:f>
        <x:v>6.199999999999999</x:v>
      </x:c>
      <x:c r="D52" s="146" t="n">
        <x:f>B52/209*1.5</x:f>
        <x:v>35275.11961722488</x:v>
      </x:c>
      <x:c r="E52" s="147" t="n">
        <x:f>C52*D52</x:f>
        <x:v>218705.74162679425</x:v>
      </x:c>
      <x:c r="F52" s="148" t="n">
        <x:v>200000</x:v>
      </x:c>
      <x:c r="G52" s="149" t="n">
        <x:f>B52+E52+F52</x:f>
        <x:v>5333705.741626794</x:v>
      </x:c>
      <x:c r="H52" s="146" t="n">
        <x:f>ROUND(G52*0.033,0)</x:f>
        <x:v>176012</x:v>
      </x:c>
      <x:c r="I52" s="147" t="n">
        <x:f>G52-H52</x:f>
        <x:v>5157693.741626794</x:v>
      </x:c>
    </x:row>
    <x:row r="53">
      <x:c r="A53" s="74" t="str">
        <x:v>E0048</x:v>
      </x:c>
      <x:c r="B53" s="91" t="n">
        <x:v>4960000</x:v>
      </x:c>
      <x:c r="C53" s="137" t="n">
        <x:f>SUMIF('근태'!$B$6:$B$205,A53,'근태'!$D$6:$D$205)</x:f>
        <x:v>4</x:v>
      </x:c>
      <x:c r="D53" s="146" t="n">
        <x:f>B53/209*1.5</x:f>
        <x:v>35598.08612440192</x:v>
      </x:c>
      <x:c r="E53" s="147" t="n">
        <x:f>C53*D53</x:f>
        <x:v>142392.34449760767</x:v>
      </x:c>
      <x:c r="F53" s="148" t="n">
        <x:v>200000</x:v>
      </x:c>
      <x:c r="G53" s="149" t="n">
        <x:f>B53+E53+F53</x:f>
        <x:v>5302392.344497608</x:v>
      </x:c>
      <x:c r="H53" s="146" t="n">
        <x:f>ROUND(G53*0.033,0)</x:f>
        <x:v>174979</x:v>
      </x:c>
      <x:c r="I53" s="147" t="n">
        <x:f>G53-H53</x:f>
        <x:v>5127413.344497608</x:v>
      </x:c>
    </x:row>
    <x:row r="54">
      <x:c r="A54" s="74" t="str">
        <x:v>E0049</x:v>
      </x:c>
      <x:c r="B54" s="91" t="n">
        <x:v>5005000</x:v>
      </x:c>
      <x:c r="C54" s="137" t="n">
        <x:f>SUMIF('근태'!$B$6:$B$205,A54,'근태'!$D$6:$D$205)</x:f>
        <x:v>6.199999999999999</x:v>
      </x:c>
      <x:c r="D54" s="146" t="n">
        <x:f>B54/209*1.5</x:f>
        <x:v>35921.05263157895</x:v>
      </x:c>
      <x:c r="E54" s="147" t="n">
        <x:f>C54*D54</x:f>
        <x:v>222710.52631578944</x:v>
      </x:c>
      <x:c r="F54" s="148" t="n">
        <x:v>200000</x:v>
      </x:c>
      <x:c r="G54" s="149" t="n">
        <x:f>B54+E54+F54</x:f>
        <x:v>5427710.52631579</x:v>
      </x:c>
      <x:c r="H54" s="146" t="n">
        <x:f>ROUND(G54*0.033,0)</x:f>
        <x:v>179114</x:v>
      </x:c>
      <x:c r="I54" s="147" t="n">
        <x:f>G54-H54</x:f>
        <x:v>5248596.52631579</x:v>
      </x:c>
    </x:row>
    <x:row r="55">
      <x:c r="A55" s="76" t="str">
        <x:v>E0050</x:v>
      </x:c>
      <x:c r="B55" s="93" t="n">
        <x:v>5050000</x:v>
      </x:c>
      <x:c r="C55" s="138" t="n">
        <x:f>SUMIF('근태'!$B$6:$B$205,A55,'근태'!$D$6:$D$205)</x:f>
        <x:v>5.699999999999999</x:v>
      </x:c>
      <x:c r="D55" s="150" t="n">
        <x:f>B55/209*1.5</x:f>
        <x:v>36244.019138755975</x:v>
      </x:c>
      <x:c r="E55" s="151" t="n">
        <x:f>C55*D55</x:f>
        <x:v>206590.90909090903</x:v>
      </x:c>
      <x:c r="F55" s="152" t="n">
        <x:v>200000</x:v>
      </x:c>
      <x:c r="G55" s="153" t="n">
        <x:f>B55+E55+F55</x:f>
        <x:v>5456590.909090909</x:v>
      </x:c>
      <x:c r="H55" s="150" t="n">
        <x:f>ROUND(G55*0.033,0)</x:f>
        <x:v>180068</x:v>
      </x:c>
      <x:c r="I55" s="151" t="n">
        <x:f>G55-H55</x:f>
        <x:v>5276522.909090909</x:v>
      </x:c>
    </x:row>
    <x:row r="56">
      <x:c r="A56" s="170" t="str">
        <x:v>소계</x:v>
      </x:c>
      <x:c r="B56" s="171" t="str"/>
      <x:c r="C56" s="172" t="str"/>
      <x:c r="D56" s="171" t="str"/>
      <x:c r="E56" s="171" t="n">
        <x:f>SUM(E6:E55)</x:f>
        <x:v>11736190.191387558</x:v>
      </x:c>
      <x:c r="F56" s="171" t="str"/>
      <x:c r="G56" s="171" t="n">
        <x:f>SUM(G6:G55)</x:f>
        <x:v>214629735.645933</x:v>
      </x:c>
      <x:c r="H56" s="171" t="n">
        <x:f>SUM(H6:H55)</x:f>
        <x:v>7082784</x:v>
      </x:c>
      <x:c r="I56" s="173" t="n">
        <x:f>SUM(I6:I55)</x:f>
        <x:v>207544548.645933</x:v>
      </x:c>
    </x:row>
    <x:row r="57">
      <x:c r="A57" s="186" t="str">
        <x:v>조정</x:v>
      </x:c>
      <x:c r="B57" s="187" t="n">
        <x:v>0</x:v>
      </x:c>
      <x:c r="C57" s="188" t="n">
        <x:v>0</x:v>
      </x:c>
      <x:c r="D57" s="187" t="n">
        <x:v>0</x:v>
      </x:c>
      <x:c r="E57" s="187" t="n">
        <x:v>0</x:v>
      </x:c>
      <x:c r="F57" s="187" t="n">
        <x:v>0</x:v>
      </x:c>
      <x:c r="G57" s="187" t="n">
        <x:v>500000</x:v>
      </x:c>
      <x:c r="H57" s="187" t="n">
        <x:v>0</x:v>
      </x:c>
      <x:c r="I57" s="189" t="n">
        <x:v>500000</x:v>
      </x:c>
    </x:row>
    <x:row r="58">
      <x:c r="A58" s="170" t="str">
        <x:v>합계</x:v>
      </x:c>
      <x:c r="B58" s="171" t="str"/>
      <x:c r="C58" s="172" t="str"/>
      <x:c r="D58" s="171" t="str"/>
      <x:c r="E58" s="171" t="n">
        <x:f>E56+E57</x:f>
        <x:v>11736190.191387558</x:v>
      </x:c>
      <x:c r="F58" s="171" t="str"/>
      <x:c r="G58" s="171" t="n">
        <x:f>G56+G57</x:f>
        <x:v>215129735.645933</x:v>
      </x:c>
      <x:c r="H58" s="171" t="n">
        <x:f>H56+H57</x:f>
        <x:v>7082784</x:v>
      </x:c>
      <x:c r="I58" s="173" t="n">
        <x:f>I56+I57</x:f>
        <x:v>208044548.645933</x:v>
      </x:c>
    </x:row>
  </x:sheetData>
  <x:mergeCells>
    <x:mergeCell ref="A1:I1"/>
    <x:mergeCell ref="A2:I2"/>
    <x:mergeCell ref="A3:I3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</x:cols>
  <x:sheetData>
    <x:row r="1" ht="30" customHeight="1">
      <x:c r="A1" s="5" t="str">
        <x:v>급여 요약</x:v>
      </x:c>
      <x:c r="B1" s="5"/>
      <x:c r="C1" s="5"/>
      <x:c r="D1" s="5"/>
      <x:c r="E1" s="5"/>
      <x:c r="F1" s="5"/>
      <x:c r="G1" s="5"/>
      <x:c r="H1" s="5"/>
    </x:row>
    <x:row r="2" ht="24" customHeight="1">
      <x:c r="A2" s="12" t="str">
        <x:v>지급총액·공제·실수령액</x:v>
      </x:c>
      <x:c r="B2" s="12"/>
      <x:c r="C2" s="12"/>
      <x:c r="D2" s="12"/>
      <x:c r="E2" s="12"/>
      <x:c r="F2" s="12"/>
      <x:c r="G2" s="12"/>
      <x:c r="H2" s="12"/>
    </x:row>
    <x:row r="3" ht="20" customHeight="1">
      <x:c r="A3" s="18" t="str">
        <x:v>합성 데이터 기반 M4-C 검증 샘플입니다. 노란색은 입력, 파란색은 계산 영역입니다.</x:v>
      </x:c>
      <x:c r="B3" s="18"/>
      <x:c r="C3" s="18"/>
      <x:c r="D3" s="18"/>
      <x:c r="E3" s="18"/>
      <x:c r="F3" s="18"/>
      <x:c r="G3" s="18"/>
      <x:c r="H3" s="18"/>
    </x:row>
    <x:row r="5">
      <x:c r="A5" s="199" t="str">
        <x:v>초과근무수당</x:v>
      </x:c>
      <x:c r="B5" s="199"/>
      <x:c r="C5" s="199" t="str">
        <x:v>지급총액</x:v>
      </x:c>
      <x:c r="D5" s="199"/>
      <x:c r="E5" s="199" t="str">
        <x:v>공제</x:v>
      </x:c>
      <x:c r="F5" s="199"/>
      <x:c r="G5" s="199" t="str">
        <x:v>실수령액</x:v>
      </x:c>
      <x:c r="H5" s="199"/>
    </x:row>
    <x:row r="6">
      <x:c r="A6" s="204" t="n">
        <x:f>'급여계산'!E58</x:f>
        <x:v>11736190.191387558</x:v>
      </x:c>
      <x:c r="B6" s="204"/>
      <x:c r="C6" s="204" t="n">
        <x:f>'급여계산'!G58</x:f>
        <x:v>215129735.645933</x:v>
      </x:c>
      <x:c r="D6" s="204"/>
      <x:c r="E6" s="204" t="n">
        <x:f>'급여계산'!H58</x:f>
        <x:v>7082784</x:v>
      </x:c>
      <x:c r="F6" s="204"/>
      <x:c r="G6" s="204" t="n">
        <x:f>'급여계산'!I58</x:f>
        <x:v>208044548.645933</x:v>
      </x:c>
      <x:c r="H6" s="204"/>
    </x:row>
    <x:row r="7">
      <x:c r="A7" s="204"/>
      <x:c r="B7" s="204"/>
      <x:c r="C7" s="204"/>
      <x:c r="D7" s="204"/>
      <x:c r="E7" s="204"/>
      <x:c r="F7" s="204"/>
      <x:c r="G7" s="204"/>
      <x:c r="H7" s="204"/>
    </x:row>
  </x:sheetData>
  <x:mergeCells>
    <x:mergeCell ref="A1:H1"/>
    <x:mergeCell ref="A2:H2"/>
    <x:mergeCell ref="A3:H3"/>
    <x:mergeCell ref="A5:B5"/>
    <x:mergeCell ref="A6:B7"/>
    <x:mergeCell ref="C5:D5"/>
    <x:mergeCell ref="C6:D7"/>
    <x:mergeCell ref="E5:F5"/>
    <x:mergeCell ref="E6:F7"/>
    <x:mergeCell ref="G5:H5"/>
    <x:mergeCell ref="G6:H7"/>
  </x:mergeCells>
  <x:pageMargins left="0.7" right="0.7" top="0.75" bottom="0.75" header="0.3" footer="0.3"/>
</x:worksheet>
</file>