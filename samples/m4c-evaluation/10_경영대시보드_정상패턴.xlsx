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a57e56e7f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4b4aac17f6394042"/>
    <x:sheet xmlns:r="http://schemas.openxmlformats.org/officeDocument/2006/relationships" name="거래데이터" sheetId="2" r:id="R709d6b723cac4263"/>
    <x:sheet xmlns:r="http://schemas.openxmlformats.org/officeDocument/2006/relationships" name="부서요약" sheetId="3" r:id="R3533c542e9d045cc"/>
    <x:sheet xmlns:r="http://schemas.openxmlformats.org/officeDocument/2006/relationships" name="월별추이" sheetId="4" r:id="Rb0b78a9bdfb14212"/>
    <x:sheet xmlns:r="http://schemas.openxmlformats.org/officeDocument/2006/relationships" name="경영요약" sheetId="5" r:id="Rc0b7e71fe52e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yyyy-mm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6"/>
      <x:color rgb="FF17365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9" borderId="15" xfId="0" applyNumberFormat="1" applyFont="1" applyFill="1" applyBorder="1"/>
    <x:xf numFmtId="0" fontId="0" fillId="9" borderId="1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200" fontId="0" fillId="9" borderId="8" xfId="0" applyNumberFormat="1" applyFont="1" applyFill="1" applyBorder="1"/>
    <x:xf numFmtId="200" fontId="0" fillId="9" borderId="11" xfId="0" applyNumberFormat="1" applyFont="1" applyFill="1" applyBorder="1"/>
    <x:xf numFmtId="200" fontId="0" fillId="9" borderId="13" xfId="0" applyNumberFormat="1" applyFont="1" applyFill="1" applyBorder="1"/>
    <x:xf numFmtId="200" fontId="0" fillId="9" borderId="16" xfId="0" applyNumberFormat="1" applyFont="1" applyFill="1" applyBorder="1"/>
    <x:xf numFmtId="200" fontId="0" fillId="9" borderId="19" xfId="0" applyNumberFormat="1" applyFont="1" applyFill="1" applyBorder="1"/>
    <x:xf numFmtId="200" fontId="0" fillId="9" borderId="21" xfId="0" applyNumberFormat="1" applyFont="1" applyFill="1" applyBorder="1"/>
    <x:xf numFmtId="201" fontId="0" fillId="9" borderId="9" xfId="0" applyNumberFormat="1" applyFont="1" applyFill="1" applyBorder="1"/>
    <x:xf numFmtId="201" fontId="0" fillId="9" borderId="0" xfId="0" applyNumberFormat="1" applyFont="1" applyFill="1" applyBorder="1"/>
    <x:xf numFmtId="201" fontId="0" fillId="9" borderId="14" xfId="0" applyNumberFormat="1" applyFont="1" applyFill="1" applyBorder="1"/>
    <x:xf numFmtId="201" fontId="0" fillId="9" borderId="17" xfId="0" applyNumberFormat="1" applyFont="1" applyFill="1" applyBorder="1"/>
    <x:xf numFmtId="201" fontId="0" fillId="9" borderId="1" xfId="0" applyNumberFormat="1" applyFont="1" applyFill="1" applyBorder="1"/>
    <x:xf numFmtId="201" fontId="0" fillId="9" borderId="22" xfId="0" applyNumberFormat="1" applyFont="1" applyFill="1" applyBorder="1"/>
    <x:xf numFmtId="0" fontId="0" fillId="9" borderId="24" xfId="0" applyNumberFormat="1" applyFont="1" applyFill="1" applyBorder="1"/>
    <x:xf numFmtId="0" fontId="0" fillId="9" borderId="25" xfId="0" applyNumberFormat="1" applyFont="1" applyFill="1" applyBorder="1"/>
    <x:xf numFmtId="0" fontId="0" fillId="9" borderId="26" xfId="0" applyNumberFormat="1" applyFont="1" applyFill="1" applyBorder="1"/>
    <x:xf numFmtId="0" fontId="0" fillId="9" borderId="27" xfId="0" applyNumberFormat="1" applyFont="1" applyFill="1" applyBorder="1"/>
    <x:xf numFmtId="0" fontId="0" fillId="9" borderId="28" xfId="0" applyNumberFormat="1" applyFont="1" applyFill="1" applyBorder="1"/>
    <x:xf numFmtId="0" fontId="0" fillId="9" borderId="29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30" xfId="0" applyNumberFormat="1" applyFont="1" applyFill="1" applyBorder="1"/>
    <x:xf numFmtId="0" fontId="4" fillId="10" borderId="31" xfId="0" applyNumberFormat="1" applyFont="1" applyFill="1" applyBorder="1"/>
    <x:xf numFmtId="0" fontId="4" fillId="10" borderId="32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33" xfId="0" applyNumberFormat="1" applyFont="1" applyFill="1" applyBorder="1"/>
    <x:xf numFmtId="0" fontId="4" fillId="10" borderId="34" xfId="0" applyNumberFormat="1" applyFont="1" applyFill="1" applyBorder="1"/>
    <x:xf numFmtId="0" fontId="4" fillId="10" borderId="35" xfId="0" applyNumberFormat="1" applyFont="1" applyFill="1" applyBorder="1"/>
    <x:xf numFmtId="201" fontId="0" fillId="8" borderId="8" xfId="0" applyNumberFormat="1" applyFont="1" applyFill="1" applyBorder="1"/>
    <x:xf numFmtId="201" fontId="0" fillId="8" borderId="9" xfId="0" applyNumberFormat="1" applyFont="1" applyFill="1" applyBorder="1"/>
    <x:xf numFmtId="201" fontId="0" fillId="8" borderId="11" xfId="0" applyNumberFormat="1" applyFont="1" applyFill="1" applyBorder="1"/>
    <x:xf numFmtId="201" fontId="0" fillId="8" borderId="0" xfId="0" applyNumberFormat="1" applyFont="1" applyFill="1" applyBorder="1"/>
    <x:xf numFmtId="201" fontId="0" fillId="8" borderId="13" xfId="0" applyNumberFormat="1" applyFont="1" applyFill="1" applyBorder="1"/>
    <x:xf numFmtId="201" fontId="0" fillId="8" borderId="14" xfId="0" applyNumberFormat="1" applyFont="1" applyFill="1" applyBorder="1"/>
    <x:xf numFmtId="201" fontId="4" fillId="10" borderId="31" xfId="0" applyNumberFormat="1" applyFont="1" applyFill="1" applyBorder="1"/>
    <x:xf numFmtId="201" fontId="0" fillId="8" borderId="16" xfId="0" applyNumberFormat="1" applyFont="1" applyFill="1" applyBorder="1"/>
    <x:xf numFmtId="201" fontId="0" fillId="8" borderId="17" xfId="0" applyNumberFormat="1" applyFont="1" applyFill="1" applyBorder="1"/>
    <x:xf numFmtId="201" fontId="0" fillId="8" borderId="19" xfId="0" applyNumberFormat="1" applyFont="1" applyFill="1" applyBorder="1"/>
    <x:xf numFmtId="201" fontId="0" fillId="8" borderId="1" xfId="0" applyNumberFormat="1" applyFont="1" applyFill="1" applyBorder="1"/>
    <x:xf numFmtId="201" fontId="0" fillId="8" borderId="21" xfId="0" applyNumberFormat="1" applyFont="1" applyFill="1" applyBorder="1"/>
    <x:xf numFmtId="201" fontId="0" fillId="8" borderId="22" xfId="0" applyNumberFormat="1" applyFont="1" applyFill="1" applyBorder="1"/>
    <x:xf numFmtId="201" fontId="4" fillId="10" borderId="34" xfId="0" applyNumberFormat="1" applyFont="1" applyFill="1" applyBorder="1"/>
    <x:xf numFmtId="202" fontId="0" fillId="8" borderId="10" xfId="0" applyNumberFormat="1" applyFont="1" applyFill="1" applyBorder="1"/>
    <x:xf numFmtId="202" fontId="0" fillId="8" borderId="12" xfId="0" applyNumberFormat="1" applyFont="1" applyFill="1" applyBorder="1"/>
    <x:xf numFmtId="202" fontId="0" fillId="8" borderId="15" xfId="0" applyNumberFormat="1" applyFont="1" applyFill="1" applyBorder="1"/>
    <x:xf numFmtId="202" fontId="4" fillId="10" borderId="32" xfId="0" applyNumberFormat="1" applyFont="1" applyFill="1" applyBorder="1"/>
    <x:xf numFmtId="202" fontId="0" fillId="8" borderId="18" xfId="0" applyNumberFormat="1" applyFont="1" applyFill="1" applyBorder="1"/>
    <x:xf numFmtId="202" fontId="0" fillId="8" borderId="20" xfId="0" applyNumberFormat="1" applyFont="1" applyFill="1" applyBorder="1"/>
    <x:xf numFmtId="202" fontId="0" fillId="8" borderId="23" xfId="0" applyNumberFormat="1" applyFont="1" applyFill="1" applyBorder="1"/>
    <x:xf numFmtId="202" fontId="4" fillId="10" borderId="35" xfId="0" applyNumberFormat="1" applyFont="1" applyFill="1" applyBorder="1"/>
    <x:xf numFmtId="203" fontId="0" fillId="9" borderId="24" xfId="0" applyNumberFormat="1" applyFont="1" applyFill="1" applyBorder="1"/>
    <x:xf numFmtId="203" fontId="0" fillId="9" borderId="25" xfId="0" applyNumberFormat="1" applyFont="1" applyFill="1" applyBorder="1"/>
    <x:xf numFmtId="203" fontId="0" fillId="9" borderId="26" xfId="0" applyNumberFormat="1" applyFont="1" applyFill="1" applyBorder="1"/>
    <x:xf numFmtId="203" fontId="0" fillId="9" borderId="27" xfId="0" applyNumberFormat="1" applyFont="1" applyFill="1" applyBorder="1"/>
    <x:xf numFmtId="203" fontId="0" fillId="9" borderId="28" xfId="0" applyNumberFormat="1" applyFont="1" applyFill="1" applyBorder="1"/>
    <x:xf numFmtId="203" fontId="0" fillId="9" borderId="29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36" xfId="0" applyNumberFormat="1" applyFont="1" applyFill="1" applyBorder="1"/>
    <x:xf numFmtId="0" fontId="6" fillId="11" borderId="37" xfId="0" applyNumberFormat="1" applyFont="1" applyFill="1" applyBorder="1"/>
    <x:xf numFmtId="0" fontId="6" fillId="11" borderId="38" xfId="0" applyNumberFormat="1" applyFont="1" applyFill="1" applyBorder="1"/>
    <x:xf numFmtId="0" fontId="0" fillId="11" borderId="1" xfId="0" applyNumberFormat="1" applyFont="1" applyFill="1" applyBorder="1"/>
    <x:xf numFmtId="0" fontId="6" fillId="11" borderId="1" xfId="0" applyNumberFormat="1" applyFont="1" applyFill="1" applyBorder="1"/>
    <x:xf numFmtId="0" fontId="6" fillId="11" borderId="39" xfId="0" applyNumberFormat="1" applyFont="1" applyFill="1" applyBorder="1"/>
    <x:xf numFmtId="0" fontId="6" fillId="11" borderId="40" xfId="0" applyNumberFormat="1" applyFont="1" applyFill="1" applyBorder="1"/>
    <x:xf numFmtId="0" fontId="6" fillId="11" borderId="41" xfId="0" applyNumberFormat="1" applyFont="1" applyFill="1" applyBorder="1"/>
    <x:xf numFmtId="201" fontId="6" fillId="11" borderId="37" xfId="0" applyNumberFormat="1" applyFont="1" applyFill="1" applyBorder="1"/>
    <x:xf numFmtId="201" fontId="6" fillId="11" borderId="40" xfId="0" applyNumberFormat="1" applyFont="1" applyFill="1" applyBorder="1"/>
    <x:xf numFmtId="202" fontId="6" fillId="11" borderId="38" xfId="0" applyNumberFormat="1" applyFont="1" applyFill="1" applyBorder="1"/>
    <x:xf numFmtId="202" fontId="6" fillId="11" borderId="41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d630ff8fa4505" /><Relationship Type="http://schemas.openxmlformats.org/officeDocument/2006/relationships/theme" Target="/xl/theme/theme1.xml" Id="R67f830e275e84501" /><Relationship Type="http://schemas.openxmlformats.org/officeDocument/2006/relationships/sharedStrings" Target="/xl/sharedStrings.xml" Id="R9d705acf079b43c5" /><Relationship Type="http://schemas.openxmlformats.org/officeDocument/2006/relationships/worksheet" Target="/xl/worksheets/sheet1.xml" Id="R4b4aac17f6394042" /><Relationship Type="http://schemas.openxmlformats.org/officeDocument/2006/relationships/worksheet" Target="/xl/worksheets/sheet2.xml" Id="R709d6b723cac4263" /><Relationship Type="http://schemas.openxmlformats.org/officeDocument/2006/relationships/worksheet" Target="/xl/worksheets/sheet3.xml" Id="R3533c542e9d045cc" /><Relationship Type="http://schemas.openxmlformats.org/officeDocument/2006/relationships/worksheet" Target="/xl/worksheets/sheet4.xml" Id="Rb0b78a9bdfb14212" /><Relationship Type="http://schemas.openxmlformats.org/officeDocument/2006/relationships/worksheet" Target="/xl/worksheets/sheet5.xml" Id="Rc0b7e71fe52e4791" /></Relationships>
</file>

<file path=xl/tables/table1.xml><?xml version="1.0" encoding="utf-8"?>
<x:table xmlns:x="http://schemas.openxmlformats.org/spreadsheetml/2006/main" id="1" name="ExecutiveTransactions" displayName="ExecutiveTransactions" ref="A5:F125" headerRowCount="1" totalsRowCount="0" totalsRowShown="0">
  <x:tableColumns count="6">
    <x:tableColumn id="1" name="일자"/>
    <x:tableColumn id="2" name="부서"/>
    <x:tableColumn id="3" name="거래유형"/>
    <x:tableColumn id="4" name="매출"/>
    <x:tableColumn id="5" name="비용"/>
    <x:tableColumn id="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039b160ac3477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경영 대시보드 정상 통제 파일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매출·비용·이익을 부서·월별로 요약하는 정상 패턴 중심의 합성 통제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복수 시트·합계·조정·첫 행·Excel Table 등 정상 구조에서 불필요한 M4 Finding이 발생하지 않는지 확인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거래데이터</x:v>
      </x:c>
      <x:c r="B13" s="60" t="str">
        <x:v>부서별 월간 원천 데이터</x:v>
      </x:c>
    </x:row>
    <x:row r="14">
      <x:c r="A14" s="57" t="str">
        <x:v>부서요약</x:v>
      </x:c>
      <x:c r="B14" s="60" t="str">
        <x:v>부서별 매출·비용·이익·마진</x:v>
      </x:c>
    </x:row>
    <x:row r="15">
      <x:c r="A15" s="57" t="str">
        <x:v>월별추이</x:v>
      </x:c>
      <x:c r="B15" s="60" t="str">
        <x:v>월별 전사 실적</x:v>
      </x:c>
    </x:row>
    <x:row r="16">
      <x:c r="A16" s="57" t="str">
        <x:v>경영요약</x:v>
      </x:c>
      <x:c r="B16" s="60" t="str">
        <x:v>핵심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30" customHeight="1">
      <x:c r="A1" s="5" t="str">
        <x:v>거래 원천 데이터</x:v>
      </x:c>
      <x:c r="B1" s="5"/>
      <x:c r="C1" s="5"/>
      <x:c r="D1" s="5"/>
      <x:c r="E1" s="5"/>
      <x:c r="F1" s="5"/>
    </x:row>
    <x:row r="2" ht="24" customHeight="1">
      <x:c r="A2" s="12" t="str">
        <x:v>합성 매출·비용 원천 데이터 — 정상 통제 파일</x:v>
      </x:c>
      <x:c r="B2" s="12"/>
      <x:c r="C2" s="12"/>
      <x:c r="D2" s="12"/>
      <x:c r="E2" s="12"/>
      <x:c r="F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일자</x:v>
      </x:c>
      <x:c r="B5" s="65" t="str">
        <x:v>부서</x:v>
      </x:c>
      <x:c r="C5" s="65" t="str">
        <x:v>거래유형</x:v>
      </x:c>
      <x:c r="D5" s="65" t="str">
        <x:v>매출</x:v>
      </x:c>
      <x:c r="E5" s="65" t="str">
        <x:v>비용</x:v>
      </x:c>
      <x:c r="F5" s="31" t="str">
        <x:v>비고</x:v>
      </x:c>
    </x:row>
    <x:row r="6">
      <x:c r="A6" s="88" t="n">
        <x:v>46023</x:v>
      </x:c>
      <x:c r="B6" s="72" t="str">
        <x:v>영업1팀</x:v>
      </x:c>
      <x:c r="C6" s="72" t="str">
        <x:v>제품매출</x:v>
      </x:c>
      <x:c r="D6" s="94" t="n">
        <x:v>2210000</x:v>
      </x:c>
      <x:c r="E6" s="94" t="n">
        <x:v>1434983</x:v>
      </x:c>
      <x:c r="F6" s="73" t="str"/>
    </x:row>
    <x:row r="7">
      <x:c r="A7" s="89" t="n">
        <x:v>46055</x:v>
      </x:c>
      <x:c r="B7" s="70" t="str">
        <x:v>영업2팀</x:v>
      </x:c>
      <x:c r="C7" s="70" t="str">
        <x:v>서비스매출</x:v>
      </x:c>
      <x:c r="D7" s="95" t="n">
        <x:v>2600000</x:v>
      </x:c>
      <x:c r="E7" s="95" t="n">
        <x:v>1381909</x:v>
      </x:c>
      <x:c r="F7" s="75" t="str"/>
    </x:row>
    <x:row r="8">
      <x:c r="A8" s="89" t="n">
        <x:v>46084</x:v>
      </x:c>
      <x:c r="B8" s="70" t="str">
        <x:v>생산팀</x:v>
      </x:c>
      <x:c r="C8" s="70" t="str">
        <x:v>유지보수</x:v>
      </x:c>
      <x:c r="D8" s="95" t="n">
        <x:v>710000</x:v>
      </x:c>
      <x:c r="E8" s="95" t="n">
        <x:v>415730</x:v>
      </x:c>
      <x:c r="F8" s="75" t="str"/>
    </x:row>
    <x:row r="9">
      <x:c r="A9" s="89" t="n">
        <x:v>46116</x:v>
      </x:c>
      <x:c r="B9" s="70" t="str">
        <x:v>관리팀</x:v>
      </x:c>
      <x:c r="C9" s="70" t="str">
        <x:v>제품매출</x:v>
      </x:c>
      <x:c r="D9" s="95" t="n">
        <x:v>1550000</x:v>
      </x:c>
      <x:c r="E9" s="95" t="n">
        <x:v>781559</x:v>
      </x:c>
      <x:c r="F9" s="75" t="str"/>
    </x:row>
    <x:row r="10">
      <x:c r="A10" s="89" t="n">
        <x:v>46147</x:v>
      </x:c>
      <x:c r="B10" s="70" t="str">
        <x:v>영업1팀</x:v>
      </x:c>
      <x:c r="C10" s="70" t="str">
        <x:v>서비스매출</x:v>
      </x:c>
      <x:c r="D10" s="95" t="n">
        <x:v>1610000</x:v>
      </x:c>
      <x:c r="E10" s="95" t="n">
        <x:v>1188990</x:v>
      </x:c>
      <x:c r="F10" s="75" t="str"/>
    </x:row>
    <x:row r="11">
      <x:c r="A11" s="89" t="n">
        <x:v>46179</x:v>
      </x:c>
      <x:c r="B11" s="70" t="str">
        <x:v>영업2팀</x:v>
      </x:c>
      <x:c r="C11" s="70" t="str">
        <x:v>유지보수</x:v>
      </x:c>
      <x:c r="D11" s="95" t="n">
        <x:v>2740000</x:v>
      </x:c>
      <x:c r="E11" s="95" t="n">
        <x:v>1417746</x:v>
      </x:c>
      <x:c r="F11" s="75" t="str"/>
    </x:row>
    <x:row r="12">
      <x:c r="A12" s="89" t="n">
        <x:v>46210</x:v>
      </x:c>
      <x:c r="B12" s="70" t="str">
        <x:v>생산팀</x:v>
      </x:c>
      <x:c r="C12" s="70" t="str">
        <x:v>제품매출</x:v>
      </x:c>
      <x:c r="D12" s="95" t="n">
        <x:v>2630000</x:v>
      </x:c>
      <x:c r="E12" s="95" t="n">
        <x:v>1817502</x:v>
      </x:c>
      <x:c r="F12" s="75" t="str"/>
    </x:row>
    <x:row r="13">
      <x:c r="A13" s="89" t="n">
        <x:v>46242</x:v>
      </x:c>
      <x:c r="B13" s="70" t="str">
        <x:v>관리팀</x:v>
      </x:c>
      <x:c r="C13" s="70" t="str">
        <x:v>서비스매출</x:v>
      </x:c>
      <x:c r="D13" s="95" t="n">
        <x:v>2140000</x:v>
      </x:c>
      <x:c r="E13" s="95" t="n">
        <x:v>1319913</x:v>
      </x:c>
      <x:c r="F13" s="75" t="str"/>
    </x:row>
    <x:row r="14">
      <x:c r="A14" s="89" t="n">
        <x:v>46274</x:v>
      </x:c>
      <x:c r="B14" s="70" t="str">
        <x:v>영업1팀</x:v>
      </x:c>
      <x:c r="C14" s="70" t="str">
        <x:v>유지보수</x:v>
      </x:c>
      <x:c r="D14" s="95" t="n">
        <x:v>1180000</x:v>
      </x:c>
      <x:c r="E14" s="95" t="n">
        <x:v>755119</x:v>
      </x:c>
      <x:c r="F14" s="75" t="str"/>
    </x:row>
    <x:row r="15">
      <x:c r="A15" s="89" t="n">
        <x:v>46305</x:v>
      </x:c>
      <x:c r="B15" s="70" t="str">
        <x:v>영업2팀</x:v>
      </x:c>
      <x:c r="C15" s="70" t="str">
        <x:v>제품매출</x:v>
      </x:c>
      <x:c r="D15" s="95" t="n">
        <x:v>870000</x:v>
      </x:c>
      <x:c r="E15" s="95" t="n">
        <x:v>504027</x:v>
      </x:c>
      <x:c r="F15" s="75" t="str"/>
    </x:row>
    <x:row r="16">
      <x:c r="A16" s="89" t="n">
        <x:v>46337</x:v>
      </x:c>
      <x:c r="B16" s="70" t="str">
        <x:v>생산팀</x:v>
      </x:c>
      <x:c r="C16" s="70" t="str">
        <x:v>서비스매출</x:v>
      </x:c>
      <x:c r="D16" s="95" t="n">
        <x:v>2040000</x:v>
      </x:c>
      <x:c r="E16" s="95" t="n">
        <x:v>1436730</x:v>
      </x:c>
      <x:c r="F16" s="75" t="str"/>
    </x:row>
    <x:row r="17">
      <x:c r="A17" s="89" t="n">
        <x:v>46368</x:v>
      </x:c>
      <x:c r="B17" s="70" t="str">
        <x:v>관리팀</x:v>
      </x:c>
      <x:c r="C17" s="70" t="str">
        <x:v>유지보수</x:v>
      </x:c>
      <x:c r="D17" s="95" t="n">
        <x:v>1440000</x:v>
      </x:c>
      <x:c r="E17" s="95" t="n">
        <x:v>894441</x:v>
      </x:c>
      <x:c r="F17" s="75" t="str"/>
    </x:row>
    <x:row r="18">
      <x:c r="A18" s="89" t="n">
        <x:v>46035</x:v>
      </x:c>
      <x:c r="B18" s="70" t="str">
        <x:v>영업1팀</x:v>
      </x:c>
      <x:c r="C18" s="70" t="str">
        <x:v>제품매출</x:v>
      </x:c>
      <x:c r="D18" s="95" t="n">
        <x:v>530000</x:v>
      </x:c>
      <x:c r="E18" s="95" t="n">
        <x:v>330767</x:v>
      </x:c>
      <x:c r="F18" s="75" t="str"/>
    </x:row>
    <x:row r="19">
      <x:c r="A19" s="89" t="n">
        <x:v>46067</x:v>
      </x:c>
      <x:c r="B19" s="70" t="str">
        <x:v>영업2팀</x:v>
      </x:c>
      <x:c r="C19" s="70" t="str">
        <x:v>서비스매출</x:v>
      </x:c>
      <x:c r="D19" s="95" t="n">
        <x:v>1910000</x:v>
      </x:c>
      <x:c r="E19" s="95" t="n">
        <x:v>1328218</x:v>
      </x:c>
      <x:c r="F19" s="75" t="str"/>
    </x:row>
    <x:row r="20">
      <x:c r="A20" s="89" t="n">
        <x:v>46096</x:v>
      </x:c>
      <x:c r="B20" s="70" t="str">
        <x:v>생산팀</x:v>
      </x:c>
      <x:c r="C20" s="70" t="str">
        <x:v>유지보수</x:v>
      </x:c>
      <x:c r="D20" s="95" t="n">
        <x:v>2410000</x:v>
      </x:c>
      <x:c r="E20" s="95" t="n">
        <x:v>1646745</x:v>
      </x:c>
      <x:c r="F20" s="75" t="str"/>
    </x:row>
    <x:row r="21">
      <x:c r="A21" s="89" t="n">
        <x:v>46128</x:v>
      </x:c>
      <x:c r="B21" s="70" t="str">
        <x:v>관리팀</x:v>
      </x:c>
      <x:c r="C21" s="70" t="str">
        <x:v>제품매출</x:v>
      </x:c>
      <x:c r="D21" s="95" t="n">
        <x:v>870000</x:v>
      </x:c>
      <x:c r="E21" s="95" t="n">
        <x:v>432821</x:v>
      </x:c>
      <x:c r="F21" s="75" t="str"/>
    </x:row>
    <x:row r="22">
      <x:c r="A22" s="89" t="n">
        <x:v>46159</x:v>
      </x:c>
      <x:c r="B22" s="70" t="str">
        <x:v>영업1팀</x:v>
      </x:c>
      <x:c r="C22" s="70" t="str">
        <x:v>서비스매출</x:v>
      </x:c>
      <x:c r="D22" s="95" t="n">
        <x:v>2820000</x:v>
      </x:c>
      <x:c r="E22" s="95" t="n">
        <x:v>1429900</x:v>
      </x:c>
      <x:c r="F22" s="75" t="str"/>
    </x:row>
    <x:row r="23">
      <x:c r="A23" s="89" t="n">
        <x:v>46191</x:v>
      </x:c>
      <x:c r="B23" s="70" t="str">
        <x:v>영업2팀</x:v>
      </x:c>
      <x:c r="C23" s="70" t="str">
        <x:v>유지보수</x:v>
      </x:c>
      <x:c r="D23" s="95" t="n">
        <x:v>2510000</x:v>
      </x:c>
      <x:c r="E23" s="95" t="n">
        <x:v>1820633</x:v>
      </x:c>
      <x:c r="F23" s="75" t="str"/>
    </x:row>
    <x:row r="24">
      <x:c r="A24" s="89" t="n">
        <x:v>46222</x:v>
      </x:c>
      <x:c r="B24" s="70" t="str">
        <x:v>생산팀</x:v>
      </x:c>
      <x:c r="C24" s="70" t="str">
        <x:v>제품매출</x:v>
      </x:c>
      <x:c r="D24" s="95" t="n">
        <x:v>2780000</x:v>
      </x:c>
      <x:c r="E24" s="95" t="n">
        <x:v>1924506</x:v>
      </x:c>
      <x:c r="F24" s="75" t="str"/>
    </x:row>
    <x:row r="25">
      <x:c r="A25" s="89" t="n">
        <x:v>46254</x:v>
      </x:c>
      <x:c r="B25" s="70" t="str">
        <x:v>관리팀</x:v>
      </x:c>
      <x:c r="C25" s="70" t="str">
        <x:v>서비스매출</x:v>
      </x:c>
      <x:c r="D25" s="95" t="n">
        <x:v>980000</x:v>
      </x:c>
      <x:c r="E25" s="95" t="n">
        <x:v>759941</x:v>
      </x:c>
      <x:c r="F25" s="75" t="str"/>
    </x:row>
    <x:row r="26">
      <x:c r="A26" s="89" t="n">
        <x:v>46286</x:v>
      </x:c>
      <x:c r="B26" s="70" t="str">
        <x:v>영업1팀</x:v>
      </x:c>
      <x:c r="C26" s="70" t="str">
        <x:v>유지보수</x:v>
      </x:c>
      <x:c r="D26" s="95" t="n">
        <x:v>770000</x:v>
      </x:c>
      <x:c r="E26" s="95" t="n">
        <x:v>524430</x:v>
      </x:c>
      <x:c r="F26" s="75" t="str"/>
    </x:row>
    <x:row r="27">
      <x:c r="A27" s="89" t="n">
        <x:v>46317</x:v>
      </x:c>
      <x:c r="B27" s="70" t="str">
        <x:v>영업2팀</x:v>
      </x:c>
      <x:c r="C27" s="70" t="str">
        <x:v>제품매출</x:v>
      </x:c>
      <x:c r="D27" s="95" t="n">
        <x:v>540000</x:v>
      </x:c>
      <x:c r="E27" s="95" t="n">
        <x:v>413716</x:v>
      </x:c>
      <x:c r="F27" s="75" t="str"/>
    </x:row>
    <x:row r="28">
      <x:c r="A28" s="89" t="n">
        <x:v>46349</x:v>
      </x:c>
      <x:c r="B28" s="70" t="str">
        <x:v>생산팀</x:v>
      </x:c>
      <x:c r="C28" s="70" t="str">
        <x:v>서비스매출</x:v>
      </x:c>
      <x:c r="D28" s="95" t="n">
        <x:v>2110000</x:v>
      </x:c>
      <x:c r="E28" s="95" t="n">
        <x:v>1594452</x:v>
      </x:c>
      <x:c r="F28" s="75" t="str"/>
    </x:row>
    <x:row r="29">
      <x:c r="A29" s="89" t="n">
        <x:v>46380</x:v>
      </x:c>
      <x:c r="B29" s="70" t="str">
        <x:v>관리팀</x:v>
      </x:c>
      <x:c r="C29" s="70" t="str">
        <x:v>유지보수</x:v>
      </x:c>
      <x:c r="D29" s="95" t="n">
        <x:v>570000</x:v>
      </x:c>
      <x:c r="E29" s="95" t="n">
        <x:v>268372</x:v>
      </x:c>
      <x:c r="F29" s="75" t="str"/>
    </x:row>
    <x:row r="30">
      <x:c r="A30" s="89" t="n">
        <x:v>46047</x:v>
      </x:c>
      <x:c r="B30" s="70" t="str">
        <x:v>영업1팀</x:v>
      </x:c>
      <x:c r="C30" s="70" t="str">
        <x:v>제품매출</x:v>
      </x:c>
      <x:c r="D30" s="95" t="n">
        <x:v>630000</x:v>
      </x:c>
      <x:c r="E30" s="95" t="n">
        <x:v>409136</x:v>
      </x:c>
      <x:c r="F30" s="75" t="str"/>
    </x:row>
    <x:row r="31">
      <x:c r="A31" s="89" t="n">
        <x:v>46054</x:v>
      </x:c>
      <x:c r="B31" s="70" t="str">
        <x:v>영업2팀</x:v>
      </x:c>
      <x:c r="C31" s="70" t="str">
        <x:v>서비스매출</x:v>
      </x:c>
      <x:c r="D31" s="95" t="n">
        <x:v>1950000</x:v>
      </x:c>
      <x:c r="E31" s="95" t="n">
        <x:v>1251706</x:v>
      </x:c>
      <x:c r="F31" s="75" t="str"/>
    </x:row>
    <x:row r="32">
      <x:c r="A32" s="89" t="n">
        <x:v>46083</x:v>
      </x:c>
      <x:c r="B32" s="70" t="str">
        <x:v>생산팀</x:v>
      </x:c>
      <x:c r="C32" s="70" t="str">
        <x:v>유지보수</x:v>
      </x:c>
      <x:c r="D32" s="95" t="n">
        <x:v>1220000</x:v>
      </x:c>
      <x:c r="E32" s="95" t="n">
        <x:v>898845</x:v>
      </x:c>
      <x:c r="F32" s="75" t="str"/>
    </x:row>
    <x:row r="33">
      <x:c r="A33" s="89" t="n">
        <x:v>46115</x:v>
      </x:c>
      <x:c r="B33" s="70" t="str">
        <x:v>관리팀</x:v>
      </x:c>
      <x:c r="C33" s="70" t="str">
        <x:v>제품매출</x:v>
      </x:c>
      <x:c r="D33" s="95" t="n">
        <x:v>1080000</x:v>
      </x:c>
      <x:c r="E33" s="95" t="n">
        <x:v>800694</x:v>
      </x:c>
      <x:c r="F33" s="75" t="str"/>
    </x:row>
    <x:row r="34">
      <x:c r="A34" s="89" t="n">
        <x:v>46146</x:v>
      </x:c>
      <x:c r="B34" s="70" t="str">
        <x:v>영업1팀</x:v>
      </x:c>
      <x:c r="C34" s="70" t="str">
        <x:v>서비스매출</x:v>
      </x:c>
      <x:c r="D34" s="95" t="n">
        <x:v>1080000</x:v>
      </x:c>
      <x:c r="E34" s="95" t="n">
        <x:v>728382</x:v>
      </x:c>
      <x:c r="F34" s="75" t="str"/>
    </x:row>
    <x:row r="35">
      <x:c r="A35" s="89" t="n">
        <x:v>46178</x:v>
      </x:c>
      <x:c r="B35" s="70" t="str">
        <x:v>영업2팀</x:v>
      </x:c>
      <x:c r="C35" s="70" t="str">
        <x:v>유지보수</x:v>
      </x:c>
      <x:c r="D35" s="95" t="n">
        <x:v>1950000</x:v>
      </x:c>
      <x:c r="E35" s="95" t="n">
        <x:v>1068596</x:v>
      </x:c>
      <x:c r="F35" s="75" t="str"/>
    </x:row>
    <x:row r="36">
      <x:c r="A36" s="89" t="n">
        <x:v>46209</x:v>
      </x:c>
      <x:c r="B36" s="70" t="str">
        <x:v>생산팀</x:v>
      </x:c>
      <x:c r="C36" s="70" t="str">
        <x:v>제품매출</x:v>
      </x:c>
      <x:c r="D36" s="95" t="n">
        <x:v>2620000</x:v>
      </x:c>
      <x:c r="E36" s="95" t="n">
        <x:v>1636483</x:v>
      </x:c>
      <x:c r="F36" s="75" t="str"/>
    </x:row>
    <x:row r="37">
      <x:c r="A37" s="89" t="n">
        <x:v>46241</x:v>
      </x:c>
      <x:c r="B37" s="70" t="str">
        <x:v>관리팀</x:v>
      </x:c>
      <x:c r="C37" s="70" t="str">
        <x:v>서비스매출</x:v>
      </x:c>
      <x:c r="D37" s="95" t="n">
        <x:v>1020000</x:v>
      </x:c>
      <x:c r="E37" s="95" t="n">
        <x:v>573464</x:v>
      </x:c>
      <x:c r="F37" s="75" t="str"/>
    </x:row>
    <x:row r="38">
      <x:c r="A38" s="89" t="n">
        <x:v>46273</x:v>
      </x:c>
      <x:c r="B38" s="70" t="str">
        <x:v>영업1팀</x:v>
      </x:c>
      <x:c r="C38" s="70" t="str">
        <x:v>유지보수</x:v>
      </x:c>
      <x:c r="D38" s="95" t="n">
        <x:v>1320000</x:v>
      </x:c>
      <x:c r="E38" s="95" t="n">
        <x:v>1009288</x:v>
      </x:c>
      <x:c r="F38" s="75" t="str"/>
    </x:row>
    <x:row r="39">
      <x:c r="A39" s="89" t="n">
        <x:v>46304</x:v>
      </x:c>
      <x:c r="B39" s="70" t="str">
        <x:v>영업2팀</x:v>
      </x:c>
      <x:c r="C39" s="70" t="str">
        <x:v>제품매출</x:v>
      </x:c>
      <x:c r="D39" s="95" t="n">
        <x:v>720000</x:v>
      </x:c>
      <x:c r="E39" s="95" t="n">
        <x:v>485448</x:v>
      </x:c>
      <x:c r="F39" s="75" t="str"/>
    </x:row>
    <x:row r="40">
      <x:c r="A40" s="89" t="n">
        <x:v>46336</x:v>
      </x:c>
      <x:c r="B40" s="70" t="str">
        <x:v>생산팀</x:v>
      </x:c>
      <x:c r="C40" s="70" t="str">
        <x:v>서비스매출</x:v>
      </x:c>
      <x:c r="D40" s="95" t="n">
        <x:v>1710000</x:v>
      </x:c>
      <x:c r="E40" s="95" t="n">
        <x:v>1314559</x:v>
      </x:c>
      <x:c r="F40" s="75" t="str"/>
    </x:row>
    <x:row r="41">
      <x:c r="A41" s="89" t="n">
        <x:v>46367</x:v>
      </x:c>
      <x:c r="B41" s="70" t="str">
        <x:v>관리팀</x:v>
      </x:c>
      <x:c r="C41" s="70" t="str">
        <x:v>유지보수</x:v>
      </x:c>
      <x:c r="D41" s="95" t="n">
        <x:v>600000</x:v>
      </x:c>
      <x:c r="E41" s="95" t="n">
        <x:v>343836</x:v>
      </x:c>
      <x:c r="F41" s="75" t="str"/>
    </x:row>
    <x:row r="42">
      <x:c r="A42" s="89" t="n">
        <x:v>46034</x:v>
      </x:c>
      <x:c r="B42" s="70" t="str">
        <x:v>영업1팀</x:v>
      </x:c>
      <x:c r="C42" s="70" t="str">
        <x:v>제품매출</x:v>
      </x:c>
      <x:c r="D42" s="95" t="n">
        <x:v>690000</x:v>
      </x:c>
      <x:c r="E42" s="95" t="n">
        <x:v>452740</x:v>
      </x:c>
      <x:c r="F42" s="75" t="str"/>
    </x:row>
    <x:row r="43">
      <x:c r="A43" s="89" t="n">
        <x:v>46066</x:v>
      </x:c>
      <x:c r="B43" s="70" t="str">
        <x:v>영업2팀</x:v>
      </x:c>
      <x:c r="C43" s="70" t="str">
        <x:v>서비스매출</x:v>
      </x:c>
      <x:c r="D43" s="95" t="n">
        <x:v>2360000</x:v>
      </x:c>
      <x:c r="E43" s="95" t="n">
        <x:v>1575235</x:v>
      </x:c>
      <x:c r="F43" s="75" t="str"/>
    </x:row>
    <x:row r="44">
      <x:c r="A44" s="89" t="n">
        <x:v>46095</x:v>
      </x:c>
      <x:c r="B44" s="70" t="str">
        <x:v>생산팀</x:v>
      </x:c>
      <x:c r="C44" s="70" t="str">
        <x:v>유지보수</x:v>
      </x:c>
      <x:c r="D44" s="95" t="n">
        <x:v>1630000</x:v>
      </x:c>
      <x:c r="E44" s="95" t="n">
        <x:v>1202813</x:v>
      </x:c>
      <x:c r="F44" s="75" t="str"/>
    </x:row>
    <x:row r="45">
      <x:c r="A45" s="89" t="n">
        <x:v>46127</x:v>
      </x:c>
      <x:c r="B45" s="70" t="str">
        <x:v>관리팀</x:v>
      </x:c>
      <x:c r="C45" s="70" t="str">
        <x:v>제품매출</x:v>
      </x:c>
      <x:c r="D45" s="95" t="n">
        <x:v>560000</x:v>
      </x:c>
      <x:c r="E45" s="95" t="n">
        <x:v>272093</x:v>
      </x:c>
      <x:c r="F45" s="75" t="str"/>
    </x:row>
    <x:row r="46">
      <x:c r="A46" s="89" t="n">
        <x:v>46158</x:v>
      </x:c>
      <x:c r="B46" s="70" t="str">
        <x:v>영업1팀</x:v>
      </x:c>
      <x:c r="C46" s="70" t="str">
        <x:v>서비스매출</x:v>
      </x:c>
      <x:c r="D46" s="95" t="n">
        <x:v>1480000</x:v>
      </x:c>
      <x:c r="E46" s="95" t="n">
        <x:v>969609</x:v>
      </x:c>
      <x:c r="F46" s="75" t="str"/>
    </x:row>
    <x:row r="47">
      <x:c r="A47" s="89" t="n">
        <x:v>46190</x:v>
      </x:c>
      <x:c r="B47" s="70" t="str">
        <x:v>영업2팀</x:v>
      </x:c>
      <x:c r="C47" s="70" t="str">
        <x:v>유지보수</x:v>
      </x:c>
      <x:c r="D47" s="95" t="n">
        <x:v>790000</x:v>
      </x:c>
      <x:c r="E47" s="95" t="n">
        <x:v>609484</x:v>
      </x:c>
      <x:c r="F47" s="75" t="str"/>
    </x:row>
    <x:row r="48">
      <x:c r="A48" s="89" t="n">
        <x:v>46221</x:v>
      </x:c>
      <x:c r="B48" s="70" t="str">
        <x:v>생산팀</x:v>
      </x:c>
      <x:c r="C48" s="70" t="str">
        <x:v>제품매출</x:v>
      </x:c>
      <x:c r="D48" s="95" t="n">
        <x:v>1350000</x:v>
      </x:c>
      <x:c r="E48" s="95" t="n">
        <x:v>1042183</x:v>
      </x:c>
      <x:c r="F48" s="75" t="str"/>
    </x:row>
    <x:row r="49">
      <x:c r="A49" s="89" t="n">
        <x:v>46253</x:v>
      </x:c>
      <x:c r="B49" s="70" t="str">
        <x:v>관리팀</x:v>
      </x:c>
      <x:c r="C49" s="70" t="str">
        <x:v>서비스매출</x:v>
      </x:c>
      <x:c r="D49" s="95" t="n">
        <x:v>2620000</x:v>
      </x:c>
      <x:c r="E49" s="95" t="n">
        <x:v>1358426</x:v>
      </x:c>
      <x:c r="F49" s="75" t="str"/>
    </x:row>
    <x:row r="50">
      <x:c r="A50" s="89" t="n">
        <x:v>46285</x:v>
      </x:c>
      <x:c r="B50" s="70" t="str">
        <x:v>영업1팀</x:v>
      </x:c>
      <x:c r="C50" s="70" t="str">
        <x:v>유지보수</x:v>
      </x:c>
      <x:c r="D50" s="95" t="n">
        <x:v>1130000</x:v>
      </x:c>
      <x:c r="E50" s="95" t="n">
        <x:v>527223</x:v>
      </x:c>
      <x:c r="F50" s="75" t="str"/>
    </x:row>
    <x:row r="51">
      <x:c r="A51" s="89" t="n">
        <x:v>46316</x:v>
      </x:c>
      <x:c r="B51" s="70" t="str">
        <x:v>영업2팀</x:v>
      </x:c>
      <x:c r="C51" s="70" t="str">
        <x:v>제품매출</x:v>
      </x:c>
      <x:c r="D51" s="95" t="n">
        <x:v>2900000</x:v>
      </x:c>
      <x:c r="E51" s="95" t="n">
        <x:v>2178259</x:v>
      </x:c>
      <x:c r="F51" s="75" t="str"/>
    </x:row>
    <x:row r="52">
      <x:c r="A52" s="89" t="n">
        <x:v>46348</x:v>
      </x:c>
      <x:c r="B52" s="70" t="str">
        <x:v>생산팀</x:v>
      </x:c>
      <x:c r="C52" s="70" t="str">
        <x:v>서비스매출</x:v>
      </x:c>
      <x:c r="D52" s="95" t="n">
        <x:v>2710000</x:v>
      </x:c>
      <x:c r="E52" s="95" t="n">
        <x:v>1614562</x:v>
      </x:c>
      <x:c r="F52" s="75" t="str"/>
    </x:row>
    <x:row r="53">
      <x:c r="A53" s="89" t="n">
        <x:v>46379</x:v>
      </x:c>
      <x:c r="B53" s="70" t="str">
        <x:v>관리팀</x:v>
      </x:c>
      <x:c r="C53" s="70" t="str">
        <x:v>유지보수</x:v>
      </x:c>
      <x:c r="D53" s="95" t="n">
        <x:v>2830000</x:v>
      </x:c>
      <x:c r="E53" s="95" t="n">
        <x:v>1601861</x:v>
      </x:c>
      <x:c r="F53" s="75" t="str"/>
    </x:row>
    <x:row r="54">
      <x:c r="A54" s="89" t="n">
        <x:v>46046</x:v>
      </x:c>
      <x:c r="B54" s="70" t="str">
        <x:v>영업1팀</x:v>
      </x:c>
      <x:c r="C54" s="70" t="str">
        <x:v>제품매출</x:v>
      </x:c>
      <x:c r="D54" s="95" t="n">
        <x:v>1270000</x:v>
      </x:c>
      <x:c r="E54" s="95" t="n">
        <x:v>877183</x:v>
      </x:c>
      <x:c r="F54" s="75" t="str"/>
    </x:row>
    <x:row r="55">
      <x:c r="A55" s="89" t="n">
        <x:v>46078</x:v>
      </x:c>
      <x:c r="B55" s="70" t="str">
        <x:v>영업2팀</x:v>
      </x:c>
      <x:c r="C55" s="70" t="str">
        <x:v>서비스매출</x:v>
      </x:c>
      <x:c r="D55" s="95" t="n">
        <x:v>770000</x:v>
      </x:c>
      <x:c r="E55" s="95" t="n">
        <x:v>474233</x:v>
      </x:c>
      <x:c r="F55" s="75" t="str"/>
    </x:row>
    <x:row r="56">
      <x:c r="A56" s="89" t="n">
        <x:v>46082</x:v>
      </x:c>
      <x:c r="B56" s="70" t="str">
        <x:v>생산팀</x:v>
      </x:c>
      <x:c r="C56" s="70" t="str">
        <x:v>유지보수</x:v>
      </x:c>
      <x:c r="D56" s="95" t="n">
        <x:v>970000</x:v>
      </x:c>
      <x:c r="E56" s="95" t="n">
        <x:v>652083</x:v>
      </x:c>
      <x:c r="F56" s="75" t="str"/>
    </x:row>
    <x:row r="57">
      <x:c r="A57" s="89" t="n">
        <x:v>46114</x:v>
      </x:c>
      <x:c r="B57" s="70" t="str">
        <x:v>관리팀</x:v>
      </x:c>
      <x:c r="C57" s="70" t="str">
        <x:v>제품매출</x:v>
      </x:c>
      <x:c r="D57" s="95" t="n">
        <x:v>720000</x:v>
      </x:c>
      <x:c r="E57" s="95" t="n">
        <x:v>471151</x:v>
      </x:c>
      <x:c r="F57" s="75" t="str"/>
    </x:row>
    <x:row r="58">
      <x:c r="A58" s="89" t="n">
        <x:v>46145</x:v>
      </x:c>
      <x:c r="B58" s="70" t="str">
        <x:v>영업1팀</x:v>
      </x:c>
      <x:c r="C58" s="70" t="str">
        <x:v>서비스매출</x:v>
      </x:c>
      <x:c r="D58" s="95" t="n">
        <x:v>1840000</x:v>
      </x:c>
      <x:c r="E58" s="95" t="n">
        <x:v>1156958</x:v>
      </x:c>
      <x:c r="F58" s="75" t="str"/>
    </x:row>
    <x:row r="59">
      <x:c r="A59" s="89" t="n">
        <x:v>46177</x:v>
      </x:c>
      <x:c r="B59" s="70" t="str">
        <x:v>영업2팀</x:v>
      </x:c>
      <x:c r="C59" s="70" t="str">
        <x:v>유지보수</x:v>
      </x:c>
      <x:c r="D59" s="95" t="n">
        <x:v>2120000</x:v>
      </x:c>
      <x:c r="E59" s="95" t="n">
        <x:v>1497879</x:v>
      </x:c>
      <x:c r="F59" s="75" t="str"/>
    </x:row>
    <x:row r="60">
      <x:c r="A60" s="89" t="n">
        <x:v>46208</x:v>
      </x:c>
      <x:c r="B60" s="70" t="str">
        <x:v>생산팀</x:v>
      </x:c>
      <x:c r="C60" s="70" t="str">
        <x:v>제품매출</x:v>
      </x:c>
      <x:c r="D60" s="95" t="n">
        <x:v>2300000</x:v>
      </x:c>
      <x:c r="E60" s="95" t="n">
        <x:v>1377244</x:v>
      </x:c>
      <x:c r="F60" s="75" t="str"/>
    </x:row>
    <x:row r="61">
      <x:c r="A61" s="89" t="n">
        <x:v>46240</x:v>
      </x:c>
      <x:c r="B61" s="70" t="str">
        <x:v>관리팀</x:v>
      </x:c>
      <x:c r="C61" s="70" t="str">
        <x:v>서비스매출</x:v>
      </x:c>
      <x:c r="D61" s="95" t="n">
        <x:v>550000</x:v>
      </x:c>
      <x:c r="E61" s="95" t="n">
        <x:v>253834</x:v>
      </x:c>
      <x:c r="F61" s="75" t="str"/>
    </x:row>
    <x:row r="62">
      <x:c r="A62" s="89" t="n">
        <x:v>46272</x:v>
      </x:c>
      <x:c r="B62" s="70" t="str">
        <x:v>영업1팀</x:v>
      </x:c>
      <x:c r="C62" s="70" t="str">
        <x:v>유지보수</x:v>
      </x:c>
      <x:c r="D62" s="95" t="n">
        <x:v>2560000</x:v>
      </x:c>
      <x:c r="E62" s="95" t="n">
        <x:v>1331852</x:v>
      </x:c>
      <x:c r="F62" s="75" t="str"/>
    </x:row>
    <x:row r="63">
      <x:c r="A63" s="89" t="n">
        <x:v>46303</x:v>
      </x:c>
      <x:c r="B63" s="70" t="str">
        <x:v>영업2팀</x:v>
      </x:c>
      <x:c r="C63" s="70" t="str">
        <x:v>제품매출</x:v>
      </x:c>
      <x:c r="D63" s="95" t="n">
        <x:v>2120000</x:v>
      </x:c>
      <x:c r="E63" s="95" t="n">
        <x:v>1234142</x:v>
      </x:c>
      <x:c r="F63" s="75" t="str"/>
    </x:row>
    <x:row r="64">
      <x:c r="A64" s="89" t="n">
        <x:v>46335</x:v>
      </x:c>
      <x:c r="B64" s="70" t="str">
        <x:v>생산팀</x:v>
      </x:c>
      <x:c r="C64" s="70" t="str">
        <x:v>서비스매출</x:v>
      </x:c>
      <x:c r="D64" s="95" t="n">
        <x:v>2550000</x:v>
      </x:c>
      <x:c r="E64" s="95" t="n">
        <x:v>1935194</x:v>
      </x:c>
      <x:c r="F64" s="75" t="str"/>
    </x:row>
    <x:row r="65">
      <x:c r="A65" s="89" t="n">
        <x:v>46366</x:v>
      </x:c>
      <x:c r="B65" s="70" t="str">
        <x:v>관리팀</x:v>
      </x:c>
      <x:c r="C65" s="70" t="str">
        <x:v>유지보수</x:v>
      </x:c>
      <x:c r="D65" s="95" t="n">
        <x:v>1310000</x:v>
      </x:c>
      <x:c r="E65" s="95" t="n">
        <x:v>858280</x:v>
      </x:c>
      <x:c r="F65" s="75" t="str"/>
    </x:row>
    <x:row r="66">
      <x:c r="A66" s="89" t="n">
        <x:v>46033</x:v>
      </x:c>
      <x:c r="B66" s="70" t="str">
        <x:v>영업1팀</x:v>
      </x:c>
      <x:c r="C66" s="70" t="str">
        <x:v>제품매출</x:v>
      </x:c>
      <x:c r="D66" s="95" t="n">
        <x:v>1040000</x:v>
      </x:c>
      <x:c r="E66" s="95" t="n">
        <x:v>559491</x:v>
      </x:c>
      <x:c r="F66" s="75" t="str"/>
    </x:row>
    <x:row r="67">
      <x:c r="A67" s="89" t="n">
        <x:v>46065</x:v>
      </x:c>
      <x:c r="B67" s="70" t="str">
        <x:v>영업2팀</x:v>
      </x:c>
      <x:c r="C67" s="70" t="str">
        <x:v>서비스매출</x:v>
      </x:c>
      <x:c r="D67" s="95" t="n">
        <x:v>1760000</x:v>
      </x:c>
      <x:c r="E67" s="95" t="n">
        <x:v>916522</x:v>
      </x:c>
      <x:c r="F67" s="75" t="str"/>
    </x:row>
    <x:row r="68">
      <x:c r="A68" s="89" t="n">
        <x:v>46094</x:v>
      </x:c>
      <x:c r="B68" s="70" t="str">
        <x:v>생산팀</x:v>
      </x:c>
      <x:c r="C68" s="70" t="str">
        <x:v>유지보수</x:v>
      </x:c>
      <x:c r="D68" s="95" t="n">
        <x:v>820000</x:v>
      </x:c>
      <x:c r="E68" s="95" t="n">
        <x:v>489525</x:v>
      </x:c>
      <x:c r="F68" s="75" t="str"/>
    </x:row>
    <x:row r="69">
      <x:c r="A69" s="89" t="n">
        <x:v>46126</x:v>
      </x:c>
      <x:c r="B69" s="70" t="str">
        <x:v>관리팀</x:v>
      </x:c>
      <x:c r="C69" s="70" t="str">
        <x:v>제품매출</x:v>
      </x:c>
      <x:c r="D69" s="95" t="n">
        <x:v>2110000</x:v>
      </x:c>
      <x:c r="E69" s="95" t="n">
        <x:v>1288678</x:v>
      </x:c>
      <x:c r="F69" s="75" t="str"/>
    </x:row>
    <x:row r="70">
      <x:c r="A70" s="89" t="n">
        <x:v>46157</x:v>
      </x:c>
      <x:c r="B70" s="70" t="str">
        <x:v>영업1팀</x:v>
      </x:c>
      <x:c r="C70" s="70" t="str">
        <x:v>서비스매출</x:v>
      </x:c>
      <x:c r="D70" s="95" t="n">
        <x:v>980000</x:v>
      </x:c>
      <x:c r="E70" s="95" t="n">
        <x:v>581090</x:v>
      </x:c>
      <x:c r="F70" s="75" t="str"/>
    </x:row>
    <x:row r="71">
      <x:c r="A71" s="89" t="n">
        <x:v>46189</x:v>
      </x:c>
      <x:c r="B71" s="70" t="str">
        <x:v>영업2팀</x:v>
      </x:c>
      <x:c r="C71" s="70" t="str">
        <x:v>유지보수</x:v>
      </x:c>
      <x:c r="D71" s="95" t="n">
        <x:v>930000</x:v>
      </x:c>
      <x:c r="E71" s="95" t="n">
        <x:v>424369</x:v>
      </x:c>
      <x:c r="F71" s="75" t="str"/>
    </x:row>
    <x:row r="72">
      <x:c r="A72" s="89" t="n">
        <x:v>46220</x:v>
      </x:c>
      <x:c r="B72" s="70" t="str">
        <x:v>생산팀</x:v>
      </x:c>
      <x:c r="C72" s="70" t="str">
        <x:v>제품매출</x:v>
      </x:c>
      <x:c r="D72" s="95" t="n">
        <x:v>2120000</x:v>
      </x:c>
      <x:c r="E72" s="95" t="n">
        <x:v>1288752</x:v>
      </x:c>
      <x:c r="F72" s="75" t="str"/>
    </x:row>
    <x:row r="73">
      <x:c r="A73" s="89" t="n">
        <x:v>46252</x:v>
      </x:c>
      <x:c r="B73" s="70" t="str">
        <x:v>관리팀</x:v>
      </x:c>
      <x:c r="C73" s="70" t="str">
        <x:v>서비스매출</x:v>
      </x:c>
      <x:c r="D73" s="95" t="n">
        <x:v>2800000</x:v>
      </x:c>
      <x:c r="E73" s="95" t="n">
        <x:v>2010670</x:v>
      </x:c>
      <x:c r="F73" s="75" t="str"/>
    </x:row>
    <x:row r="74">
      <x:c r="A74" s="89" t="n">
        <x:v>46284</x:v>
      </x:c>
      <x:c r="B74" s="70" t="str">
        <x:v>영업1팀</x:v>
      </x:c>
      <x:c r="C74" s="70" t="str">
        <x:v>유지보수</x:v>
      </x:c>
      <x:c r="D74" s="95" t="n">
        <x:v>2620000</x:v>
      </x:c>
      <x:c r="E74" s="95" t="n">
        <x:v>1694762</x:v>
      </x:c>
      <x:c r="F74" s="75" t="str"/>
    </x:row>
    <x:row r="75">
      <x:c r="A75" s="89" t="n">
        <x:v>46315</x:v>
      </x:c>
      <x:c r="B75" s="70" t="str">
        <x:v>영업2팀</x:v>
      </x:c>
      <x:c r="C75" s="70" t="str">
        <x:v>제품매출</x:v>
      </x:c>
      <x:c r="D75" s="95" t="n">
        <x:v>1120000</x:v>
      </x:c>
      <x:c r="E75" s="95" t="n">
        <x:v>721026</x:v>
      </x:c>
      <x:c r="F75" s="75" t="str"/>
    </x:row>
    <x:row r="76">
      <x:c r="A76" s="89" t="n">
        <x:v>46347</x:v>
      </x:c>
      <x:c r="B76" s="70" t="str">
        <x:v>생산팀</x:v>
      </x:c>
      <x:c r="C76" s="70" t="str">
        <x:v>서비스매출</x:v>
      </x:c>
      <x:c r="D76" s="95" t="n">
        <x:v>1910000</x:v>
      </x:c>
      <x:c r="E76" s="95" t="n">
        <x:v>999975</x:v>
      </x:c>
      <x:c r="F76" s="75" t="str"/>
    </x:row>
    <x:row r="77">
      <x:c r="A77" s="89" t="n">
        <x:v>46378</x:v>
      </x:c>
      <x:c r="B77" s="70" t="str">
        <x:v>관리팀</x:v>
      </x:c>
      <x:c r="C77" s="70" t="str">
        <x:v>유지보수</x:v>
      </x:c>
      <x:c r="D77" s="95" t="n">
        <x:v>2930000</x:v>
      </x:c>
      <x:c r="E77" s="95" t="n">
        <x:v>2254747</x:v>
      </x:c>
      <x:c r="F77" s="75" t="str"/>
    </x:row>
    <x:row r="78">
      <x:c r="A78" s="89" t="n">
        <x:v>46045</x:v>
      </x:c>
      <x:c r="B78" s="70" t="str">
        <x:v>영업1팀</x:v>
      </x:c>
      <x:c r="C78" s="70" t="str">
        <x:v>제품매출</x:v>
      </x:c>
      <x:c r="D78" s="95" t="n">
        <x:v>2810000</x:v>
      </x:c>
      <x:c r="E78" s="95" t="n">
        <x:v>1916416</x:v>
      </x:c>
      <x:c r="F78" s="75" t="str"/>
    </x:row>
    <x:row r="79">
      <x:c r="A79" s="89" t="n">
        <x:v>46077</x:v>
      </x:c>
      <x:c r="B79" s="70" t="str">
        <x:v>영업2팀</x:v>
      </x:c>
      <x:c r="C79" s="70" t="str">
        <x:v>서비스매출</x:v>
      </x:c>
      <x:c r="D79" s="95" t="n">
        <x:v>1820000</x:v>
      </x:c>
      <x:c r="E79" s="95" t="n">
        <x:v>1239907</x:v>
      </x:c>
      <x:c r="F79" s="75" t="str"/>
    </x:row>
    <x:row r="80">
      <x:c r="A80" s="89" t="n">
        <x:v>46106</x:v>
      </x:c>
      <x:c r="B80" s="70" t="str">
        <x:v>생산팀</x:v>
      </x:c>
      <x:c r="C80" s="70" t="str">
        <x:v>유지보수</x:v>
      </x:c>
      <x:c r="D80" s="95" t="n">
        <x:v>1320000</x:v>
      </x:c>
      <x:c r="E80" s="95" t="n">
        <x:v>982864</x:v>
      </x:c>
      <x:c r="F80" s="75" t="str"/>
    </x:row>
    <x:row r="81">
      <x:c r="A81" s="89" t="n">
        <x:v>46113</x:v>
      </x:c>
      <x:c r="B81" s="70" t="str">
        <x:v>관리팀</x:v>
      </x:c>
      <x:c r="C81" s="70" t="str">
        <x:v>제품매출</x:v>
      </x:c>
      <x:c r="D81" s="95" t="n">
        <x:v>1990000</x:v>
      </x:c>
      <x:c r="E81" s="95" t="n">
        <x:v>1095678</x:v>
      </x:c>
      <x:c r="F81" s="75" t="str"/>
    </x:row>
    <x:row r="82">
      <x:c r="A82" s="89" t="n">
        <x:v>46144</x:v>
      </x:c>
      <x:c r="B82" s="70" t="str">
        <x:v>영업1팀</x:v>
      </x:c>
      <x:c r="C82" s="70" t="str">
        <x:v>서비스매출</x:v>
      </x:c>
      <x:c r="D82" s="95" t="n">
        <x:v>2220000</x:v>
      </x:c>
      <x:c r="E82" s="95" t="n">
        <x:v>1468683</x:v>
      </x:c>
      <x:c r="F82" s="75" t="str"/>
    </x:row>
    <x:row r="83">
      <x:c r="A83" s="89" t="n">
        <x:v>46176</x:v>
      </x:c>
      <x:c r="B83" s="70" t="str">
        <x:v>영업2팀</x:v>
      </x:c>
      <x:c r="C83" s="70" t="str">
        <x:v>유지보수</x:v>
      </x:c>
      <x:c r="D83" s="95" t="n">
        <x:v>1470000</x:v>
      </x:c>
      <x:c r="E83" s="95" t="n">
        <x:v>1037790</x:v>
      </x:c>
      <x:c r="F83" s="75" t="str"/>
    </x:row>
    <x:row r="84">
      <x:c r="A84" s="89" t="n">
        <x:v>46207</x:v>
      </x:c>
      <x:c r="B84" s="70" t="str">
        <x:v>생산팀</x:v>
      </x:c>
      <x:c r="C84" s="70" t="str">
        <x:v>제품매출</x:v>
      </x:c>
      <x:c r="D84" s="95" t="n">
        <x:v>1890000</x:v>
      </x:c>
      <x:c r="E84" s="95" t="n">
        <x:v>1405005</x:v>
      </x:c>
      <x:c r="F84" s="75" t="str"/>
    </x:row>
    <x:row r="85">
      <x:c r="A85" s="89" t="n">
        <x:v>46239</x:v>
      </x:c>
      <x:c r="B85" s="70" t="str">
        <x:v>관리팀</x:v>
      </x:c>
      <x:c r="C85" s="70" t="str">
        <x:v>서비스매출</x:v>
      </x:c>
      <x:c r="D85" s="95" t="n">
        <x:v>2360000</x:v>
      </x:c>
      <x:c r="E85" s="95" t="n">
        <x:v>1629798</x:v>
      </x:c>
      <x:c r="F85" s="75" t="str"/>
    </x:row>
    <x:row r="86">
      <x:c r="A86" s="89" t="n">
        <x:v>46271</x:v>
      </x:c>
      <x:c r="B86" s="70" t="str">
        <x:v>영업1팀</x:v>
      </x:c>
      <x:c r="C86" s="70" t="str">
        <x:v>유지보수</x:v>
      </x:c>
      <x:c r="D86" s="95" t="n">
        <x:v>1700000</x:v>
      </x:c>
      <x:c r="E86" s="95" t="n">
        <x:v>772272</x:v>
      </x:c>
      <x:c r="F86" s="75" t="str"/>
    </x:row>
    <x:row r="87">
      <x:c r="A87" s="89" t="n">
        <x:v>46302</x:v>
      </x:c>
      <x:c r="B87" s="70" t="str">
        <x:v>영업2팀</x:v>
      </x:c>
      <x:c r="C87" s="70" t="str">
        <x:v>제품매출</x:v>
      </x:c>
      <x:c r="D87" s="95" t="n">
        <x:v>2690000</x:v>
      </x:c>
      <x:c r="E87" s="95" t="n">
        <x:v>1815013</x:v>
      </x:c>
      <x:c r="F87" s="75" t="str"/>
    </x:row>
    <x:row r="88">
      <x:c r="A88" s="89" t="n">
        <x:v>46334</x:v>
      </x:c>
      <x:c r="B88" s="70" t="str">
        <x:v>생산팀</x:v>
      </x:c>
      <x:c r="C88" s="70" t="str">
        <x:v>서비스매출</x:v>
      </x:c>
      <x:c r="D88" s="95" t="n">
        <x:v>2030000</x:v>
      </x:c>
      <x:c r="E88" s="95" t="n">
        <x:v>1394593</x:v>
      </x:c>
      <x:c r="F88" s="75" t="str"/>
    </x:row>
    <x:row r="89">
      <x:c r="A89" s="89" t="n">
        <x:v>46365</x:v>
      </x:c>
      <x:c r="B89" s="70" t="str">
        <x:v>관리팀</x:v>
      </x:c>
      <x:c r="C89" s="70" t="str">
        <x:v>유지보수</x:v>
      </x:c>
      <x:c r="D89" s="95" t="n">
        <x:v>670000</x:v>
      </x:c>
      <x:c r="E89" s="95" t="n">
        <x:v>451533</x:v>
      </x:c>
      <x:c r="F89" s="75" t="str"/>
    </x:row>
    <x:row r="90">
      <x:c r="A90" s="89" t="n">
        <x:v>46032</x:v>
      </x:c>
      <x:c r="B90" s="70" t="str">
        <x:v>영업1팀</x:v>
      </x:c>
      <x:c r="C90" s="70" t="str">
        <x:v>제품매출</x:v>
      </x:c>
      <x:c r="D90" s="95" t="n">
        <x:v>2680000</x:v>
      </x:c>
      <x:c r="E90" s="95" t="n">
        <x:v>1937170</x:v>
      </x:c>
      <x:c r="F90" s="75" t="str"/>
    </x:row>
    <x:row r="91">
      <x:c r="A91" s="89" t="n">
        <x:v>46064</x:v>
      </x:c>
      <x:c r="B91" s="70" t="str">
        <x:v>영업2팀</x:v>
      </x:c>
      <x:c r="C91" s="70" t="str">
        <x:v>서비스매출</x:v>
      </x:c>
      <x:c r="D91" s="95" t="n">
        <x:v>760000</x:v>
      </x:c>
      <x:c r="E91" s="95" t="n">
        <x:v>423265</x:v>
      </x:c>
      <x:c r="F91" s="75" t="str"/>
    </x:row>
    <x:row r="92">
      <x:c r="A92" s="89" t="n">
        <x:v>46093</x:v>
      </x:c>
      <x:c r="B92" s="70" t="str">
        <x:v>생산팀</x:v>
      </x:c>
      <x:c r="C92" s="70" t="str">
        <x:v>유지보수</x:v>
      </x:c>
      <x:c r="D92" s="95" t="n">
        <x:v>2780000</x:v>
      </x:c>
      <x:c r="E92" s="95" t="n">
        <x:v>1583492</x:v>
      </x:c>
      <x:c r="F92" s="75" t="str"/>
    </x:row>
    <x:row r="93">
      <x:c r="A93" s="89" t="n">
        <x:v>46125</x:v>
      </x:c>
      <x:c r="B93" s="70" t="str">
        <x:v>관리팀</x:v>
      </x:c>
      <x:c r="C93" s="70" t="str">
        <x:v>제품매출</x:v>
      </x:c>
      <x:c r="D93" s="95" t="n">
        <x:v>2200000</x:v>
      </x:c>
      <x:c r="E93" s="95" t="n">
        <x:v>1264249</x:v>
      </x:c>
      <x:c r="F93" s="75" t="str"/>
    </x:row>
    <x:row r="94">
      <x:c r="A94" s="89" t="n">
        <x:v>46156</x:v>
      </x:c>
      <x:c r="B94" s="70" t="str">
        <x:v>영업1팀</x:v>
      </x:c>
      <x:c r="C94" s="70" t="str">
        <x:v>서비스매출</x:v>
      </x:c>
      <x:c r="D94" s="95" t="n">
        <x:v>710000</x:v>
      </x:c>
      <x:c r="E94" s="95" t="n">
        <x:v>539913</x:v>
      </x:c>
      <x:c r="F94" s="75" t="str"/>
    </x:row>
    <x:row r="95">
      <x:c r="A95" s="89" t="n">
        <x:v>46188</x:v>
      </x:c>
      <x:c r="B95" s="70" t="str">
        <x:v>영업2팀</x:v>
      </x:c>
      <x:c r="C95" s="70" t="str">
        <x:v>유지보수</x:v>
      </x:c>
      <x:c r="D95" s="95" t="n">
        <x:v>2390000</x:v>
      </x:c>
      <x:c r="E95" s="95" t="n">
        <x:v>1396403</x:v>
      </x:c>
      <x:c r="F95" s="75" t="str"/>
    </x:row>
    <x:row r="96">
      <x:c r="A96" s="89" t="n">
        <x:v>46219</x:v>
      </x:c>
      <x:c r="B96" s="70" t="str">
        <x:v>생산팀</x:v>
      </x:c>
      <x:c r="C96" s="70" t="str">
        <x:v>제품매출</x:v>
      </x:c>
      <x:c r="D96" s="95" t="n">
        <x:v>750000</x:v>
      </x:c>
      <x:c r="E96" s="95" t="n">
        <x:v>374305</x:v>
      </x:c>
      <x:c r="F96" s="75" t="str"/>
    </x:row>
    <x:row r="97">
      <x:c r="A97" s="89" t="n">
        <x:v>46251</x:v>
      </x:c>
      <x:c r="B97" s="70" t="str">
        <x:v>관리팀</x:v>
      </x:c>
      <x:c r="C97" s="70" t="str">
        <x:v>서비스매출</x:v>
      </x:c>
      <x:c r="D97" s="95" t="n">
        <x:v>1670000</x:v>
      </x:c>
      <x:c r="E97" s="95" t="n">
        <x:v>1033719</x:v>
      </x:c>
      <x:c r="F97" s="75" t="str"/>
    </x:row>
    <x:row r="98">
      <x:c r="A98" s="89" t="n">
        <x:v>46283</x:v>
      </x:c>
      <x:c r="B98" s="70" t="str">
        <x:v>영업1팀</x:v>
      </x:c>
      <x:c r="C98" s="70" t="str">
        <x:v>유지보수</x:v>
      </x:c>
      <x:c r="D98" s="95" t="n">
        <x:v>1230000</x:v>
      </x:c>
      <x:c r="E98" s="95" t="n">
        <x:v>738657</x:v>
      </x:c>
      <x:c r="F98" s="75" t="str"/>
    </x:row>
    <x:row r="99">
      <x:c r="A99" s="89" t="n">
        <x:v>46314</x:v>
      </x:c>
      <x:c r="B99" s="70" t="str">
        <x:v>영업2팀</x:v>
      </x:c>
      <x:c r="C99" s="70" t="str">
        <x:v>제품매출</x:v>
      </x:c>
      <x:c r="D99" s="95" t="n">
        <x:v>1730000</x:v>
      </x:c>
      <x:c r="E99" s="95" t="n">
        <x:v>1007332</x:v>
      </x:c>
      <x:c r="F99" s="75" t="str"/>
    </x:row>
    <x:row r="100">
      <x:c r="A100" s="89" t="n">
        <x:v>46346</x:v>
      </x:c>
      <x:c r="B100" s="70" t="str">
        <x:v>생산팀</x:v>
      </x:c>
      <x:c r="C100" s="70" t="str">
        <x:v>서비스매출</x:v>
      </x:c>
      <x:c r="D100" s="95" t="n">
        <x:v>2250000</x:v>
      </x:c>
      <x:c r="E100" s="95" t="n">
        <x:v>1561243</x:v>
      </x:c>
      <x:c r="F100" s="75" t="str"/>
    </x:row>
    <x:row r="101">
      <x:c r="A101" s="89" t="n">
        <x:v>46377</x:v>
      </x:c>
      <x:c r="B101" s="70" t="str">
        <x:v>관리팀</x:v>
      </x:c>
      <x:c r="C101" s="70" t="str">
        <x:v>유지보수</x:v>
      </x:c>
      <x:c r="D101" s="95" t="n">
        <x:v>3000000</x:v>
      </x:c>
      <x:c r="E101" s="95" t="n">
        <x:v>1862474</x:v>
      </x:c>
      <x:c r="F101" s="75" t="str"/>
    </x:row>
    <x:row r="102">
      <x:c r="A102" s="89" t="n">
        <x:v>46044</x:v>
      </x:c>
      <x:c r="B102" s="70" t="str">
        <x:v>영업1팀</x:v>
      </x:c>
      <x:c r="C102" s="70" t="str">
        <x:v>제품매출</x:v>
      </x:c>
      <x:c r="D102" s="95" t="n">
        <x:v>1180000</x:v>
      </x:c>
      <x:c r="E102" s="95" t="n">
        <x:v>906376</x:v>
      </x:c>
      <x:c r="F102" s="75" t="str"/>
    </x:row>
    <x:row r="103">
      <x:c r="A103" s="89" t="n">
        <x:v>46076</x:v>
      </x:c>
      <x:c r="B103" s="70" t="str">
        <x:v>영업2팀</x:v>
      </x:c>
      <x:c r="C103" s="70" t="str">
        <x:v>서비스매출</x:v>
      </x:c>
      <x:c r="D103" s="95" t="n">
        <x:v>1750000</x:v>
      </x:c>
      <x:c r="E103" s="95" t="n">
        <x:v>918528</x:v>
      </x:c>
      <x:c r="F103" s="75" t="str"/>
    </x:row>
    <x:row r="104">
      <x:c r="A104" s="89" t="n">
        <x:v>46105</x:v>
      </x:c>
      <x:c r="B104" s="70" t="str">
        <x:v>생산팀</x:v>
      </x:c>
      <x:c r="C104" s="70" t="str">
        <x:v>유지보수</x:v>
      </x:c>
      <x:c r="D104" s="95" t="n">
        <x:v>820000</x:v>
      </x:c>
      <x:c r="E104" s="95" t="n">
        <x:v>490589</x:v>
      </x:c>
      <x:c r="F104" s="75" t="str"/>
    </x:row>
    <x:row r="105">
      <x:c r="A105" s="89" t="n">
        <x:v>46137</x:v>
      </x:c>
      <x:c r="B105" s="70" t="str">
        <x:v>관리팀</x:v>
      </x:c>
      <x:c r="C105" s="70" t="str">
        <x:v>제품매출</x:v>
      </x:c>
      <x:c r="D105" s="95" t="n">
        <x:v>1930000</x:v>
      </x:c>
      <x:c r="E105" s="95" t="n">
        <x:v>927742</x:v>
      </x:c>
      <x:c r="F105" s="75" t="str"/>
    </x:row>
    <x:row r="106">
      <x:c r="A106" s="89" t="n">
        <x:v>46143</x:v>
      </x:c>
      <x:c r="B106" s="70" t="str">
        <x:v>영업1팀</x:v>
      </x:c>
      <x:c r="C106" s="70" t="str">
        <x:v>서비스매출</x:v>
      </x:c>
      <x:c r="D106" s="95" t="n">
        <x:v>1630000</x:v>
      </x:c>
      <x:c r="E106" s="95" t="n">
        <x:v>1118644</x:v>
      </x:c>
      <x:c r="F106" s="75" t="str"/>
    </x:row>
    <x:row r="107">
      <x:c r="A107" s="89" t="n">
        <x:v>46175</x:v>
      </x:c>
      <x:c r="B107" s="70" t="str">
        <x:v>영업2팀</x:v>
      </x:c>
      <x:c r="C107" s="70" t="str">
        <x:v>유지보수</x:v>
      </x:c>
      <x:c r="D107" s="95" t="n">
        <x:v>2950000</x:v>
      </x:c>
      <x:c r="E107" s="95" t="n">
        <x:v>1811882</x:v>
      </x:c>
      <x:c r="F107" s="75" t="str"/>
    </x:row>
    <x:row r="108">
      <x:c r="A108" s="89" t="n">
        <x:v>46206</x:v>
      </x:c>
      <x:c r="B108" s="70" t="str">
        <x:v>생산팀</x:v>
      </x:c>
      <x:c r="C108" s="70" t="str">
        <x:v>제품매출</x:v>
      </x:c>
      <x:c r="D108" s="95" t="n">
        <x:v>1580000</x:v>
      </x:c>
      <x:c r="E108" s="95" t="n">
        <x:v>920727</x:v>
      </x:c>
      <x:c r="F108" s="75" t="str"/>
    </x:row>
    <x:row r="109">
      <x:c r="A109" s="89" t="n">
        <x:v>46238</x:v>
      </x:c>
      <x:c r="B109" s="70" t="str">
        <x:v>관리팀</x:v>
      </x:c>
      <x:c r="C109" s="70" t="str">
        <x:v>서비스매출</x:v>
      </x:c>
      <x:c r="D109" s="95" t="n">
        <x:v>2960000</x:v>
      </x:c>
      <x:c r="E109" s="95" t="n">
        <x:v>1922294</x:v>
      </x:c>
      <x:c r="F109" s="75" t="str"/>
    </x:row>
    <x:row r="110">
      <x:c r="A110" s="89" t="n">
        <x:v>46270</x:v>
      </x:c>
      <x:c r="B110" s="70" t="str">
        <x:v>영업1팀</x:v>
      </x:c>
      <x:c r="C110" s="70" t="str">
        <x:v>유지보수</x:v>
      </x:c>
      <x:c r="D110" s="95" t="n">
        <x:v>910000</x:v>
      </x:c>
      <x:c r="E110" s="95" t="n">
        <x:v>567111</x:v>
      </x:c>
      <x:c r="F110" s="75" t="str"/>
    </x:row>
    <x:row r="111">
      <x:c r="A111" s="89" t="n">
        <x:v>46301</x:v>
      </x:c>
      <x:c r="B111" s="70" t="str">
        <x:v>영업2팀</x:v>
      </x:c>
      <x:c r="C111" s="70" t="str">
        <x:v>제품매출</x:v>
      </x:c>
      <x:c r="D111" s="95" t="n">
        <x:v>2730000</x:v>
      </x:c>
      <x:c r="E111" s="95" t="n">
        <x:v>1295240</x:v>
      </x:c>
      <x:c r="F111" s="75" t="str"/>
    </x:row>
    <x:row r="112">
      <x:c r="A112" s="89" t="n">
        <x:v>46333</x:v>
      </x:c>
      <x:c r="B112" s="70" t="str">
        <x:v>생산팀</x:v>
      </x:c>
      <x:c r="C112" s="70" t="str">
        <x:v>서비스매출</x:v>
      </x:c>
      <x:c r="D112" s="95" t="n">
        <x:v>2410000</x:v>
      </x:c>
      <x:c r="E112" s="95" t="n">
        <x:v>1675954</x:v>
      </x:c>
      <x:c r="F112" s="75" t="str"/>
    </x:row>
    <x:row r="113">
      <x:c r="A113" s="89" t="n">
        <x:v>46364</x:v>
      </x:c>
      <x:c r="B113" s="70" t="str">
        <x:v>관리팀</x:v>
      </x:c>
      <x:c r="C113" s="70" t="str">
        <x:v>유지보수</x:v>
      </x:c>
      <x:c r="D113" s="95" t="n">
        <x:v>2250000</x:v>
      </x:c>
      <x:c r="E113" s="95" t="n">
        <x:v>1701192</x:v>
      </x:c>
      <x:c r="F113" s="75" t="str"/>
    </x:row>
    <x:row r="114">
      <x:c r="A114" s="89" t="n">
        <x:v>46031</x:v>
      </x:c>
      <x:c r="B114" s="70" t="str">
        <x:v>영업1팀</x:v>
      </x:c>
      <x:c r="C114" s="70" t="str">
        <x:v>제품매출</x:v>
      </x:c>
      <x:c r="D114" s="95" t="n">
        <x:v>1760000</x:v>
      </x:c>
      <x:c r="E114" s="95" t="n">
        <x:v>1334056</x:v>
      </x:c>
      <x:c r="F114" s="75" t="str"/>
    </x:row>
    <x:row r="115">
      <x:c r="A115" s="89" t="n">
        <x:v>46063</x:v>
      </x:c>
      <x:c r="B115" s="70" t="str">
        <x:v>영업2팀</x:v>
      </x:c>
      <x:c r="C115" s="70" t="str">
        <x:v>서비스매출</x:v>
      </x:c>
      <x:c r="D115" s="95" t="n">
        <x:v>1560000</x:v>
      </x:c>
      <x:c r="E115" s="95" t="n">
        <x:v>806643</x:v>
      </x:c>
      <x:c r="F115" s="75" t="str"/>
    </x:row>
    <x:row r="116">
      <x:c r="A116" s="89" t="n">
        <x:v>46092</x:v>
      </x:c>
      <x:c r="B116" s="70" t="str">
        <x:v>생산팀</x:v>
      </x:c>
      <x:c r="C116" s="70" t="str">
        <x:v>유지보수</x:v>
      </x:c>
      <x:c r="D116" s="95" t="n">
        <x:v>2480000</x:v>
      </x:c>
      <x:c r="E116" s="95" t="n">
        <x:v>1813914</x:v>
      </x:c>
      <x:c r="F116" s="75" t="str"/>
    </x:row>
    <x:row r="117">
      <x:c r="A117" s="89" t="n">
        <x:v>46124</x:v>
      </x:c>
      <x:c r="B117" s="70" t="str">
        <x:v>관리팀</x:v>
      </x:c>
      <x:c r="C117" s="70" t="str">
        <x:v>제품매출</x:v>
      </x:c>
      <x:c r="D117" s="95" t="n">
        <x:v>2480000</x:v>
      </x:c>
      <x:c r="E117" s="95" t="n">
        <x:v>1318133</x:v>
      </x:c>
      <x:c r="F117" s="75" t="str"/>
    </x:row>
    <x:row r="118">
      <x:c r="A118" s="89" t="n">
        <x:v>46155</x:v>
      </x:c>
      <x:c r="B118" s="70" t="str">
        <x:v>영업1팀</x:v>
      </x:c>
      <x:c r="C118" s="70" t="str">
        <x:v>서비스매출</x:v>
      </x:c>
      <x:c r="D118" s="95" t="n">
        <x:v>2120000</x:v>
      </x:c>
      <x:c r="E118" s="95" t="n">
        <x:v>1167625</x:v>
      </x:c>
      <x:c r="F118" s="75" t="str"/>
    </x:row>
    <x:row r="119">
      <x:c r="A119" s="89" t="n">
        <x:v>46187</x:v>
      </x:c>
      <x:c r="B119" s="70" t="str">
        <x:v>영업2팀</x:v>
      </x:c>
      <x:c r="C119" s="70" t="str">
        <x:v>유지보수</x:v>
      </x:c>
      <x:c r="D119" s="95" t="n">
        <x:v>2060000</x:v>
      </x:c>
      <x:c r="E119" s="95" t="n">
        <x:v>1235779</x:v>
      </x:c>
      <x:c r="F119" s="75" t="str"/>
    </x:row>
    <x:row r="120">
      <x:c r="A120" s="89" t="n">
        <x:v>46218</x:v>
      </x:c>
      <x:c r="B120" s="70" t="str">
        <x:v>생산팀</x:v>
      </x:c>
      <x:c r="C120" s="70" t="str">
        <x:v>제품매출</x:v>
      </x:c>
      <x:c r="D120" s="95" t="n">
        <x:v>980000</x:v>
      </x:c>
      <x:c r="E120" s="95" t="n">
        <x:v>658780</x:v>
      </x:c>
      <x:c r="F120" s="75" t="str"/>
    </x:row>
    <x:row r="121">
      <x:c r="A121" s="89" t="n">
        <x:v>46250</x:v>
      </x:c>
      <x:c r="B121" s="70" t="str">
        <x:v>관리팀</x:v>
      </x:c>
      <x:c r="C121" s="70" t="str">
        <x:v>서비스매출</x:v>
      </x:c>
      <x:c r="D121" s="95" t="n">
        <x:v>1770000</x:v>
      </x:c>
      <x:c r="E121" s="95" t="n">
        <x:v>874478</x:v>
      </x:c>
      <x:c r="F121" s="75" t="str"/>
    </x:row>
    <x:row r="122">
      <x:c r="A122" s="89" t="n">
        <x:v>46282</x:v>
      </x:c>
      <x:c r="B122" s="70" t="str">
        <x:v>영업1팀</x:v>
      </x:c>
      <x:c r="C122" s="70" t="str">
        <x:v>유지보수</x:v>
      </x:c>
      <x:c r="D122" s="95" t="n">
        <x:v>2970000</x:v>
      </x:c>
      <x:c r="E122" s="95" t="n">
        <x:v>1557798</x:v>
      </x:c>
      <x:c r="F122" s="75" t="str"/>
    </x:row>
    <x:row r="123">
      <x:c r="A123" s="89" t="n">
        <x:v>46313</x:v>
      </x:c>
      <x:c r="B123" s="70" t="str">
        <x:v>영업2팀</x:v>
      </x:c>
      <x:c r="C123" s="70" t="str">
        <x:v>제품매출</x:v>
      </x:c>
      <x:c r="D123" s="95" t="n">
        <x:v>2520000</x:v>
      </x:c>
      <x:c r="E123" s="95" t="n">
        <x:v>1306158</x:v>
      </x:c>
      <x:c r="F123" s="75" t="str"/>
    </x:row>
    <x:row r="124">
      <x:c r="A124" s="89" t="n">
        <x:v>46345</x:v>
      </x:c>
      <x:c r="B124" s="70" t="str">
        <x:v>생산팀</x:v>
      </x:c>
      <x:c r="C124" s="70" t="str">
        <x:v>서비스매출</x:v>
      </x:c>
      <x:c r="D124" s="95" t="n">
        <x:v>1590000</x:v>
      </x:c>
      <x:c r="E124" s="95" t="n">
        <x:v>881569</x:v>
      </x:c>
      <x:c r="F124" s="75" t="str"/>
    </x:row>
    <x:row r="125">
      <x:c r="A125" s="90" t="n">
        <x:v>46376</x:v>
      </x:c>
      <x:c r="B125" s="77" t="str">
        <x:v>관리팀</x:v>
      </x:c>
      <x:c r="C125" s="77" t="str">
        <x:v>유지보수</x:v>
      </x:c>
      <x:c r="D125" s="96" t="n">
        <x:v>1840000</x:v>
      </x:c>
      <x:c r="E125" s="96" t="n">
        <x:v>1067185</x:v>
      </x:c>
      <x:c r="F125" s="78" t="str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e4039b160ac347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</x:cols>
  <x:sheetData>
    <x:row r="1" ht="30" customHeight="1">
      <x:c r="A1" s="5" t="str">
        <x:v>부서별 요약</x:v>
      </x:c>
      <x:c r="B1" s="5"/>
      <x:c r="C1" s="5"/>
      <x:c r="D1" s="5"/>
      <x:c r="E1" s="5"/>
    </x:row>
    <x:row r="2" ht="24" customHeight="1">
      <x:c r="A2" s="12" t="str">
        <x:v>정상적인 반복 수식과 전사 합계를 포함합니다.</x:v>
      </x:c>
      <x:c r="B2" s="12"/>
      <x:c r="C2" s="12"/>
      <x:c r="D2" s="12"/>
      <x:c r="E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부서</x:v>
      </x:c>
      <x:c r="B5" s="65" t="str">
        <x:v>매출</x:v>
      </x:c>
      <x:c r="C5" s="65" t="str">
        <x:v>비용</x:v>
      </x:c>
      <x:c r="D5" s="65" t="str">
        <x:v>이익</x:v>
      </x:c>
      <x:c r="E5" s="31" t="str">
        <x:v>마진율</x:v>
      </x:c>
    </x:row>
    <x:row r="6">
      <x:c r="A6" s="100" t="str">
        <x:v>영업1팀</x:v>
      </x:c>
      <x:c r="B6" s="132" t="n">
        <x:f>SUMIF('거래데이터'!$B$6:$B$125,A6,'거래데이터'!$D$6:$D$125)</x:f>
        <x:v>47680000</x:v>
      </x:c>
      <x:c r="C6" s="133" t="n">
        <x:f>SUMIF('거래데이터'!$B$6:$B$125,A6,'거래데이터'!$E$6:$E$125)</x:f>
        <x:v>29986624</x:v>
      </x:c>
      <x:c r="D6" s="133" t="n">
        <x:f>B6-C6</x:f>
        <x:v>17693376</x:v>
      </x:c>
      <x:c r="E6" s="146" t="n">
        <x:f>IFERROR(D6/B6,0)</x:f>
        <x:v>0.3710859060402685</x:v>
      </x:c>
    </x:row>
    <x:row r="7">
      <x:c r="A7" s="101" t="str">
        <x:v>영업2팀</x:v>
      </x:c>
      <x:c r="B7" s="134" t="n">
        <x:f>SUMIF('거래데이터'!$B$6:$B$125,A7,'거래데이터'!$D$6:$D$125)</x:f>
        <x:v>55090000</x:v>
      </x:c>
      <x:c r="C7" s="135" t="n">
        <x:f>SUMIF('거래데이터'!$B$6:$B$125,A7,'거래데이터'!$E$6:$E$125)</x:f>
        <x:v>33597088</x:v>
      </x:c>
      <x:c r="D7" s="135" t="n">
        <x:f>B7-C7</x:f>
        <x:v>21492912</x:v>
      </x:c>
      <x:c r="E7" s="147" t="n">
        <x:f>IFERROR(D7/B7,0)</x:f>
        <x:v>0.3901418043202033</x:v>
      </x:c>
    </x:row>
    <x:row r="8">
      <x:c r="A8" s="101" t="str">
        <x:v>생산팀</x:v>
      </x:c>
      <x:c r="B8" s="134" t="n">
        <x:f>SUMIF('거래데이터'!$B$6:$B$125,A8,'거래데이터'!$D$6:$D$125)</x:f>
        <x:v>55470000</x:v>
      </x:c>
      <x:c r="C8" s="135" t="n">
        <x:f>SUMIF('거래데이터'!$B$6:$B$125,A8,'거래데이터'!$E$6:$E$125)</x:f>
        <x:v>37030918</x:v>
      </x:c>
      <x:c r="D8" s="135" t="n">
        <x:f>B8-C8</x:f>
        <x:v>18439082</x:v>
      </x:c>
      <x:c r="E8" s="147" t="n">
        <x:f>IFERROR(D8/B8,0)</x:f>
        <x:v>0.3324153957093925</x:v>
      </x:c>
    </x:row>
    <x:row r="9">
      <x:c r="A9" s="102" t="str">
        <x:v>관리팀</x:v>
      </x:c>
      <x:c r="B9" s="136" t="n">
        <x:f>SUMIF('거래데이터'!$B$6:$B$125,A9,'거래데이터'!$D$6:$D$125)</x:f>
        <x:v>51800000</x:v>
      </x:c>
      <x:c r="C9" s="137" t="n">
        <x:f>SUMIF('거래데이터'!$B$6:$B$125,A9,'거래데이터'!$E$6:$E$125)</x:f>
        <x:v>31693256</x:v>
      </x:c>
      <x:c r="D9" s="137" t="n">
        <x:f>B9-C9</x:f>
        <x:v>20106744</x:v>
      </x:c>
      <x:c r="E9" s="148" t="n">
        <x:f>IFERROR(D9/B9,0)</x:f>
        <x:v>0.3881610810810811</x:v>
      </x:c>
    </x:row>
    <x:row r="10">
      <x:c r="A10" s="124" t="str">
        <x:v>전사 합계</x:v>
      </x:c>
      <x:c r="B10" s="138" t="n">
        <x:f>SUM(B6:B9)</x:f>
        <x:v>210040000</x:v>
      </x:c>
      <x:c r="C10" s="138" t="n">
        <x:f>SUM(C6:C9)</x:f>
        <x:v>132307886</x:v>
      </x:c>
      <x:c r="D10" s="138" t="n">
        <x:f>B10-C10</x:f>
        <x:v>77732114</x:v>
      </x:c>
      <x:c r="E10" s="149" t="n">
        <x:f>IFERROR(D10/B10,0)</x:f>
        <x:v>0.37008243191772994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</x:cols>
  <x:sheetData>
    <x:row r="1" ht="30" customHeight="1">
      <x:c r="A1" s="5" t="str">
        <x:v>월별 전사 실적</x:v>
      </x:c>
      <x:c r="B1" s="5"/>
      <x:c r="C1" s="5"/>
      <x:c r="D1" s="5"/>
      <x:c r="E1" s="5"/>
    </x:row>
    <x:row r="2" ht="24" customHeight="1">
      <x:c r="A2" s="12" t="str">
        <x:v>정상 수식 영역과 정상 합계·조정 행을 포함합니다.</x:v>
      </x:c>
      <x:c r="B2" s="12"/>
      <x:c r="C2" s="12"/>
      <x:c r="D2" s="12"/>
      <x:c r="E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월</x:v>
      </x:c>
      <x:c r="B5" s="65" t="str">
        <x:v>매출</x:v>
      </x:c>
      <x:c r="C5" s="65" t="str">
        <x:v>비용</x:v>
      </x:c>
      <x:c r="D5" s="65" t="str">
        <x:v>이익</x:v>
      </x:c>
      <x:c r="E5" s="31" t="str">
        <x:v>마진율</x:v>
      </x:c>
    </x:row>
    <x:row r="6">
      <x:c r="A6" s="154" t="n">
        <x:v>46023</x:v>
      </x:c>
      <x:c r="B6" s="132" t="n">
        <x:f>SUMIFS('거래데이터'!$D$6:$D$125,'거래데이터'!$A$6:$A$125,"&gt;="&amp;A6,'거래데이터'!$A$6:$A$125,"&lt;"&amp;EDATE(A6,1))</x:f>
        <x:v>14800000</x:v>
      </x:c>
      <x:c r="C6" s="133" t="n">
        <x:f>SUMIFS('거래데이터'!$E$6:$E$125,'거래데이터'!$A$6:$A$125,"&gt;="&amp;A6,'거래데이터'!$A$6:$A$125,"&lt;"&amp;EDATE(A6,1))</x:f>
        <x:v>10158318</x:v>
      </x:c>
      <x:c r="D6" s="133" t="n">
        <x:f>B6-C6</x:f>
        <x:v>4641682</x:v>
      </x:c>
      <x:c r="E6" s="146" t="n">
        <x:f>IFERROR(D6/B6,0)</x:f>
        <x:v>0.3136271621621622</x:v>
      </x:c>
    </x:row>
    <x:row r="7">
      <x:c r="A7" s="155" t="n">
        <x:v>46054</x:v>
      </x:c>
      <x:c r="B7" s="134" t="n">
        <x:f>SUMIFS('거래데이터'!$D$6:$D$125,'거래데이터'!$A$6:$A$125,"&gt;="&amp;A7,'거래데이터'!$A$6:$A$125,"&lt;"&amp;EDATE(A7,1))</x:f>
        <x:v>17240000</x:v>
      </x:c>
      <x:c r="C7" s="135" t="n">
        <x:f>SUMIFS('거래데이터'!$E$6:$E$125,'거래데이터'!$A$6:$A$125,"&gt;="&amp;A7,'거래데이터'!$A$6:$A$125,"&lt;"&amp;EDATE(A7,1))</x:f>
        <x:v>10316166</x:v>
      </x:c>
      <x:c r="D7" s="135" t="n">
        <x:f>B7-C7</x:f>
        <x:v>6923834</x:v>
      </x:c>
      <x:c r="E7" s="147" t="n">
        <x:f>IFERROR(D7/B7,0)</x:f>
        <x:v>0.4016145011600928</x:v>
      </x:c>
    </x:row>
    <x:row r="8">
      <x:c r="A8" s="155" t="n">
        <x:v>46082</x:v>
      </x:c>
      <x:c r="B8" s="134" t="n">
        <x:f>SUMIFS('거래데이터'!$D$6:$D$125,'거래데이터'!$A$6:$A$125,"&gt;="&amp;A8,'거래데이터'!$A$6:$A$125,"&lt;"&amp;EDATE(A8,1))</x:f>
        <x:v>15160000</x:v>
      </x:c>
      <x:c r="C8" s="135" t="n">
        <x:f>SUMIFS('거래데이터'!$E$6:$E$125,'거래데이터'!$A$6:$A$125,"&gt;="&amp;A8,'거래데이터'!$A$6:$A$125,"&lt;"&amp;EDATE(A8,1))</x:f>
        <x:v>10176600</x:v>
      </x:c>
      <x:c r="D8" s="135" t="n">
        <x:f>B8-C8</x:f>
        <x:v>4983400</x:v>
      </x:c>
      <x:c r="E8" s="147" t="n">
        <x:f>IFERROR(D8/B8,0)</x:f>
        <x:v>0.3287203166226913</x:v>
      </x:c>
    </x:row>
    <x:row r="9">
      <x:c r="A9" s="155" t="n">
        <x:v>46113</x:v>
      </x:c>
      <x:c r="B9" s="134" t="n">
        <x:f>SUMIFS('거래데이터'!$D$6:$D$125,'거래데이터'!$A$6:$A$125,"&gt;="&amp;A9,'거래데이터'!$A$6:$A$125,"&lt;"&amp;EDATE(A9,1))</x:f>
        <x:v>15490000</x:v>
      </x:c>
      <x:c r="C9" s="135" t="n">
        <x:f>SUMIFS('거래데이터'!$E$6:$E$125,'거래데이터'!$A$6:$A$125,"&gt;="&amp;A9,'거래데이터'!$A$6:$A$125,"&lt;"&amp;EDATE(A9,1))</x:f>
        <x:v>8652798</x:v>
      </x:c>
      <x:c r="D9" s="135" t="n">
        <x:f>B9-C9</x:f>
        <x:v>6837202</x:v>
      </x:c>
      <x:c r="E9" s="147" t="n">
        <x:f>IFERROR(D9/B9,0)</x:f>
        <x:v>0.4413945771465462</x:v>
      </x:c>
    </x:row>
    <x:row r="10">
      <x:c r="A10" s="155" t="n">
        <x:v>46143</x:v>
      </x:c>
      <x:c r="B10" s="134" t="n">
        <x:f>SUMIFS('거래데이터'!$D$6:$D$125,'거래데이터'!$A$6:$A$125,"&gt;="&amp;A10,'거래데이터'!$A$6:$A$125,"&lt;"&amp;EDATE(A10,1))</x:f>
        <x:v>16490000</x:v>
      </x:c>
      <x:c r="C10" s="135" t="n">
        <x:f>SUMIFS('거래데이터'!$E$6:$E$125,'거래데이터'!$A$6:$A$125,"&gt;="&amp;A10,'거래데이터'!$A$6:$A$125,"&lt;"&amp;EDATE(A10,1))</x:f>
        <x:v>10349794</x:v>
      </x:c>
      <x:c r="D10" s="135" t="n">
        <x:f>B10-C10</x:f>
        <x:v>6140206</x:v>
      </x:c>
      <x:c r="E10" s="147" t="n">
        <x:f>IFERROR(D10/B10,0)</x:f>
        <x:v>0.3723593693147362</x:v>
      </x:c>
    </x:row>
    <x:row r="11">
      <x:c r="A11" s="155" t="n">
        <x:v>46174</x:v>
      </x:c>
      <x:c r="B11" s="134" t="n">
        <x:f>SUMIFS('거래데이터'!$D$6:$D$125,'거래데이터'!$A$6:$A$125,"&gt;="&amp;A11,'거래데이터'!$A$6:$A$125,"&lt;"&amp;EDATE(A11,1))</x:f>
        <x:v>19910000</x:v>
      </x:c>
      <x:c r="C11" s="135" t="n">
        <x:f>SUMIFS('거래데이터'!$E$6:$E$125,'거래데이터'!$A$6:$A$125,"&gt;="&amp;A11,'거래데이터'!$A$6:$A$125,"&lt;"&amp;EDATE(A11,1))</x:f>
        <x:v>12320561</x:v>
      </x:c>
      <x:c r="D11" s="135" t="n">
        <x:f>B11-C11</x:f>
        <x:v>7589439</x:v>
      </x:c>
      <x:c r="E11" s="147" t="n">
        <x:f>IFERROR(D11/B11,0)</x:f>
        <x:v>0.38118729281767955</x:v>
      </x:c>
    </x:row>
    <x:row r="12">
      <x:c r="A12" s="155" t="n">
        <x:v>46204</x:v>
      </x:c>
      <x:c r="B12" s="134" t="n">
        <x:f>SUMIFS('거래데이터'!$D$6:$D$125,'거래데이터'!$A$6:$A$125,"&gt;="&amp;A12,'거래데이터'!$A$6:$A$125,"&lt;"&amp;EDATE(A12,1))</x:f>
        <x:v>19000000</x:v>
      </x:c>
      <x:c r="C12" s="135" t="n">
        <x:f>SUMIFS('거래데이터'!$E$6:$E$125,'거래데이터'!$A$6:$A$125,"&gt;="&amp;A12,'거래데이터'!$A$6:$A$125,"&lt;"&amp;EDATE(A12,1))</x:f>
        <x:v>12445487</x:v>
      </x:c>
      <x:c r="D12" s="135" t="n">
        <x:f>B12-C12</x:f>
        <x:v>6554513</x:v>
      </x:c>
      <x:c r="E12" s="147" t="n">
        <x:f>IFERROR(D12/B12,0)</x:f>
        <x:v>0.3449743684210526</x:v>
      </x:c>
    </x:row>
    <x:row r="13">
      <x:c r="A13" s="155" t="n">
        <x:v>46235</x:v>
      </x:c>
      <x:c r="B13" s="134" t="n">
        <x:f>SUMIFS('거래데이터'!$D$6:$D$125,'거래데이터'!$A$6:$A$125,"&gt;="&amp;A13,'거래데이터'!$A$6:$A$125,"&lt;"&amp;EDATE(A13,1))</x:f>
        <x:v>18870000</x:v>
      </x:c>
      <x:c r="C13" s="135" t="n">
        <x:f>SUMIFS('거래데이터'!$E$6:$E$125,'거래데이터'!$A$6:$A$125,"&gt;="&amp;A13,'거래데이터'!$A$6:$A$125,"&lt;"&amp;EDATE(A13,1))</x:f>
        <x:v>11736537</x:v>
      </x:c>
      <x:c r="D13" s="135" t="n">
        <x:f>B13-C13</x:f>
        <x:v>7133463</x:v>
      </x:c>
      <x:c r="E13" s="147" t="n">
        <x:f>IFERROR(D13/B13,0)</x:f>
        <x:v>0.37803195548489665</x:v>
      </x:c>
    </x:row>
    <x:row r="14">
      <x:c r="A14" s="155" t="n">
        <x:v>46266</x:v>
      </x:c>
      <x:c r="B14" s="134" t="n">
        <x:f>SUMIFS('거래데이터'!$D$6:$D$125,'거래데이터'!$A$6:$A$125,"&gt;="&amp;A14,'거래데이터'!$A$6:$A$125,"&lt;"&amp;EDATE(A14,1))</x:f>
        <x:v>16390000</x:v>
      </x:c>
      <x:c r="C14" s="135" t="n">
        <x:f>SUMIFS('거래데이터'!$E$6:$E$125,'거래데이터'!$A$6:$A$125,"&gt;="&amp;A14,'거래데이터'!$A$6:$A$125,"&lt;"&amp;EDATE(A14,1))</x:f>
        <x:v>9478512</x:v>
      </x:c>
      <x:c r="D14" s="135" t="n">
        <x:f>B14-C14</x:f>
        <x:v>6911488</x:v>
      </x:c>
      <x:c r="E14" s="147" t="n">
        <x:f>IFERROR(D14/B14,0)</x:f>
        <x:v>0.42168932275777915</x:v>
      </x:c>
    </x:row>
    <x:row r="15">
      <x:c r="A15" s="155" t="n">
        <x:v>46296</x:v>
      </x:c>
      <x:c r="B15" s="134" t="n">
        <x:f>SUMIFS('거래데이터'!$D$6:$D$125,'거래데이터'!$A$6:$A$125,"&gt;="&amp;A15,'거래데이터'!$A$6:$A$125,"&lt;"&amp;EDATE(A15,1))</x:f>
        <x:v>17940000</x:v>
      </x:c>
      <x:c r="C15" s="135" t="n">
        <x:f>SUMIFS('거래데이터'!$E$6:$E$125,'거래데이터'!$A$6:$A$125,"&gt;="&amp;A15,'거래데이터'!$A$6:$A$125,"&lt;"&amp;EDATE(A15,1))</x:f>
        <x:v>10960361</x:v>
      </x:c>
      <x:c r="D15" s="135" t="n">
        <x:f>B15-C15</x:f>
        <x:v>6979639</x:v>
      </x:c>
      <x:c r="E15" s="147" t="n">
        <x:f>IFERROR(D15/B15,0)</x:f>
        <x:v>0.38905457079152733</x:v>
      </x:c>
    </x:row>
    <x:row r="16">
      <x:c r="A16" s="155" t="n">
        <x:v>46327</x:v>
      </x:c>
      <x:c r="B16" s="134" t="n">
        <x:f>SUMIFS('거래데이터'!$D$6:$D$125,'거래데이터'!$A$6:$A$125,"&gt;="&amp;A16,'거래데이터'!$A$6:$A$125,"&lt;"&amp;EDATE(A16,1))</x:f>
        <x:v>21310000</x:v>
      </x:c>
      <x:c r="C16" s="135" t="n">
        <x:f>SUMIFS('거래데이터'!$E$6:$E$125,'거래데이터'!$A$6:$A$125,"&gt;="&amp;A16,'거래데이터'!$A$6:$A$125,"&lt;"&amp;EDATE(A16,1))</x:f>
        <x:v>14408831</x:v>
      </x:c>
      <x:c r="D16" s="135" t="n">
        <x:f>B16-C16</x:f>
        <x:v>6901169</x:v>
      </x:c>
      <x:c r="E16" s="147" t="n">
        <x:f>IFERROR(D16/B16,0)</x:f>
        <x:v>0.32384650398873766</x:v>
      </x:c>
    </x:row>
    <x:row r="17">
      <x:c r="A17" s="156" t="n">
        <x:v>46357</x:v>
      </x:c>
      <x:c r="B17" s="136" t="n">
        <x:f>SUMIFS('거래데이터'!$D$6:$D$125,'거래데이터'!$A$6:$A$125,"&gt;="&amp;A17,'거래데이터'!$A$6:$A$125,"&lt;"&amp;EDATE(A17,1))</x:f>
        <x:v>17440000</x:v>
      </x:c>
      <x:c r="C17" s="137" t="n">
        <x:f>SUMIFS('거래데이터'!$E$6:$E$125,'거래데이터'!$A$6:$A$125,"&gt;="&amp;A17,'거래데이터'!$A$6:$A$125,"&lt;"&amp;EDATE(A17,1))</x:f>
        <x:v>11303921</x:v>
      </x:c>
      <x:c r="D17" s="137" t="n">
        <x:f>B17-C17</x:f>
        <x:v>6136079</x:v>
      </x:c>
      <x:c r="E17" s="148" t="n">
        <x:f>IFERROR(D17/B17,0)</x:f>
        <x:v>0.35183939220183486</x:v>
      </x:c>
    </x:row>
    <x:row r="18">
      <x:c r="A18" s="124" t="str">
        <x:v>소계</x:v>
      </x:c>
      <x:c r="B18" s="138" t="n">
        <x:f>SUM(B6:B17)</x:f>
        <x:v>210040000</x:v>
      </x:c>
      <x:c r="C18" s="138" t="n">
        <x:f>SUM(C6:C17)</x:f>
        <x:v>132307886</x:v>
      </x:c>
      <x:c r="D18" s="138" t="n">
        <x:f>B18-C18</x:f>
        <x:v>77732114</x:v>
      </x:c>
      <x:c r="E18" s="149" t="n">
        <x:f>IFERROR(D18/B18,0)</x:f>
        <x:v>0.37008243191772994</x:v>
      </x:c>
    </x:row>
    <x:row r="19">
      <x:c r="A19" s="162" t="str">
        <x:v>경영조정</x:v>
      </x:c>
      <x:c r="B19" s="170" t="n">
        <x:v>0</x:v>
      </x:c>
      <x:c r="C19" s="170" t="n">
        <x:v>0</x:v>
      </x:c>
      <x:c r="D19" s="170" t="n">
        <x:v>-1000000</x:v>
      </x:c>
      <x:c r="E19" s="172" t="n">
        <x:v>0</x:v>
      </x:c>
    </x:row>
    <x:row r="20">
      <x:c r="A20" s="124" t="str">
        <x:v>합계</x:v>
      </x:c>
      <x:c r="B20" s="138" t="n">
        <x:f>B18+B19</x:f>
        <x:v>210040000</x:v>
      </x:c>
      <x:c r="C20" s="138" t="n">
        <x:f>C18+C19</x:f>
        <x:v>132307886</x:v>
      </x:c>
      <x:c r="D20" s="138" t="n">
        <x:f>D18+D19</x:f>
        <x:v>76732114</x:v>
      </x:c>
      <x:c r="E20" s="149" t="n">
        <x:f>IFERROR(D20/B20,0)</x:f>
        <x:v>0.36532143401256906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2" hidden="0" customWidth="1"/>
    <x:col min="5" max="5" width="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경영 요약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정상 통제 파일의 핵심 KPI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75" t="str">
        <x:v>전사 매출</x:v>
      </x:c>
      <x:c r="B5" s="175"/>
      <x:c r="C5" s="175" t="str">
        <x:v>전사 비용</x:v>
      </x:c>
      <x:c r="D5" s="175"/>
      <x:c r="E5" s="175" t="str">
        <x:v>전사 이익</x:v>
      </x:c>
      <x:c r="F5" s="175"/>
      <x:c r="G5" s="175" t="str">
        <x:v>전사 마진</x:v>
      </x:c>
      <x:c r="H5" s="175"/>
    </x:row>
    <x:row r="6">
      <x:c r="A6" s="180" t="n">
        <x:f>'월별추이'!B20</x:f>
        <x:v>210040000</x:v>
      </x:c>
      <x:c r="B6" s="180"/>
      <x:c r="C6" s="180" t="n">
        <x:f>'월별추이'!C20</x:f>
        <x:v>132307886</x:v>
      </x:c>
      <x:c r="D6" s="180"/>
      <x:c r="E6" s="180" t="n">
        <x:f>'월별추이'!D20</x:f>
        <x:v>76732114</x:v>
      </x:c>
      <x:c r="F6" s="180"/>
      <x:c r="G6" s="180" t="n">
        <x:f>'월별추이'!E20</x:f>
        <x:v>0.36532143401256906</x:v>
      </x:c>
      <x:c r="H6" s="180"/>
    </x:row>
    <x:row r="7">
      <x:c r="A7" s="180"/>
      <x:c r="B7" s="180"/>
      <x:c r="C7" s="180"/>
      <x:c r="D7" s="180"/>
      <x:c r="E7" s="180"/>
      <x:c r="F7" s="180"/>
      <x:c r="G7" s="180"/>
      <x:c r="H7" s="180"/>
    </x:row>
    <x:row r="10" ht="28" customHeight="1">
      <x:c r="A10" s="30" t="str">
        <x:v>부서</x:v>
      </x:c>
      <x:c r="B10" s="65" t="str">
        <x:v>매출</x:v>
      </x:c>
      <x:c r="C10" s="65" t="str">
        <x:v>이익</x:v>
      </x:c>
      <x:c r="D10" s="31" t="str">
        <x:v>마진율</x:v>
      </x:c>
    </x:row>
    <x:row r="11">
      <x:c r="A11" s="106" t="str">
        <x:f>'부서요약'!A6</x:f>
        <x:v>영업1팀</x:v>
      </x:c>
      <x:c r="B11" s="133" t="n">
        <x:f>'부서요약'!B6</x:f>
        <x:v>47680000</x:v>
      </x:c>
      <x:c r="C11" s="133" t="n">
        <x:f>'부서요약'!D6</x:f>
        <x:v>17693376</x:v>
      </x:c>
      <x:c r="D11" s="146" t="n">
        <x:f>'부서요약'!E6</x:f>
        <x:v>0.3710859060402685</x:v>
      </x:c>
    </x:row>
    <x:row r="12">
      <x:c r="A12" s="109" t="str">
        <x:f>'부서요약'!A7</x:f>
        <x:v>영업2팀</x:v>
      </x:c>
      <x:c r="B12" s="135" t="n">
        <x:f>'부서요약'!B7</x:f>
        <x:v>55090000</x:v>
      </x:c>
      <x:c r="C12" s="135" t="n">
        <x:f>'부서요약'!D7</x:f>
        <x:v>21492912</x:v>
      </x:c>
      <x:c r="D12" s="147" t="n">
        <x:f>'부서요약'!E7</x:f>
        <x:v>0.3901418043202033</x:v>
      </x:c>
    </x:row>
    <x:row r="13">
      <x:c r="A13" s="109" t="str">
        <x:f>'부서요약'!A8</x:f>
        <x:v>생산팀</x:v>
      </x:c>
      <x:c r="B13" s="135" t="n">
        <x:f>'부서요약'!B8</x:f>
        <x:v>55470000</x:v>
      </x:c>
      <x:c r="C13" s="135" t="n">
        <x:f>'부서요약'!D8</x:f>
        <x:v>18439082</x:v>
      </x:c>
      <x:c r="D13" s="147" t="n">
        <x:f>'부서요약'!E8</x:f>
        <x:v>0.3324153957093925</x:v>
      </x:c>
    </x:row>
    <x:row r="14">
      <x:c r="A14" s="111" t="str">
        <x:f>'부서요약'!A9</x:f>
        <x:v>관리팀</x:v>
      </x:c>
      <x:c r="B14" s="137" t="n">
        <x:f>'부서요약'!B9</x:f>
        <x:v>51800000</x:v>
      </x:c>
      <x:c r="C14" s="137" t="n">
        <x:f>'부서요약'!D9</x:f>
        <x:v>20106744</x:v>
      </x:c>
      <x:c r="D14" s="148" t="n">
        <x:f>'부서요약'!E9</x:f>
        <x:v>0.3881610810810811</x:v>
      </x:c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