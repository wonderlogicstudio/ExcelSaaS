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38cdf3d2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82d68a530b3e4bc4"/>
    <x:sheet xmlns:r="http://schemas.openxmlformats.org/officeDocument/2006/relationships" name="프로젝트" sheetId="2" r:id="Ra61fba8eccfd4002"/>
    <x:sheet xmlns:r="http://schemas.openxmlformats.org/officeDocument/2006/relationships" name="매출" sheetId="3" r:id="R1256e2a2f7394403"/>
    <x:sheet xmlns:r="http://schemas.openxmlformats.org/officeDocument/2006/relationships" name="비용" sheetId="4" r:id="Rd608c4aabbe2452f"/>
    <x:sheet xmlns:r="http://schemas.openxmlformats.org/officeDocument/2006/relationships" name="손익분석" sheetId="5" r:id="R401028c1fb2d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10" xfId="0" applyNumberFormat="1" applyFont="1" applyFill="1" applyBorder="1"/>
    <x:xf numFmtId="200" fontId="0" fillId="9" borderId="12" xfId="0" applyNumberFormat="1" applyFont="1" applyFill="1" applyBorder="1"/>
    <x:xf numFmtId="200" fontId="0" fillId="9" borderId="15" xfId="0" applyNumberFormat="1" applyFont="1" applyFill="1" applyBorder="1"/>
    <x:xf numFmtId="200" fontId="0" fillId="9" borderId="18" xfId="0" applyNumberFormat="1" applyFont="1" applyFill="1" applyBorder="1"/>
    <x:xf numFmtId="200" fontId="0" fillId="9" borderId="20" xfId="0" applyNumberFormat="1" applyFont="1" applyFill="1" applyBorder="1"/>
    <x:xf numFmtId="200" fontId="0" fillId="9" borderId="23" xfId="0" applyNumberFormat="1" applyFont="1" applyFill="1" applyBorder="1"/>
    <x:xf numFmtId="201" fontId="0" fillId="9" borderId="8" xfId="0" applyNumberFormat="1" applyFont="1" applyFill="1" applyBorder="1"/>
    <x:xf numFmtId="201" fontId="0" fillId="9" borderId="11" xfId="0" applyNumberFormat="1" applyFont="1" applyFill="1" applyBorder="1"/>
    <x:xf numFmtId="201" fontId="0" fillId="9" borderId="13" xfId="0" applyNumberFormat="1" applyFont="1" applyFill="1" applyBorder="1"/>
    <x:xf numFmtId="201" fontId="0" fillId="9" borderId="16" xfId="0" applyNumberFormat="1" applyFont="1" applyFill="1" applyBorder="1"/>
    <x:xf numFmtId="201" fontId="0" fillId="9" borderId="19" xfId="0" applyNumberFormat="1" applyFont="1" applyFill="1" applyBorder="1"/>
    <x:xf numFmtId="201" fontId="0" fillId="9" borderId="21" xfId="0" applyNumberFormat="1" applyFont="1" applyFill="1" applyBorder="1"/>
    <x:xf numFmtId="200" fontId="0" fillId="9" borderId="9" xfId="0" applyNumberFormat="1" applyFont="1" applyFill="1" applyBorder="1"/>
    <x:xf numFmtId="200" fontId="0" fillId="9" borderId="0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1" xfId="0" applyNumberFormat="1" applyFont="1" applyFill="1" applyBorder="1"/>
    <x:xf numFmtId="200" fontId="0" fillId="9" borderId="22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8" xfId="0" applyNumberFormat="1" applyFont="1" applyFill="1" applyBorder="1"/>
    <x:xf numFmtId="200" fontId="0" fillId="8" borderId="9" xfId="0" applyNumberFormat="1" applyFont="1" applyFill="1" applyBorder="1"/>
    <x:xf numFmtId="200" fontId="0" fillId="8" borderId="11" xfId="0" applyNumberFormat="1" applyFont="1" applyFill="1" applyBorder="1"/>
    <x:xf numFmtId="200" fontId="0" fillId="8" borderId="0" xfId="0" applyNumberFormat="1" applyFont="1" applyFill="1" applyBorder="1"/>
    <x:xf numFmtId="200" fontId="0" fillId="8" borderId="13" xfId="0" applyNumberFormat="1" applyFont="1" applyFill="1" applyBorder="1"/>
    <x:xf numFmtId="200" fontId="0" fillId="8" borderId="14" xfId="0" applyNumberFormat="1" applyFont="1" applyFill="1" applyBorder="1"/>
    <x:xf numFmtId="200" fontId="0" fillId="0" borderId="0" xfId="0" applyNumberFormat="1" applyFont="1" applyFill="1" applyBorder="1"/>
    <x:xf numFmtId="200" fontId="0" fillId="8" borderId="16" xfId="0" applyNumberFormat="1" applyFont="1" applyFill="1" applyBorder="1"/>
    <x:xf numFmtId="200" fontId="0" fillId="8" borderId="17" xfId="0" applyNumberFormat="1" applyFont="1" applyFill="1" applyBorder="1"/>
    <x:xf numFmtId="200" fontId="0" fillId="8" borderId="19" xfId="0" applyNumberFormat="1" applyFont="1" applyFill="1" applyBorder="1"/>
    <x:xf numFmtId="200" fontId="0" fillId="8" borderId="1" xfId="0" applyNumberFormat="1" applyFont="1" applyFill="1" applyBorder="1"/>
    <x:xf numFmtId="200" fontId="0" fillId="8" borderId="21" xfId="0" applyNumberFormat="1" applyFont="1" applyFill="1" applyBorder="1"/>
    <x:xf numFmtId="200" fontId="0" fillId="8" borderId="22" xfId="0" applyNumberFormat="1" applyFont="1" applyFill="1" applyBorder="1"/>
    <x:xf numFmtId="200" fontId="0" fillId="0" borderId="1" xfId="0" applyNumberFormat="1" applyFont="1" applyFill="1" applyBorder="1"/>
    <x:xf numFmtId="200" fontId="0" fillId="8" borderId="10" xfId="0" applyNumberFormat="1" applyFont="1" applyFill="1" applyBorder="1"/>
    <x:xf numFmtId="200" fontId="0" fillId="8" borderId="12" xfId="0" applyNumberFormat="1" applyFont="1" applyFill="1" applyBorder="1"/>
    <x:xf numFmtId="200" fontId="0" fillId="8" borderId="15" xfId="0" applyNumberFormat="1" applyFont="1" applyFill="1" applyBorder="1"/>
    <x:xf numFmtId="200" fontId="0" fillId="8" borderId="18" xfId="0" applyNumberFormat="1" applyFont="1" applyFill="1" applyBorder="1"/>
    <x:xf numFmtId="200" fontId="0" fillId="8" borderId="20" xfId="0" applyNumberFormat="1" applyFont="1" applyFill="1" applyBorder="1"/>
    <x:xf numFmtId="200" fontId="0" fillId="8" borderId="23" xfId="0" applyNumberFormat="1" applyFont="1" applyFill="1" applyBorder="1"/>
    <x:xf numFmtId="202" fontId="0" fillId="8" borderId="9" xfId="0" applyNumberFormat="1" applyFont="1" applyFill="1" applyBorder="1"/>
    <x:xf numFmtId="202" fontId="0" fillId="8" borderId="0" xfId="0" applyNumberFormat="1" applyFont="1" applyFill="1" applyBorder="1"/>
    <x:xf numFmtId="202" fontId="0" fillId="8" borderId="14" xfId="0" applyNumberFormat="1" applyFont="1" applyFill="1" applyBorder="1"/>
    <x:xf numFmtId="202" fontId="0" fillId="0" borderId="0" xfId="0" applyNumberFormat="1" applyFont="1" applyFill="1" applyBorder="1"/>
    <x:xf numFmtId="202" fontId="0" fillId="8" borderId="17" xfId="0" applyNumberFormat="1" applyFont="1" applyFill="1" applyBorder="1"/>
    <x:xf numFmtId="202" fontId="0" fillId="8" borderId="1" xfId="0" applyNumberFormat="1" applyFont="1" applyFill="1" applyBorder="1"/>
    <x:xf numFmtId="202" fontId="0" fillId="8" borderId="22" xfId="0" applyNumberFormat="1" applyFont="1" applyFill="1" applyBorder="1"/>
    <x:xf numFmtId="202" fontId="0" fillId="0" borderId="1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202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202" fontId="4" fillId="10" borderId="0" xfId="0" applyNumberFormat="1" applyFont="1" applyFill="1" applyBorder="1"/>
    <x:xf numFmtId="0" fontId="4" fillId="10" borderId="30" xfId="0" applyNumberFormat="1" applyFont="1" applyFill="1" applyBorder="1"/>
    <x:xf numFmtId="200" fontId="4" fillId="10" borderId="31" xfId="0" applyNumberFormat="1" applyFont="1" applyFill="1" applyBorder="1"/>
    <x:xf numFmtId="202" fontId="4" fillId="10" borderId="31" xfId="0" applyNumberFormat="1" applyFont="1" applyFill="1" applyBorder="1"/>
    <x:xf numFmtId="200" fontId="4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202" fontId="0" fillId="10" borderId="1" xfId="0" applyNumberFormat="1" applyFont="1" applyFill="1" applyBorder="1"/>
    <x:xf numFmtId="0" fontId="4" fillId="10" borderId="1" xfId="0" applyNumberFormat="1" applyFont="1" applyFill="1" applyBorder="1"/>
    <x:xf numFmtId="200" fontId="4" fillId="10" borderId="1" xfId="0" applyNumberFormat="1" applyFont="1" applyFill="1" applyBorder="1"/>
    <x:xf numFmtId="202" fontId="4" fillId="10" borderId="1" xfId="0" applyNumberFormat="1" applyFont="1" applyFill="1" applyBorder="1"/>
    <x:xf numFmtId="0" fontId="4" fillId="10" borderId="33" xfId="0" applyNumberFormat="1" applyFont="1" applyFill="1" applyBorder="1"/>
    <x:xf numFmtId="200" fontId="4" fillId="10" borderId="34" xfId="0" applyNumberFormat="1" applyFont="1" applyFill="1" applyBorder="1"/>
    <x:xf numFmtId="202" fontId="4" fillId="10" borderId="34" xfId="0" applyNumberFormat="1" applyFont="1" applyFill="1" applyBorder="1"/>
    <x:xf numFmtId="200" fontId="4" fillId="10" borderId="35" xfId="0" applyNumberFormat="1" applyFont="1" applyFill="1" applyBorder="1"/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202" fontId="0" fillId="11" borderId="0" xfId="0" applyNumberFormat="1" applyFont="1" applyFill="1" applyBorder="1"/>
    <x:xf numFmtId="0" fontId="6" fillId="11" borderId="0" xfId="0" applyNumberFormat="1" applyFont="1" applyFill="1" applyBorder="1"/>
    <x:xf numFmtId="200" fontId="6" fillId="11" borderId="0" xfId="0" applyNumberFormat="1" applyFont="1" applyFill="1" applyBorder="1"/>
    <x:xf numFmtId="202" fontId="6" fillId="11" borderId="0" xfId="0" applyNumberFormat="1" applyFont="1" applyFill="1" applyBorder="1"/>
    <x:xf numFmtId="0" fontId="6" fillId="11" borderId="36" xfId="0" applyNumberFormat="1" applyFont="1" applyFill="1" applyBorder="1"/>
    <x:xf numFmtId="200" fontId="6" fillId="11" borderId="37" xfId="0" applyNumberFormat="1" applyFont="1" applyFill="1" applyBorder="1"/>
    <x:xf numFmtId="202" fontId="6" fillId="11" borderId="37" xfId="0" applyNumberFormat="1" applyFont="1" applyFill="1" applyBorder="1"/>
    <x:xf numFmtId="200" fontId="6" fillId="11" borderId="38" xfId="0" applyNumberFormat="1" applyFont="1" applyFill="1" applyBorder="1"/>
    <x:xf numFmtId="0" fontId="0" fillId="11" borderId="1" xfId="0" applyNumberFormat="1" applyFont="1" applyFill="1" applyBorder="1"/>
    <x:xf numFmtId="200" fontId="0" fillId="11" borderId="1" xfId="0" applyNumberFormat="1" applyFont="1" applyFill="1" applyBorder="1"/>
    <x:xf numFmtId="202" fontId="0" fillId="11" borderId="1" xfId="0" applyNumberFormat="1" applyFont="1" applyFill="1" applyBorder="1"/>
    <x:xf numFmtId="0" fontId="6" fillId="11" borderId="1" xfId="0" applyNumberFormat="1" applyFont="1" applyFill="1" applyBorder="1"/>
    <x:xf numFmtId="200" fontId="6" fillId="11" borderId="1" xfId="0" applyNumberFormat="1" applyFont="1" applyFill="1" applyBorder="1"/>
    <x:xf numFmtId="202" fontId="6" fillId="11" borderId="1" xfId="0" applyNumberFormat="1" applyFont="1" applyFill="1" applyBorder="1"/>
    <x:xf numFmtId="0" fontId="6" fillId="11" borderId="39" xfId="0" applyNumberFormat="1" applyFont="1" applyFill="1" applyBorder="1"/>
    <x:xf numFmtId="200" fontId="6" fillId="11" borderId="40" xfId="0" applyNumberFormat="1" applyFont="1" applyFill="1" applyBorder="1"/>
    <x:xf numFmtId="202" fontId="6" fillId="11" borderId="40" xfId="0" applyNumberFormat="1" applyFont="1" applyFill="1" applyBorder="1"/>
    <x:xf numFmtId="200" fontId="6" fillId="11" borderId="4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5dca341d6460a" /><Relationship Type="http://schemas.openxmlformats.org/officeDocument/2006/relationships/theme" Target="/xl/theme/theme1.xml" Id="R336106e4952a48e4" /><Relationship Type="http://schemas.openxmlformats.org/officeDocument/2006/relationships/sharedStrings" Target="/xl/sharedStrings.xml" Id="R0dae2a3c666b404d" /><Relationship Type="http://schemas.openxmlformats.org/officeDocument/2006/relationships/worksheet" Target="/xl/worksheets/sheet1.xml" Id="R82d68a530b3e4bc4" /><Relationship Type="http://schemas.openxmlformats.org/officeDocument/2006/relationships/worksheet" Target="/xl/worksheets/sheet2.xml" Id="Ra61fba8eccfd4002" /><Relationship Type="http://schemas.openxmlformats.org/officeDocument/2006/relationships/worksheet" Target="/xl/worksheets/sheet3.xml" Id="R1256e2a2f7394403" /><Relationship Type="http://schemas.openxmlformats.org/officeDocument/2006/relationships/worksheet" Target="/xl/worksheets/sheet4.xml" Id="Rd608c4aabbe2452f" /><Relationship Type="http://schemas.openxmlformats.org/officeDocument/2006/relationships/worksheet" Target="/xl/worksheets/sheet5.xml" Id="R401028c1fb2d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프로젝트 손익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프로젝트 계약·매출·비용을 연결해 매출총이익·마진·잔여계약액을 계산하는 합성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SUMIF 기준행 이탈, 손익 함수 패턴 이탈, 마진 상수 덮어쓰기, 잔여계약액 누락과 정상 합계·경영조정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프로젝트</x:v>
      </x:c>
      <x:c r="B13" s="60" t="str">
        <x:v>프로젝트 계약 정보</x:v>
      </x:c>
    </x:row>
    <x:row r="14">
      <x:c r="A14" s="57" t="str">
        <x:v>매출</x:v>
      </x:c>
      <x:c r="B14" s="60" t="str">
        <x:v>프로젝트별 매출 인식</x:v>
      </x:c>
    </x:row>
    <x:row r="15">
      <x:c r="A15" s="57" t="str">
        <x:v>비용</x:v>
      </x:c>
      <x:c r="B15" s="60" t="str">
        <x:v>프로젝트별 원가</x:v>
      </x:c>
    </x:row>
    <x:row r="16">
      <x:c r="A16" s="57" t="str">
        <x:v>손익분석</x:v>
      </x:c>
      <x:c r="B16" s="60" t="str">
        <x:v>프로젝트별 손익 계산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2" hidden="0" customWidth="1"/>
    <x:col min="5" max="5" width="18" hidden="0" customWidth="1"/>
  </x:cols>
  <x:sheetData>
    <x:row r="1" ht="30" customHeight="1">
      <x:c r="A1" s="5" t="str">
        <x:v>프로젝트 마스터</x:v>
      </x:c>
      <x:c r="B1" s="5"/>
      <x:c r="C1" s="5"/>
      <x:c r="D1" s="5"/>
      <x:c r="E1" s="5"/>
    </x:row>
    <x:row r="2" ht="24" customHeight="1">
      <x:c r="A2" s="12" t="str">
        <x:v>합성 프로젝트 계약 정보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프로젝트코드</x:v>
      </x:c>
      <x:c r="B5" s="65" t="str">
        <x:v>프로젝트명</x:v>
      </x:c>
      <x:c r="C5" s="65" t="str">
        <x:v>고객</x:v>
      </x:c>
      <x:c r="D5" s="65" t="str">
        <x:v>책임자</x:v>
      </x:c>
      <x:c r="E5" s="31" t="str">
        <x:v>계약금액</x:v>
      </x:c>
    </x:row>
    <x:row r="6">
      <x:c r="A6" s="71" t="str">
        <x:v>PRJ-001</x:v>
      </x:c>
      <x:c r="B6" s="72" t="str">
        <x:v>프로젝트01</x:v>
      </x:c>
      <x:c r="C6" s="72" t="str">
        <x:v>고객사02</x:v>
      </x:c>
      <x:c r="D6" s="72" t="str">
        <x:v>PM02</x:v>
      </x:c>
      <x:c r="E6" s="88" t="n">
        <x:v>51800000</x:v>
      </x:c>
    </x:row>
    <x:row r="7">
      <x:c r="A7" s="74" t="str">
        <x:v>PRJ-002</x:v>
      </x:c>
      <x:c r="B7" s="70" t="str">
        <x:v>프로젝트02</x:v>
      </x:c>
      <x:c r="C7" s="70" t="str">
        <x:v>고객사03</x:v>
      </x:c>
      <x:c r="D7" s="70" t="str">
        <x:v>PM03</x:v>
      </x:c>
      <x:c r="E7" s="89" t="n">
        <x:v>53600000</x:v>
      </x:c>
    </x:row>
    <x:row r="8">
      <x:c r="A8" s="74" t="str">
        <x:v>PRJ-003</x:v>
      </x:c>
      <x:c r="B8" s="70" t="str">
        <x:v>프로젝트03</x:v>
      </x:c>
      <x:c r="C8" s="70" t="str">
        <x:v>고객사04</x:v>
      </x:c>
      <x:c r="D8" s="70" t="str">
        <x:v>PM04</x:v>
      </x:c>
      <x:c r="E8" s="89" t="n">
        <x:v>55400000</x:v>
      </x:c>
    </x:row>
    <x:row r="9">
      <x:c r="A9" s="74" t="str">
        <x:v>PRJ-004</x:v>
      </x:c>
      <x:c r="B9" s="70" t="str">
        <x:v>프로젝트04</x:v>
      </x:c>
      <x:c r="C9" s="70" t="str">
        <x:v>고객사05</x:v>
      </x:c>
      <x:c r="D9" s="70" t="str">
        <x:v>PM05</x:v>
      </x:c>
      <x:c r="E9" s="89" t="n">
        <x:v>57200000</x:v>
      </x:c>
    </x:row>
    <x:row r="10">
      <x:c r="A10" s="74" t="str">
        <x:v>PRJ-005</x:v>
      </x:c>
      <x:c r="B10" s="70" t="str">
        <x:v>프로젝트05</x:v>
      </x:c>
      <x:c r="C10" s="70" t="str">
        <x:v>고객사06</x:v>
      </x:c>
      <x:c r="D10" s="70" t="str">
        <x:v>PM06</x:v>
      </x:c>
      <x:c r="E10" s="89" t="n">
        <x:v>59000000</x:v>
      </x:c>
    </x:row>
    <x:row r="11">
      <x:c r="A11" s="74" t="str">
        <x:v>PRJ-006</x:v>
      </x:c>
      <x:c r="B11" s="70" t="str">
        <x:v>프로젝트06</x:v>
      </x:c>
      <x:c r="C11" s="70" t="str">
        <x:v>고객사07</x:v>
      </x:c>
      <x:c r="D11" s="70" t="str">
        <x:v>PM01</x:v>
      </x:c>
      <x:c r="E11" s="89" t="n">
        <x:v>60800000</x:v>
      </x:c>
    </x:row>
    <x:row r="12">
      <x:c r="A12" s="74" t="str">
        <x:v>PRJ-007</x:v>
      </x:c>
      <x:c r="B12" s="70" t="str">
        <x:v>프로젝트07</x:v>
      </x:c>
      <x:c r="C12" s="70" t="str">
        <x:v>고객사08</x:v>
      </x:c>
      <x:c r="D12" s="70" t="str">
        <x:v>PM02</x:v>
      </x:c>
      <x:c r="E12" s="89" t="n">
        <x:v>62600000</x:v>
      </x:c>
    </x:row>
    <x:row r="13">
      <x:c r="A13" s="74" t="str">
        <x:v>PRJ-008</x:v>
      </x:c>
      <x:c r="B13" s="70" t="str">
        <x:v>프로젝트08</x:v>
      </x:c>
      <x:c r="C13" s="70" t="str">
        <x:v>고객사09</x:v>
      </x:c>
      <x:c r="D13" s="70" t="str">
        <x:v>PM03</x:v>
      </x:c>
      <x:c r="E13" s="89" t="n">
        <x:v>64400000</x:v>
      </x:c>
    </x:row>
    <x:row r="14">
      <x:c r="A14" s="74" t="str">
        <x:v>PRJ-009</x:v>
      </x:c>
      <x:c r="B14" s="70" t="str">
        <x:v>프로젝트09</x:v>
      </x:c>
      <x:c r="C14" s="70" t="str">
        <x:v>고객사10</x:v>
      </x:c>
      <x:c r="D14" s="70" t="str">
        <x:v>PM04</x:v>
      </x:c>
      <x:c r="E14" s="89" t="n">
        <x:v>66200000</x:v>
      </x:c>
    </x:row>
    <x:row r="15">
      <x:c r="A15" s="74" t="str">
        <x:v>PRJ-010</x:v>
      </x:c>
      <x:c r="B15" s="70" t="str">
        <x:v>프로젝트10</x:v>
      </x:c>
      <x:c r="C15" s="70" t="str">
        <x:v>고객사01</x:v>
      </x:c>
      <x:c r="D15" s="70" t="str">
        <x:v>PM05</x:v>
      </x:c>
      <x:c r="E15" s="89" t="n">
        <x:v>68000000</x:v>
      </x:c>
    </x:row>
    <x:row r="16">
      <x:c r="A16" s="74" t="str">
        <x:v>PRJ-011</x:v>
      </x:c>
      <x:c r="B16" s="70" t="str">
        <x:v>프로젝트11</x:v>
      </x:c>
      <x:c r="C16" s="70" t="str">
        <x:v>고객사02</x:v>
      </x:c>
      <x:c r="D16" s="70" t="str">
        <x:v>PM06</x:v>
      </x:c>
      <x:c r="E16" s="89" t="n">
        <x:v>69800000</x:v>
      </x:c>
    </x:row>
    <x:row r="17">
      <x:c r="A17" s="74" t="str">
        <x:v>PRJ-012</x:v>
      </x:c>
      <x:c r="B17" s="70" t="str">
        <x:v>프로젝트12</x:v>
      </x:c>
      <x:c r="C17" s="70" t="str">
        <x:v>고객사03</x:v>
      </x:c>
      <x:c r="D17" s="70" t="str">
        <x:v>PM01</x:v>
      </x:c>
      <x:c r="E17" s="89" t="n">
        <x:v>71600000</x:v>
      </x:c>
    </x:row>
    <x:row r="18">
      <x:c r="A18" s="74" t="str">
        <x:v>PRJ-013</x:v>
      </x:c>
      <x:c r="B18" s="70" t="str">
        <x:v>프로젝트13</x:v>
      </x:c>
      <x:c r="C18" s="70" t="str">
        <x:v>고객사04</x:v>
      </x:c>
      <x:c r="D18" s="70" t="str">
        <x:v>PM02</x:v>
      </x:c>
      <x:c r="E18" s="89" t="n">
        <x:v>73400000</x:v>
      </x:c>
    </x:row>
    <x:row r="19">
      <x:c r="A19" s="74" t="str">
        <x:v>PRJ-014</x:v>
      </x:c>
      <x:c r="B19" s="70" t="str">
        <x:v>프로젝트14</x:v>
      </x:c>
      <x:c r="C19" s="70" t="str">
        <x:v>고객사05</x:v>
      </x:c>
      <x:c r="D19" s="70" t="str">
        <x:v>PM03</x:v>
      </x:c>
      <x:c r="E19" s="89" t="n">
        <x:v>75200000</x:v>
      </x:c>
    </x:row>
    <x:row r="20">
      <x:c r="A20" s="74" t="str">
        <x:v>PRJ-015</x:v>
      </x:c>
      <x:c r="B20" s="70" t="str">
        <x:v>프로젝트15</x:v>
      </x:c>
      <x:c r="C20" s="70" t="str">
        <x:v>고객사06</x:v>
      </x:c>
      <x:c r="D20" s="70" t="str">
        <x:v>PM04</x:v>
      </x:c>
      <x:c r="E20" s="89" t="n">
        <x:v>77000000</x:v>
      </x:c>
    </x:row>
    <x:row r="21">
      <x:c r="A21" s="74" t="str">
        <x:v>PRJ-016</x:v>
      </x:c>
      <x:c r="B21" s="70" t="str">
        <x:v>프로젝트16</x:v>
      </x:c>
      <x:c r="C21" s="70" t="str">
        <x:v>고객사07</x:v>
      </x:c>
      <x:c r="D21" s="70" t="str">
        <x:v>PM05</x:v>
      </x:c>
      <x:c r="E21" s="89" t="n">
        <x:v>78800000</x:v>
      </x:c>
    </x:row>
    <x:row r="22">
      <x:c r="A22" s="74" t="str">
        <x:v>PRJ-017</x:v>
      </x:c>
      <x:c r="B22" s="70" t="str">
        <x:v>프로젝트17</x:v>
      </x:c>
      <x:c r="C22" s="70" t="str">
        <x:v>고객사08</x:v>
      </x:c>
      <x:c r="D22" s="70" t="str">
        <x:v>PM06</x:v>
      </x:c>
      <x:c r="E22" s="89" t="n">
        <x:v>80600000</x:v>
      </x:c>
    </x:row>
    <x:row r="23">
      <x:c r="A23" s="74" t="str">
        <x:v>PRJ-018</x:v>
      </x:c>
      <x:c r="B23" s="70" t="str">
        <x:v>프로젝트18</x:v>
      </x:c>
      <x:c r="C23" s="70" t="str">
        <x:v>고객사09</x:v>
      </x:c>
      <x:c r="D23" s="70" t="str">
        <x:v>PM01</x:v>
      </x:c>
      <x:c r="E23" s="89" t="n">
        <x:v>82400000</x:v>
      </x:c>
    </x:row>
    <x:row r="24">
      <x:c r="A24" s="74" t="str">
        <x:v>PRJ-019</x:v>
      </x:c>
      <x:c r="B24" s="70" t="str">
        <x:v>프로젝트19</x:v>
      </x:c>
      <x:c r="C24" s="70" t="str">
        <x:v>고객사10</x:v>
      </x:c>
      <x:c r="D24" s="70" t="str">
        <x:v>PM02</x:v>
      </x:c>
      <x:c r="E24" s="89" t="n">
        <x:v>84200000</x:v>
      </x:c>
    </x:row>
    <x:row r="25">
      <x:c r="A25" s="74" t="str">
        <x:v>PRJ-020</x:v>
      </x:c>
      <x:c r="B25" s="70" t="str">
        <x:v>프로젝트20</x:v>
      </x:c>
      <x:c r="C25" s="70" t="str">
        <x:v>고객사01</x:v>
      </x:c>
      <x:c r="D25" s="70" t="str">
        <x:v>PM03</x:v>
      </x:c>
      <x:c r="E25" s="89" t="n">
        <x:v>86000000</x:v>
      </x:c>
    </x:row>
    <x:row r="26">
      <x:c r="A26" s="74" t="str">
        <x:v>PRJ-021</x:v>
      </x:c>
      <x:c r="B26" s="70" t="str">
        <x:v>프로젝트21</x:v>
      </x:c>
      <x:c r="C26" s="70" t="str">
        <x:v>고객사02</x:v>
      </x:c>
      <x:c r="D26" s="70" t="str">
        <x:v>PM04</x:v>
      </x:c>
      <x:c r="E26" s="89" t="n">
        <x:v>87800000</x:v>
      </x:c>
    </x:row>
    <x:row r="27">
      <x:c r="A27" s="74" t="str">
        <x:v>PRJ-022</x:v>
      </x:c>
      <x:c r="B27" s="70" t="str">
        <x:v>프로젝트22</x:v>
      </x:c>
      <x:c r="C27" s="70" t="str">
        <x:v>고객사03</x:v>
      </x:c>
      <x:c r="D27" s="70" t="str">
        <x:v>PM05</x:v>
      </x:c>
      <x:c r="E27" s="89" t="n">
        <x:v>89600000</x:v>
      </x:c>
    </x:row>
    <x:row r="28">
      <x:c r="A28" s="74" t="str">
        <x:v>PRJ-023</x:v>
      </x:c>
      <x:c r="B28" s="70" t="str">
        <x:v>프로젝트23</x:v>
      </x:c>
      <x:c r="C28" s="70" t="str">
        <x:v>고객사04</x:v>
      </x:c>
      <x:c r="D28" s="70" t="str">
        <x:v>PM06</x:v>
      </x:c>
      <x:c r="E28" s="89" t="n">
        <x:v>91400000</x:v>
      </x:c>
    </x:row>
    <x:row r="29">
      <x:c r="A29" s="74" t="str">
        <x:v>PRJ-024</x:v>
      </x:c>
      <x:c r="B29" s="70" t="str">
        <x:v>프로젝트24</x:v>
      </x:c>
      <x:c r="C29" s="70" t="str">
        <x:v>고객사05</x:v>
      </x:c>
      <x:c r="D29" s="70" t="str">
        <x:v>PM01</x:v>
      </x:c>
      <x:c r="E29" s="89" t="n">
        <x:v>93200000</x:v>
      </x:c>
    </x:row>
    <x:row r="30">
      <x:c r="A30" s="74" t="str">
        <x:v>PRJ-025</x:v>
      </x:c>
      <x:c r="B30" s="70" t="str">
        <x:v>프로젝트25</x:v>
      </x:c>
      <x:c r="C30" s="70" t="str">
        <x:v>고객사06</x:v>
      </x:c>
      <x:c r="D30" s="70" t="str">
        <x:v>PM02</x:v>
      </x:c>
      <x:c r="E30" s="89" t="n">
        <x:v>95000000</x:v>
      </x:c>
    </x:row>
    <x:row r="31">
      <x:c r="A31" s="74" t="str">
        <x:v>PRJ-026</x:v>
      </x:c>
      <x:c r="B31" s="70" t="str">
        <x:v>프로젝트26</x:v>
      </x:c>
      <x:c r="C31" s="70" t="str">
        <x:v>고객사07</x:v>
      </x:c>
      <x:c r="D31" s="70" t="str">
        <x:v>PM03</x:v>
      </x:c>
      <x:c r="E31" s="89" t="n">
        <x:v>96800000</x:v>
      </x:c>
    </x:row>
    <x:row r="32">
      <x:c r="A32" s="74" t="str">
        <x:v>PRJ-027</x:v>
      </x:c>
      <x:c r="B32" s="70" t="str">
        <x:v>프로젝트27</x:v>
      </x:c>
      <x:c r="C32" s="70" t="str">
        <x:v>고객사08</x:v>
      </x:c>
      <x:c r="D32" s="70" t="str">
        <x:v>PM04</x:v>
      </x:c>
      <x:c r="E32" s="89" t="n">
        <x:v>98600000</x:v>
      </x:c>
    </x:row>
    <x:row r="33">
      <x:c r="A33" s="74" t="str">
        <x:v>PRJ-028</x:v>
      </x:c>
      <x:c r="B33" s="70" t="str">
        <x:v>프로젝트28</x:v>
      </x:c>
      <x:c r="C33" s="70" t="str">
        <x:v>고객사09</x:v>
      </x:c>
      <x:c r="D33" s="70" t="str">
        <x:v>PM05</x:v>
      </x:c>
      <x:c r="E33" s="89" t="n">
        <x:v>100400000</x:v>
      </x:c>
    </x:row>
    <x:row r="34">
      <x:c r="A34" s="74" t="str">
        <x:v>PRJ-029</x:v>
      </x:c>
      <x:c r="B34" s="70" t="str">
        <x:v>프로젝트29</x:v>
      </x:c>
      <x:c r="C34" s="70" t="str">
        <x:v>고객사10</x:v>
      </x:c>
      <x:c r="D34" s="70" t="str">
        <x:v>PM06</x:v>
      </x:c>
      <x:c r="E34" s="89" t="n">
        <x:v>102200000</x:v>
      </x:c>
    </x:row>
    <x:row r="35">
      <x:c r="A35" s="76" t="str">
        <x:v>PRJ-030</x:v>
      </x:c>
      <x:c r="B35" s="77" t="str">
        <x:v>프로젝트30</x:v>
      </x:c>
      <x:c r="C35" s="77" t="str">
        <x:v>고객사01</x:v>
      </x:c>
      <x:c r="D35" s="77" t="str">
        <x:v>PM01</x:v>
      </x:c>
      <x:c r="E35" s="90" t="n">
        <x:v>104000000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</x:cols>
  <x:sheetData>
    <x:row r="1" ht="30" customHeight="1">
      <x:c r="A1" s="5" t="str">
        <x:v>프로젝트 매출</x:v>
      </x:c>
      <x:c r="B1" s="5"/>
      <x:c r="C1" s="5"/>
      <x:c r="D1" s="5"/>
      <x:c r="E1" s="5"/>
    </x:row>
    <x:row r="2" ht="24" customHeight="1">
      <x:c r="A2" s="12" t="str">
        <x:v>합성 프로젝트별 매출 내역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5" t="str">
        <x:v>프로젝트코드</x:v>
      </x:c>
      <x:c r="C5" s="65" t="str">
        <x:v>항목</x:v>
      </x:c>
      <x:c r="D5" s="65" t="str">
        <x:v>금액</x:v>
      </x:c>
      <x:c r="E5" s="31" t="str">
        <x:v>비고</x:v>
      </x:c>
    </x:row>
    <x:row r="6">
      <x:c r="A6" s="94" t="n">
        <x:v>46023</x:v>
      </x:c>
      <x:c r="B6" s="72" t="str">
        <x:v>PRJ-001</x:v>
      </x:c>
      <x:c r="C6" s="72" t="str">
        <x:v>매출항목1</x:v>
      </x:c>
      <x:c r="D6" s="100" t="n">
        <x:v>540000</x:v>
      </x:c>
      <x:c r="E6" s="73" t="str"/>
    </x:row>
    <x:row r="7">
      <x:c r="A7" s="95" t="n">
        <x:v>46025</x:v>
      </x:c>
      <x:c r="B7" s="70" t="str">
        <x:v>PRJ-002</x:v>
      </x:c>
      <x:c r="C7" s="70" t="str">
        <x:v>매출항목2</x:v>
      </x:c>
      <x:c r="D7" s="101" t="n">
        <x:v>2050000</x:v>
      </x:c>
      <x:c r="E7" s="75" t="str"/>
    </x:row>
    <x:row r="8">
      <x:c r="A8" s="95" t="n">
        <x:v>46027</x:v>
      </x:c>
      <x:c r="B8" s="70" t="str">
        <x:v>PRJ-003</x:v>
      </x:c>
      <x:c r="C8" s="70" t="str">
        <x:v>매출항목3</x:v>
      </x:c>
      <x:c r="D8" s="101" t="n">
        <x:v>2110000</x:v>
      </x:c>
      <x:c r="E8" s="75" t="str"/>
    </x:row>
    <x:row r="9">
      <x:c r="A9" s="95" t="n">
        <x:v>46029</x:v>
      </x:c>
      <x:c r="B9" s="70" t="str">
        <x:v>PRJ-004</x:v>
      </x:c>
      <x:c r="C9" s="70" t="str">
        <x:v>매출항목4</x:v>
      </x:c>
      <x:c r="D9" s="101" t="n">
        <x:v>1350000</x:v>
      </x:c>
      <x:c r="E9" s="75" t="str"/>
    </x:row>
    <x:row r="10">
      <x:c r="A10" s="95" t="n">
        <x:v>46031</x:v>
      </x:c>
      <x:c r="B10" s="70" t="str">
        <x:v>PRJ-005</x:v>
      </x:c>
      <x:c r="C10" s="70" t="str">
        <x:v>매출항목5</x:v>
      </x:c>
      <x:c r="D10" s="101" t="n">
        <x:v>1810000</x:v>
      </x:c>
      <x:c r="E10" s="75" t="str"/>
    </x:row>
    <x:row r="11">
      <x:c r="A11" s="95" t="n">
        <x:v>46033</x:v>
      </x:c>
      <x:c r="B11" s="70" t="str">
        <x:v>PRJ-006</x:v>
      </x:c>
      <x:c r="C11" s="70" t="str">
        <x:v>매출항목6</x:v>
      </x:c>
      <x:c r="D11" s="101" t="n">
        <x:v>2410000</x:v>
      </x:c>
      <x:c r="E11" s="75" t="str"/>
    </x:row>
    <x:row r="12">
      <x:c r="A12" s="95" t="n">
        <x:v>46035</x:v>
      </x:c>
      <x:c r="B12" s="70" t="str">
        <x:v>PRJ-007</x:v>
      </x:c>
      <x:c r="C12" s="70" t="str">
        <x:v>매출항목1</x:v>
      </x:c>
      <x:c r="D12" s="101" t="n">
        <x:v>1860000</x:v>
      </x:c>
      <x:c r="E12" s="75" t="str"/>
    </x:row>
    <x:row r="13">
      <x:c r="A13" s="95" t="n">
        <x:v>46037</x:v>
      </x:c>
      <x:c r="B13" s="70" t="str">
        <x:v>PRJ-008</x:v>
      </x:c>
      <x:c r="C13" s="70" t="str">
        <x:v>매출항목2</x:v>
      </x:c>
      <x:c r="D13" s="101" t="n">
        <x:v>1680000</x:v>
      </x:c>
      <x:c r="E13" s="75" t="str"/>
    </x:row>
    <x:row r="14">
      <x:c r="A14" s="95" t="n">
        <x:v>46039</x:v>
      </x:c>
      <x:c r="B14" s="70" t="str">
        <x:v>PRJ-009</x:v>
      </x:c>
      <x:c r="C14" s="70" t="str">
        <x:v>매출항목3</x:v>
      </x:c>
      <x:c r="D14" s="101" t="n">
        <x:v>2190000</x:v>
      </x:c>
      <x:c r="E14" s="75" t="str"/>
    </x:row>
    <x:row r="15">
      <x:c r="A15" s="95" t="n">
        <x:v>46041</x:v>
      </x:c>
      <x:c r="B15" s="70" t="str">
        <x:v>PRJ-010</x:v>
      </x:c>
      <x:c r="C15" s="70" t="str">
        <x:v>매출항목4</x:v>
      </x:c>
      <x:c r="D15" s="101" t="n">
        <x:v>500000</x:v>
      </x:c>
      <x:c r="E15" s="75" t="str"/>
    </x:row>
    <x:row r="16">
      <x:c r="A16" s="95" t="n">
        <x:v>46043</x:v>
      </x:c>
      <x:c r="B16" s="70" t="str">
        <x:v>PRJ-011</x:v>
      </x:c>
      <x:c r="C16" s="70" t="str">
        <x:v>매출항목5</x:v>
      </x:c>
      <x:c r="D16" s="101" t="n">
        <x:v>1790000</x:v>
      </x:c>
      <x:c r="E16" s="75" t="str"/>
    </x:row>
    <x:row r="17">
      <x:c r="A17" s="95" t="n">
        <x:v>46045</x:v>
      </x:c>
      <x:c r="B17" s="70" t="str">
        <x:v>PRJ-012</x:v>
      </x:c>
      <x:c r="C17" s="70" t="str">
        <x:v>매출항목6</x:v>
      </x:c>
      <x:c r="D17" s="101" t="n">
        <x:v>1850000</x:v>
      </x:c>
      <x:c r="E17" s="75" t="str"/>
    </x:row>
    <x:row r="18">
      <x:c r="A18" s="95" t="n">
        <x:v>46047</x:v>
      </x:c>
      <x:c r="B18" s="70" t="str">
        <x:v>PRJ-013</x:v>
      </x:c>
      <x:c r="C18" s="70" t="str">
        <x:v>매출항목1</x:v>
      </x:c>
      <x:c r="D18" s="101" t="n">
        <x:v>1920000</x:v>
      </x:c>
      <x:c r="E18" s="75" t="str"/>
    </x:row>
    <x:row r="19">
      <x:c r="A19" s="95" t="n">
        <x:v>46049</x:v>
      </x:c>
      <x:c r="B19" s="70" t="str">
        <x:v>PRJ-014</x:v>
      </x:c>
      <x:c r="C19" s="70" t="str">
        <x:v>매출항목2</x:v>
      </x:c>
      <x:c r="D19" s="101" t="n">
        <x:v>2180000</x:v>
      </x:c>
      <x:c r="E19" s="75" t="str"/>
    </x:row>
    <x:row r="20">
      <x:c r="A20" s="95" t="n">
        <x:v>46051</x:v>
      </x:c>
      <x:c r="B20" s="70" t="str">
        <x:v>PRJ-015</x:v>
      </x:c>
      <x:c r="C20" s="70" t="str">
        <x:v>매출항목3</x:v>
      </x:c>
      <x:c r="D20" s="101" t="n">
        <x:v>1280000</x:v>
      </x:c>
      <x:c r="E20" s="75" t="str"/>
    </x:row>
    <x:row r="21">
      <x:c r="A21" s="95" t="n">
        <x:v>46053</x:v>
      </x:c>
      <x:c r="B21" s="70" t="str">
        <x:v>PRJ-016</x:v>
      </x:c>
      <x:c r="C21" s="70" t="str">
        <x:v>매출항목4</x:v>
      </x:c>
      <x:c r="D21" s="101" t="n">
        <x:v>780000</x:v>
      </x:c>
      <x:c r="E21" s="75" t="str"/>
    </x:row>
    <x:row r="22">
      <x:c r="A22" s="95" t="n">
        <x:v>46055</x:v>
      </x:c>
      <x:c r="B22" s="70" t="str">
        <x:v>PRJ-017</x:v>
      </x:c>
      <x:c r="C22" s="70" t="str">
        <x:v>매출항목5</x:v>
      </x:c>
      <x:c r="D22" s="101" t="n">
        <x:v>1750000</x:v>
      </x:c>
      <x:c r="E22" s="75" t="str"/>
    </x:row>
    <x:row r="23">
      <x:c r="A23" s="95" t="n">
        <x:v>46057</x:v>
      </x:c>
      <x:c r="B23" s="70" t="str">
        <x:v>PRJ-018</x:v>
      </x:c>
      <x:c r="C23" s="70" t="str">
        <x:v>매출항목6</x:v>
      </x:c>
      <x:c r="D23" s="101" t="n">
        <x:v>1690000</x:v>
      </x:c>
      <x:c r="E23" s="75" t="str"/>
    </x:row>
    <x:row r="24">
      <x:c r="A24" s="95" t="n">
        <x:v>46059</x:v>
      </x:c>
      <x:c r="B24" s="70" t="str">
        <x:v>PRJ-019</x:v>
      </x:c>
      <x:c r="C24" s="70" t="str">
        <x:v>매출항목1</x:v>
      </x:c>
      <x:c r="D24" s="101" t="n">
        <x:v>600000</x:v>
      </x:c>
      <x:c r="E24" s="75" t="str"/>
    </x:row>
    <x:row r="25">
      <x:c r="A25" s="95" t="n">
        <x:v>46061</x:v>
      </x:c>
      <x:c r="B25" s="70" t="str">
        <x:v>PRJ-020</x:v>
      </x:c>
      <x:c r="C25" s="70" t="str">
        <x:v>매출항목2</x:v>
      </x:c>
      <x:c r="D25" s="101" t="n">
        <x:v>2120000</x:v>
      </x:c>
      <x:c r="E25" s="75" t="str"/>
    </x:row>
    <x:row r="26">
      <x:c r="A26" s="95" t="n">
        <x:v>46063</x:v>
      </x:c>
      <x:c r="B26" s="70" t="str">
        <x:v>PRJ-021</x:v>
      </x:c>
      <x:c r="C26" s="70" t="str">
        <x:v>매출항목3</x:v>
      </x:c>
      <x:c r="D26" s="101" t="n">
        <x:v>670000</x:v>
      </x:c>
      <x:c r="E26" s="75" t="str"/>
    </x:row>
    <x:row r="27">
      <x:c r="A27" s="95" t="n">
        <x:v>46065</x:v>
      </x:c>
      <x:c r="B27" s="70" t="str">
        <x:v>PRJ-022</x:v>
      </x:c>
      <x:c r="C27" s="70" t="str">
        <x:v>매출항목4</x:v>
      </x:c>
      <x:c r="D27" s="101" t="n">
        <x:v>1210000</x:v>
      </x:c>
      <x:c r="E27" s="75" t="str"/>
    </x:row>
    <x:row r="28">
      <x:c r="A28" s="95" t="n">
        <x:v>46067</x:v>
      </x:c>
      <x:c r="B28" s="70" t="str">
        <x:v>PRJ-023</x:v>
      </x:c>
      <x:c r="C28" s="70" t="str">
        <x:v>매출항목5</x:v>
      </x:c>
      <x:c r="D28" s="101" t="n">
        <x:v>2460000</x:v>
      </x:c>
      <x:c r="E28" s="75" t="str"/>
    </x:row>
    <x:row r="29">
      <x:c r="A29" s="95" t="n">
        <x:v>46069</x:v>
      </x:c>
      <x:c r="B29" s="70" t="str">
        <x:v>PRJ-024</x:v>
      </x:c>
      <x:c r="C29" s="70" t="str">
        <x:v>매출항목6</x:v>
      </x:c>
      <x:c r="D29" s="101" t="n">
        <x:v>1600000</x:v>
      </x:c>
      <x:c r="E29" s="75" t="str"/>
    </x:row>
    <x:row r="30">
      <x:c r="A30" s="95" t="n">
        <x:v>46071</x:v>
      </x:c>
      <x:c r="B30" s="70" t="str">
        <x:v>PRJ-025</x:v>
      </x:c>
      <x:c r="C30" s="70" t="str">
        <x:v>매출항목1</x:v>
      </x:c>
      <x:c r="D30" s="101" t="n">
        <x:v>740000</x:v>
      </x:c>
      <x:c r="E30" s="75" t="str"/>
    </x:row>
    <x:row r="31">
      <x:c r="A31" s="95" t="n">
        <x:v>46073</x:v>
      </x:c>
      <x:c r="B31" s="70" t="str">
        <x:v>PRJ-026</x:v>
      </x:c>
      <x:c r="C31" s="70" t="str">
        <x:v>매출항목2</x:v>
      </x:c>
      <x:c r="D31" s="101" t="n">
        <x:v>2030000</x:v>
      </x:c>
      <x:c r="E31" s="75" t="str"/>
    </x:row>
    <x:row r="32">
      <x:c r="A32" s="95" t="n">
        <x:v>46075</x:v>
      </x:c>
      <x:c r="B32" s="70" t="str">
        <x:v>PRJ-027</x:v>
      </x:c>
      <x:c r="C32" s="70" t="str">
        <x:v>매출항목3</x:v>
      </x:c>
      <x:c r="D32" s="101" t="n">
        <x:v>2250000</x:v>
      </x:c>
      <x:c r="E32" s="75" t="str"/>
    </x:row>
    <x:row r="33">
      <x:c r="A33" s="95" t="n">
        <x:v>46077</x:v>
      </x:c>
      <x:c r="B33" s="70" t="str">
        <x:v>PRJ-028</x:v>
      </x:c>
      <x:c r="C33" s="70" t="str">
        <x:v>매출항목4</x:v>
      </x:c>
      <x:c r="D33" s="101" t="n">
        <x:v>1200000</x:v>
      </x:c>
      <x:c r="E33" s="75" t="str"/>
    </x:row>
    <x:row r="34">
      <x:c r="A34" s="95" t="n">
        <x:v>46079</x:v>
      </x:c>
      <x:c r="B34" s="70" t="str">
        <x:v>PRJ-029</x:v>
      </x:c>
      <x:c r="C34" s="70" t="str">
        <x:v>매출항목5</x:v>
      </x:c>
      <x:c r="D34" s="101" t="n">
        <x:v>2150000</x:v>
      </x:c>
      <x:c r="E34" s="75" t="str"/>
    </x:row>
    <x:row r="35">
      <x:c r="A35" s="95" t="n">
        <x:v>46081</x:v>
      </x:c>
      <x:c r="B35" s="70" t="str">
        <x:v>PRJ-030</x:v>
      </x:c>
      <x:c r="C35" s="70" t="str">
        <x:v>매출항목6</x:v>
      </x:c>
      <x:c r="D35" s="101" t="n">
        <x:v>1620000</x:v>
      </x:c>
      <x:c r="E35" s="75" t="str"/>
    </x:row>
    <x:row r="36">
      <x:c r="A36" s="95" t="n">
        <x:v>46083</x:v>
      </x:c>
      <x:c r="B36" s="70" t="str">
        <x:v>PRJ-001</x:v>
      </x:c>
      <x:c r="C36" s="70" t="str">
        <x:v>매출항목1</x:v>
      </x:c>
      <x:c r="D36" s="101" t="n">
        <x:v>1200000</x:v>
      </x:c>
      <x:c r="E36" s="75" t="str"/>
    </x:row>
    <x:row r="37">
      <x:c r="A37" s="95" t="n">
        <x:v>46085</x:v>
      </x:c>
      <x:c r="B37" s="70" t="str">
        <x:v>PRJ-002</x:v>
      </x:c>
      <x:c r="C37" s="70" t="str">
        <x:v>매출항목2</x:v>
      </x:c>
      <x:c r="D37" s="101" t="n">
        <x:v>2300000</x:v>
      </x:c>
      <x:c r="E37" s="75" t="str"/>
    </x:row>
    <x:row r="38">
      <x:c r="A38" s="95" t="n">
        <x:v>46087</x:v>
      </x:c>
      <x:c r="B38" s="70" t="str">
        <x:v>PRJ-003</x:v>
      </x:c>
      <x:c r="C38" s="70" t="str">
        <x:v>매출항목3</x:v>
      </x:c>
      <x:c r="D38" s="101" t="n">
        <x:v>2170000</x:v>
      </x:c>
      <x:c r="E38" s="75" t="str"/>
    </x:row>
    <x:row r="39">
      <x:c r="A39" s="95" t="n">
        <x:v>46089</x:v>
      </x:c>
      <x:c r="B39" s="70" t="str">
        <x:v>PRJ-004</x:v>
      </x:c>
      <x:c r="C39" s="70" t="str">
        <x:v>매출항목4</x:v>
      </x:c>
      <x:c r="D39" s="101" t="n">
        <x:v>1670000</x:v>
      </x:c>
      <x:c r="E39" s="75" t="str"/>
    </x:row>
    <x:row r="40">
      <x:c r="A40" s="95" t="n">
        <x:v>46091</x:v>
      </x:c>
      <x:c r="B40" s="70" t="str">
        <x:v>PRJ-005</x:v>
      </x:c>
      <x:c r="C40" s="70" t="str">
        <x:v>매출항목5</x:v>
      </x:c>
      <x:c r="D40" s="101" t="n">
        <x:v>1630000</x:v>
      </x:c>
      <x:c r="E40" s="75" t="str"/>
    </x:row>
    <x:row r="41">
      <x:c r="A41" s="95" t="n">
        <x:v>46093</x:v>
      </x:c>
      <x:c r="B41" s="70" t="str">
        <x:v>PRJ-006</x:v>
      </x:c>
      <x:c r="C41" s="70" t="str">
        <x:v>매출항목6</x:v>
      </x:c>
      <x:c r="D41" s="101" t="n">
        <x:v>1110000</x:v>
      </x:c>
      <x:c r="E41" s="75" t="str"/>
    </x:row>
    <x:row r="42">
      <x:c r="A42" s="95" t="n">
        <x:v>46095</x:v>
      </x:c>
      <x:c r="B42" s="70" t="str">
        <x:v>PRJ-007</x:v>
      </x:c>
      <x:c r="C42" s="70" t="str">
        <x:v>매출항목1</x:v>
      </x:c>
      <x:c r="D42" s="101" t="n">
        <x:v>1910000</x:v>
      </x:c>
      <x:c r="E42" s="75" t="str"/>
    </x:row>
    <x:row r="43">
      <x:c r="A43" s="95" t="n">
        <x:v>46097</x:v>
      </x:c>
      <x:c r="B43" s="70" t="str">
        <x:v>PRJ-008</x:v>
      </x:c>
      <x:c r="C43" s="70" t="str">
        <x:v>매출항목2</x:v>
      </x:c>
      <x:c r="D43" s="101" t="n">
        <x:v>1520000</x:v>
      </x:c>
      <x:c r="E43" s="75" t="str"/>
    </x:row>
    <x:row r="44">
      <x:c r="A44" s="95" t="n">
        <x:v>46099</x:v>
      </x:c>
      <x:c r="B44" s="70" t="str">
        <x:v>PRJ-009</x:v>
      </x:c>
      <x:c r="C44" s="70" t="str">
        <x:v>매출항목3</x:v>
      </x:c>
      <x:c r="D44" s="101" t="n">
        <x:v>1440000</x:v>
      </x:c>
      <x:c r="E44" s="75" t="str"/>
    </x:row>
    <x:row r="45">
      <x:c r="A45" s="95" t="n">
        <x:v>46101</x:v>
      </x:c>
      <x:c r="B45" s="70" t="str">
        <x:v>PRJ-010</x:v>
      </x:c>
      <x:c r="C45" s="70" t="str">
        <x:v>매출항목4</x:v>
      </x:c>
      <x:c r="D45" s="101" t="n">
        <x:v>2060000</x:v>
      </x:c>
      <x:c r="E45" s="75" t="str"/>
    </x:row>
    <x:row r="46">
      <x:c r="A46" s="95" t="n">
        <x:v>46103</x:v>
      </x:c>
      <x:c r="B46" s="70" t="str">
        <x:v>PRJ-011</x:v>
      </x:c>
      <x:c r="C46" s="70" t="str">
        <x:v>매출항목5</x:v>
      </x:c>
      <x:c r="D46" s="101" t="n">
        <x:v>1210000</x:v>
      </x:c>
      <x:c r="E46" s="75" t="str"/>
    </x:row>
    <x:row r="47">
      <x:c r="A47" s="95" t="n">
        <x:v>46105</x:v>
      </x:c>
      <x:c r="B47" s="70" t="str">
        <x:v>PRJ-012</x:v>
      </x:c>
      <x:c r="C47" s="70" t="str">
        <x:v>매출항목6</x:v>
      </x:c>
      <x:c r="D47" s="101" t="n">
        <x:v>1760000</x:v>
      </x:c>
      <x:c r="E47" s="75" t="str"/>
    </x:row>
    <x:row r="48">
      <x:c r="A48" s="95" t="n">
        <x:v>46107</x:v>
      </x:c>
      <x:c r="B48" s="70" t="str">
        <x:v>PRJ-013</x:v>
      </x:c>
      <x:c r="C48" s="70" t="str">
        <x:v>매출항목1</x:v>
      </x:c>
      <x:c r="D48" s="101" t="n">
        <x:v>1630000</x:v>
      </x:c>
      <x:c r="E48" s="75" t="str"/>
    </x:row>
    <x:row r="49">
      <x:c r="A49" s="95" t="n">
        <x:v>46109</x:v>
      </x:c>
      <x:c r="B49" s="70" t="str">
        <x:v>PRJ-014</x:v>
      </x:c>
      <x:c r="C49" s="70" t="str">
        <x:v>매출항목2</x:v>
      </x:c>
      <x:c r="D49" s="101" t="n">
        <x:v>750000</x:v>
      </x:c>
      <x:c r="E49" s="75" t="str"/>
    </x:row>
    <x:row r="50">
      <x:c r="A50" s="95" t="n">
        <x:v>46111</x:v>
      </x:c>
      <x:c r="B50" s="70" t="str">
        <x:v>PRJ-015</x:v>
      </x:c>
      <x:c r="C50" s="70" t="str">
        <x:v>매출항목3</x:v>
      </x:c>
      <x:c r="D50" s="101" t="n">
        <x:v>1550000</x:v>
      </x:c>
      <x:c r="E50" s="75" t="str"/>
    </x:row>
    <x:row r="51">
      <x:c r="A51" s="95" t="n">
        <x:v>46113</x:v>
      </x:c>
      <x:c r="B51" s="70" t="str">
        <x:v>PRJ-016</x:v>
      </x:c>
      <x:c r="C51" s="70" t="str">
        <x:v>매출항목4</x:v>
      </x:c>
      <x:c r="D51" s="101" t="n">
        <x:v>2080000</x:v>
      </x:c>
      <x:c r="E51" s="75" t="str"/>
    </x:row>
    <x:row r="52">
      <x:c r="A52" s="95" t="n">
        <x:v>46115</x:v>
      </x:c>
      <x:c r="B52" s="70" t="str">
        <x:v>PRJ-017</x:v>
      </x:c>
      <x:c r="C52" s="70" t="str">
        <x:v>매출항목5</x:v>
      </x:c>
      <x:c r="D52" s="101" t="n">
        <x:v>1660000</x:v>
      </x:c>
      <x:c r="E52" s="75" t="str"/>
    </x:row>
    <x:row r="53">
      <x:c r="A53" s="95" t="n">
        <x:v>46117</x:v>
      </x:c>
      <x:c r="B53" s="70" t="str">
        <x:v>PRJ-018</x:v>
      </x:c>
      <x:c r="C53" s="70" t="str">
        <x:v>매출항목6</x:v>
      </x:c>
      <x:c r="D53" s="101" t="n">
        <x:v>700000</x:v>
      </x:c>
      <x:c r="E53" s="75" t="str"/>
    </x:row>
    <x:row r="54">
      <x:c r="A54" s="95" t="n">
        <x:v>46119</x:v>
      </x:c>
      <x:c r="B54" s="70" t="str">
        <x:v>PRJ-019</x:v>
      </x:c>
      <x:c r="C54" s="70" t="str">
        <x:v>매출항목1</x:v>
      </x:c>
      <x:c r="D54" s="101" t="n">
        <x:v>1680000</x:v>
      </x:c>
      <x:c r="E54" s="75" t="str"/>
    </x:row>
    <x:row r="55">
      <x:c r="A55" s="95" t="n">
        <x:v>46121</x:v>
      </x:c>
      <x:c r="B55" s="70" t="str">
        <x:v>PRJ-020</x:v>
      </x:c>
      <x:c r="C55" s="70" t="str">
        <x:v>매출항목2</x:v>
      </x:c>
      <x:c r="D55" s="101" t="n">
        <x:v>1730000</x:v>
      </x:c>
      <x:c r="E55" s="75" t="str"/>
    </x:row>
    <x:row r="56">
      <x:c r="A56" s="95" t="n">
        <x:v>46123</x:v>
      </x:c>
      <x:c r="B56" s="70" t="str">
        <x:v>PRJ-021</x:v>
      </x:c>
      <x:c r="C56" s="70" t="str">
        <x:v>매출항목3</x:v>
      </x:c>
      <x:c r="D56" s="101" t="n">
        <x:v>1480000</x:v>
      </x:c>
      <x:c r="E56" s="75" t="str"/>
    </x:row>
    <x:row r="57">
      <x:c r="A57" s="95" t="n">
        <x:v>46125</x:v>
      </x:c>
      <x:c r="B57" s="70" t="str">
        <x:v>PRJ-022</x:v>
      </x:c>
      <x:c r="C57" s="70" t="str">
        <x:v>매출항목4</x:v>
      </x:c>
      <x:c r="D57" s="101" t="n">
        <x:v>2060000</x:v>
      </x:c>
      <x:c r="E57" s="75" t="str"/>
    </x:row>
    <x:row r="58">
      <x:c r="A58" s="95" t="n">
        <x:v>46127</x:v>
      </x:c>
      <x:c r="B58" s="70" t="str">
        <x:v>PRJ-023</x:v>
      </x:c>
      <x:c r="C58" s="70" t="str">
        <x:v>매출항목5</x:v>
      </x:c>
      <x:c r="D58" s="101" t="n">
        <x:v>1780000</x:v>
      </x:c>
      <x:c r="E58" s="75" t="str"/>
    </x:row>
    <x:row r="59">
      <x:c r="A59" s="95" t="n">
        <x:v>46129</x:v>
      </x:c>
      <x:c r="B59" s="70" t="str">
        <x:v>PRJ-024</x:v>
      </x:c>
      <x:c r="C59" s="70" t="str">
        <x:v>매출항목6</x:v>
      </x:c>
      <x:c r="D59" s="101" t="n">
        <x:v>950000</x:v>
      </x:c>
      <x:c r="E59" s="75" t="str"/>
    </x:row>
    <x:row r="60">
      <x:c r="A60" s="95" t="n">
        <x:v>46131</x:v>
      </x:c>
      <x:c r="B60" s="70" t="str">
        <x:v>PRJ-025</x:v>
      </x:c>
      <x:c r="C60" s="70" t="str">
        <x:v>매출항목1</x:v>
      </x:c>
      <x:c r="D60" s="101" t="n">
        <x:v>520000</x:v>
      </x:c>
      <x:c r="E60" s="75" t="str"/>
    </x:row>
    <x:row r="61">
      <x:c r="A61" s="95" t="n">
        <x:v>46133</x:v>
      </x:c>
      <x:c r="B61" s="70" t="str">
        <x:v>PRJ-026</x:v>
      </x:c>
      <x:c r="C61" s="70" t="str">
        <x:v>매출항목2</x:v>
      </x:c>
      <x:c r="D61" s="101" t="n">
        <x:v>1660000</x:v>
      </x:c>
      <x:c r="E61" s="75" t="str"/>
    </x:row>
    <x:row r="62">
      <x:c r="A62" s="95" t="n">
        <x:v>46135</x:v>
      </x:c>
      <x:c r="B62" s="70" t="str">
        <x:v>PRJ-027</x:v>
      </x:c>
      <x:c r="C62" s="70" t="str">
        <x:v>매출항목3</x:v>
      </x:c>
      <x:c r="D62" s="101" t="n">
        <x:v>2100000</x:v>
      </x:c>
      <x:c r="E62" s="75" t="str"/>
    </x:row>
    <x:row r="63">
      <x:c r="A63" s="95" t="n">
        <x:v>46137</x:v>
      </x:c>
      <x:c r="B63" s="70" t="str">
        <x:v>PRJ-028</x:v>
      </x:c>
      <x:c r="C63" s="70" t="str">
        <x:v>매출항목4</x:v>
      </x:c>
      <x:c r="D63" s="101" t="n">
        <x:v>2200000</x:v>
      </x:c>
      <x:c r="E63" s="75" t="str"/>
    </x:row>
    <x:row r="64">
      <x:c r="A64" s="95" t="n">
        <x:v>46139</x:v>
      </x:c>
      <x:c r="B64" s="70" t="str">
        <x:v>PRJ-029</x:v>
      </x:c>
      <x:c r="C64" s="70" t="str">
        <x:v>매출항목5</x:v>
      </x:c>
      <x:c r="D64" s="101" t="n">
        <x:v>1360000</x:v>
      </x:c>
      <x:c r="E64" s="75" t="str"/>
    </x:row>
    <x:row r="65">
      <x:c r="A65" s="95" t="n">
        <x:v>46141</x:v>
      </x:c>
      <x:c r="B65" s="70" t="str">
        <x:v>PRJ-030</x:v>
      </x:c>
      <x:c r="C65" s="70" t="str">
        <x:v>매출항목6</x:v>
      </x:c>
      <x:c r="D65" s="101" t="n">
        <x:v>1270000</x:v>
      </x:c>
      <x:c r="E65" s="75" t="str"/>
    </x:row>
    <x:row r="66">
      <x:c r="A66" s="95" t="n">
        <x:v>46143</x:v>
      </x:c>
      <x:c r="B66" s="70" t="str">
        <x:v>PRJ-001</x:v>
      </x:c>
      <x:c r="C66" s="70" t="str">
        <x:v>매출항목1</x:v>
      </x:c>
      <x:c r="D66" s="101" t="n">
        <x:v>2030000</x:v>
      </x:c>
      <x:c r="E66" s="75" t="str"/>
    </x:row>
    <x:row r="67">
      <x:c r="A67" s="95" t="n">
        <x:v>46145</x:v>
      </x:c>
      <x:c r="B67" s="70" t="str">
        <x:v>PRJ-002</x:v>
      </x:c>
      <x:c r="C67" s="70" t="str">
        <x:v>매출항목2</x:v>
      </x:c>
      <x:c r="D67" s="101" t="n">
        <x:v>1240000</x:v>
      </x:c>
      <x:c r="E67" s="75" t="str"/>
    </x:row>
    <x:row r="68">
      <x:c r="A68" s="95" t="n">
        <x:v>46147</x:v>
      </x:c>
      <x:c r="B68" s="70" t="str">
        <x:v>PRJ-003</x:v>
      </x:c>
      <x:c r="C68" s="70" t="str">
        <x:v>매출항목3</x:v>
      </x:c>
      <x:c r="D68" s="101" t="n">
        <x:v>510000</x:v>
      </x:c>
      <x:c r="E68" s="75" t="str"/>
    </x:row>
    <x:row r="69">
      <x:c r="A69" s="95" t="n">
        <x:v>46149</x:v>
      </x:c>
      <x:c r="B69" s="70" t="str">
        <x:v>PRJ-004</x:v>
      </x:c>
      <x:c r="C69" s="70" t="str">
        <x:v>매출항목4</x:v>
      </x:c>
      <x:c r="D69" s="101" t="n">
        <x:v>1380000</x:v>
      </x:c>
      <x:c r="E69" s="75" t="str"/>
    </x:row>
    <x:row r="70">
      <x:c r="A70" s="95" t="n">
        <x:v>46151</x:v>
      </x:c>
      <x:c r="B70" s="70" t="str">
        <x:v>PRJ-005</x:v>
      </x:c>
      <x:c r="C70" s="70" t="str">
        <x:v>매출항목5</x:v>
      </x:c>
      <x:c r="D70" s="101" t="n">
        <x:v>1840000</x:v>
      </x:c>
      <x:c r="E70" s="75" t="str"/>
    </x:row>
    <x:row r="71">
      <x:c r="A71" s="95" t="n">
        <x:v>46153</x:v>
      </x:c>
      <x:c r="B71" s="70" t="str">
        <x:v>PRJ-006</x:v>
      </x:c>
      <x:c r="C71" s="70" t="str">
        <x:v>매출항목6</x:v>
      </x:c>
      <x:c r="D71" s="101" t="n">
        <x:v>1220000</x:v>
      </x:c>
      <x:c r="E71" s="75" t="str"/>
    </x:row>
    <x:row r="72">
      <x:c r="A72" s="95" t="n">
        <x:v>46155</x:v>
      </x:c>
      <x:c r="B72" s="70" t="str">
        <x:v>PRJ-007</x:v>
      </x:c>
      <x:c r="C72" s="70" t="str">
        <x:v>매출항목1</x:v>
      </x:c>
      <x:c r="D72" s="101" t="n">
        <x:v>1680000</x:v>
      </x:c>
      <x:c r="E72" s="75" t="str"/>
    </x:row>
    <x:row r="73">
      <x:c r="A73" s="95" t="n">
        <x:v>46157</x:v>
      </x:c>
      <x:c r="B73" s="70" t="str">
        <x:v>PRJ-008</x:v>
      </x:c>
      <x:c r="C73" s="70" t="str">
        <x:v>매출항목2</x:v>
      </x:c>
      <x:c r="D73" s="101" t="n">
        <x:v>1530000</x:v>
      </x:c>
      <x:c r="E73" s="75" t="str"/>
    </x:row>
    <x:row r="74">
      <x:c r="A74" s="95" t="n">
        <x:v>46159</x:v>
      </x:c>
      <x:c r="B74" s="70" t="str">
        <x:v>PRJ-009</x:v>
      </x:c>
      <x:c r="C74" s="70" t="str">
        <x:v>매출항목3</x:v>
      </x:c>
      <x:c r="D74" s="101" t="n">
        <x:v>640000</x:v>
      </x:c>
      <x:c r="E74" s="75" t="str"/>
    </x:row>
    <x:row r="75">
      <x:c r="A75" s="95" t="n">
        <x:v>46161</x:v>
      </x:c>
      <x:c r="B75" s="70" t="str">
        <x:v>PRJ-010</x:v>
      </x:c>
      <x:c r="C75" s="70" t="str">
        <x:v>매출항목4</x:v>
      </x:c>
      <x:c r="D75" s="101" t="n">
        <x:v>1560000</x:v>
      </x:c>
      <x:c r="E75" s="75" t="str"/>
    </x:row>
    <x:row r="76">
      <x:c r="A76" s="95" t="n">
        <x:v>46163</x:v>
      </x:c>
      <x:c r="B76" s="70" t="str">
        <x:v>PRJ-011</x:v>
      </x:c>
      <x:c r="C76" s="70" t="str">
        <x:v>매출항목5</x:v>
      </x:c>
      <x:c r="D76" s="101" t="n">
        <x:v>1270000</x:v>
      </x:c>
      <x:c r="E76" s="75" t="str"/>
    </x:row>
    <x:row r="77">
      <x:c r="A77" s="95" t="n">
        <x:v>46165</x:v>
      </x:c>
      <x:c r="B77" s="70" t="str">
        <x:v>PRJ-012</x:v>
      </x:c>
      <x:c r="C77" s="70" t="str">
        <x:v>매출항목6</x:v>
      </x:c>
      <x:c r="D77" s="101" t="n">
        <x:v>820000</x:v>
      </x:c>
      <x:c r="E77" s="75" t="str"/>
    </x:row>
    <x:row r="78">
      <x:c r="A78" s="95" t="n">
        <x:v>46167</x:v>
      </x:c>
      <x:c r="B78" s="70" t="str">
        <x:v>PRJ-013</x:v>
      </x:c>
      <x:c r="C78" s="70" t="str">
        <x:v>매출항목1</x:v>
      </x:c>
      <x:c r="D78" s="101" t="n">
        <x:v>900000</x:v>
      </x:c>
      <x:c r="E78" s="75" t="str"/>
    </x:row>
    <x:row r="79">
      <x:c r="A79" s="95" t="n">
        <x:v>46169</x:v>
      </x:c>
      <x:c r="B79" s="70" t="str">
        <x:v>PRJ-014</x:v>
      </x:c>
      <x:c r="C79" s="70" t="str">
        <x:v>매출항목2</x:v>
      </x:c>
      <x:c r="D79" s="101" t="n">
        <x:v>1310000</x:v>
      </x:c>
      <x:c r="E79" s="75" t="str"/>
    </x:row>
    <x:row r="80">
      <x:c r="A80" s="95" t="n">
        <x:v>46171</x:v>
      </x:c>
      <x:c r="B80" s="70" t="str">
        <x:v>PRJ-015</x:v>
      </x:c>
      <x:c r="C80" s="70" t="str">
        <x:v>매출항목3</x:v>
      </x:c>
      <x:c r="D80" s="101" t="n">
        <x:v>1870000</x:v>
      </x:c>
      <x:c r="E80" s="75" t="str"/>
    </x:row>
    <x:row r="81">
      <x:c r="A81" s="95" t="n">
        <x:v>46173</x:v>
      </x:c>
      <x:c r="B81" s="70" t="str">
        <x:v>PRJ-016</x:v>
      </x:c>
      <x:c r="C81" s="70" t="str">
        <x:v>매출항목4</x:v>
      </x:c>
      <x:c r="D81" s="101" t="n">
        <x:v>1000000</x:v>
      </x:c>
      <x:c r="E81" s="75" t="str"/>
    </x:row>
    <x:row r="82">
      <x:c r="A82" s="95" t="n">
        <x:v>46175</x:v>
      </x:c>
      <x:c r="B82" s="70" t="str">
        <x:v>PRJ-017</x:v>
      </x:c>
      <x:c r="C82" s="70" t="str">
        <x:v>매출항목5</x:v>
      </x:c>
      <x:c r="D82" s="101" t="n">
        <x:v>1870000</x:v>
      </x:c>
      <x:c r="E82" s="75" t="str"/>
    </x:row>
    <x:row r="83">
      <x:c r="A83" s="95" t="n">
        <x:v>46177</x:v>
      </x:c>
      <x:c r="B83" s="70" t="str">
        <x:v>PRJ-018</x:v>
      </x:c>
      <x:c r="C83" s="70" t="str">
        <x:v>매출항목6</x:v>
      </x:c>
      <x:c r="D83" s="101" t="n">
        <x:v>1010000</x:v>
      </x:c>
      <x:c r="E83" s="75" t="str"/>
    </x:row>
    <x:row r="84">
      <x:c r="A84" s="95" t="n">
        <x:v>46179</x:v>
      </x:c>
      <x:c r="B84" s="70" t="str">
        <x:v>PRJ-019</x:v>
      </x:c>
      <x:c r="C84" s="70" t="str">
        <x:v>매출항목1</x:v>
      </x:c>
      <x:c r="D84" s="101" t="n">
        <x:v>1870000</x:v>
      </x:c>
      <x:c r="E84" s="75" t="str"/>
    </x:row>
    <x:row r="85">
      <x:c r="A85" s="95" t="n">
        <x:v>46181</x:v>
      </x:c>
      <x:c r="B85" s="70" t="str">
        <x:v>PRJ-020</x:v>
      </x:c>
      <x:c r="C85" s="70" t="str">
        <x:v>매출항목2</x:v>
      </x:c>
      <x:c r="D85" s="101" t="n">
        <x:v>1610000</x:v>
      </x:c>
      <x:c r="E85" s="75" t="str"/>
    </x:row>
    <x:row r="86">
      <x:c r="A86" s="95" t="n">
        <x:v>46183</x:v>
      </x:c>
      <x:c r="B86" s="70" t="str">
        <x:v>PRJ-021</x:v>
      </x:c>
      <x:c r="C86" s="70" t="str">
        <x:v>매출항목3</x:v>
      </x:c>
      <x:c r="D86" s="101" t="n">
        <x:v>1620000</x:v>
      </x:c>
      <x:c r="E86" s="75" t="str"/>
    </x:row>
    <x:row r="87">
      <x:c r="A87" s="95" t="n">
        <x:v>46185</x:v>
      </x:c>
      <x:c r="B87" s="70" t="str">
        <x:v>PRJ-022</x:v>
      </x:c>
      <x:c r="C87" s="70" t="str">
        <x:v>매출항목4</x:v>
      </x:c>
      <x:c r="D87" s="101" t="n">
        <x:v>2120000</x:v>
      </x:c>
      <x:c r="E87" s="75" t="str"/>
    </x:row>
    <x:row r="88">
      <x:c r="A88" s="95" t="n">
        <x:v>46187</x:v>
      </x:c>
      <x:c r="B88" s="70" t="str">
        <x:v>PRJ-023</x:v>
      </x:c>
      <x:c r="C88" s="70" t="str">
        <x:v>매출항목5</x:v>
      </x:c>
      <x:c r="D88" s="101" t="n">
        <x:v>2240000</x:v>
      </x:c>
      <x:c r="E88" s="75" t="str"/>
    </x:row>
    <x:row r="89">
      <x:c r="A89" s="95" t="n">
        <x:v>46189</x:v>
      </x:c>
      <x:c r="B89" s="70" t="str">
        <x:v>PRJ-024</x:v>
      </x:c>
      <x:c r="C89" s="70" t="str">
        <x:v>매출항목6</x:v>
      </x:c>
      <x:c r="D89" s="101" t="n">
        <x:v>760000</x:v>
      </x:c>
      <x:c r="E89" s="75" t="str"/>
    </x:row>
    <x:row r="90">
      <x:c r="A90" s="95" t="n">
        <x:v>46191</x:v>
      </x:c>
      <x:c r="B90" s="70" t="str">
        <x:v>PRJ-025</x:v>
      </x:c>
      <x:c r="C90" s="70" t="str">
        <x:v>매출항목1</x:v>
      </x:c>
      <x:c r="D90" s="101" t="n">
        <x:v>2500000</x:v>
      </x:c>
      <x:c r="E90" s="75" t="str"/>
    </x:row>
    <x:row r="91">
      <x:c r="A91" s="95" t="n">
        <x:v>46193</x:v>
      </x:c>
      <x:c r="B91" s="70" t="str">
        <x:v>PRJ-026</x:v>
      </x:c>
      <x:c r="C91" s="70" t="str">
        <x:v>매출항목2</x:v>
      </x:c>
      <x:c r="D91" s="101" t="n">
        <x:v>2020000</x:v>
      </x:c>
      <x:c r="E91" s="75" t="str"/>
    </x:row>
    <x:row r="92">
      <x:c r="A92" s="95" t="n">
        <x:v>46195</x:v>
      </x:c>
      <x:c r="B92" s="70" t="str">
        <x:v>PRJ-027</x:v>
      </x:c>
      <x:c r="C92" s="70" t="str">
        <x:v>매출항목3</x:v>
      </x:c>
      <x:c r="D92" s="101" t="n">
        <x:v>2440000</x:v>
      </x:c>
      <x:c r="E92" s="75" t="str"/>
    </x:row>
    <x:row r="93">
      <x:c r="A93" s="95" t="n">
        <x:v>46197</x:v>
      </x:c>
      <x:c r="B93" s="70" t="str">
        <x:v>PRJ-028</x:v>
      </x:c>
      <x:c r="C93" s="70" t="str">
        <x:v>매출항목4</x:v>
      </x:c>
      <x:c r="D93" s="101" t="n">
        <x:v>2180000</x:v>
      </x:c>
      <x:c r="E93" s="75" t="str"/>
    </x:row>
    <x:row r="94">
      <x:c r="A94" s="95" t="n">
        <x:v>46199</x:v>
      </x:c>
      <x:c r="B94" s="70" t="str">
        <x:v>PRJ-029</x:v>
      </x:c>
      <x:c r="C94" s="70" t="str">
        <x:v>매출항목5</x:v>
      </x:c>
      <x:c r="D94" s="101" t="n">
        <x:v>510000</x:v>
      </x:c>
      <x:c r="E94" s="75" t="str"/>
    </x:row>
    <x:row r="95">
      <x:c r="A95" s="95" t="n">
        <x:v>46201</x:v>
      </x:c>
      <x:c r="B95" s="70" t="str">
        <x:v>PRJ-030</x:v>
      </x:c>
      <x:c r="C95" s="70" t="str">
        <x:v>매출항목6</x:v>
      </x:c>
      <x:c r="D95" s="101" t="n">
        <x:v>600000</x:v>
      </x:c>
      <x:c r="E95" s="75" t="str"/>
    </x:row>
    <x:row r="96">
      <x:c r="A96" s="95" t="n">
        <x:v>46203</x:v>
      </x:c>
      <x:c r="B96" s="70" t="str">
        <x:v>PRJ-001</x:v>
      </x:c>
      <x:c r="C96" s="70" t="str">
        <x:v>매출항목1</x:v>
      </x:c>
      <x:c r="D96" s="101" t="n">
        <x:v>1700000</x:v>
      </x:c>
      <x:c r="E96" s="75" t="str"/>
    </x:row>
    <x:row r="97">
      <x:c r="A97" s="95" t="n">
        <x:v>46205</x:v>
      </x:c>
      <x:c r="B97" s="70" t="str">
        <x:v>PRJ-002</x:v>
      </x:c>
      <x:c r="C97" s="70" t="str">
        <x:v>매출항목2</x:v>
      </x:c>
      <x:c r="D97" s="101" t="n">
        <x:v>2110000</x:v>
      </x:c>
      <x:c r="E97" s="75" t="str"/>
    </x:row>
    <x:row r="98">
      <x:c r="A98" s="95" t="n">
        <x:v>46207</x:v>
      </x:c>
      <x:c r="B98" s="70" t="str">
        <x:v>PRJ-003</x:v>
      </x:c>
      <x:c r="C98" s="70" t="str">
        <x:v>매출항목3</x:v>
      </x:c>
      <x:c r="D98" s="101" t="n">
        <x:v>1220000</x:v>
      </x:c>
      <x:c r="E98" s="75" t="str"/>
    </x:row>
    <x:row r="99">
      <x:c r="A99" s="95" t="n">
        <x:v>46209</x:v>
      </x:c>
      <x:c r="B99" s="70" t="str">
        <x:v>PRJ-004</x:v>
      </x:c>
      <x:c r="C99" s="70" t="str">
        <x:v>매출항목4</x:v>
      </x:c>
      <x:c r="D99" s="101" t="n">
        <x:v>590000</x:v>
      </x:c>
      <x:c r="E99" s="75" t="str"/>
    </x:row>
    <x:row r="100">
      <x:c r="A100" s="95" t="n">
        <x:v>46211</x:v>
      </x:c>
      <x:c r="B100" s="70" t="str">
        <x:v>PRJ-005</x:v>
      </x:c>
      <x:c r="C100" s="70" t="str">
        <x:v>매출항목5</x:v>
      </x:c>
      <x:c r="D100" s="101" t="n">
        <x:v>1870000</x:v>
      </x:c>
      <x:c r="E100" s="75" t="str"/>
    </x:row>
    <x:row r="101">
      <x:c r="A101" s="95" t="n">
        <x:v>46213</x:v>
      </x:c>
      <x:c r="B101" s="70" t="str">
        <x:v>PRJ-006</x:v>
      </x:c>
      <x:c r="C101" s="70" t="str">
        <x:v>매출항목6</x:v>
      </x:c>
      <x:c r="D101" s="101" t="n">
        <x:v>1080000</x:v>
      </x:c>
      <x:c r="E101" s="75" t="str"/>
    </x:row>
    <x:row r="102">
      <x:c r="A102" s="95" t="n">
        <x:v>46215</x:v>
      </x:c>
      <x:c r="B102" s="70" t="str">
        <x:v>PRJ-007</x:v>
      </x:c>
      <x:c r="C102" s="70" t="str">
        <x:v>매출항목1</x:v>
      </x:c>
      <x:c r="D102" s="101" t="n">
        <x:v>2210000</x:v>
      </x:c>
      <x:c r="E102" s="75" t="str"/>
    </x:row>
    <x:row r="103">
      <x:c r="A103" s="95" t="n">
        <x:v>46217</x:v>
      </x:c>
      <x:c r="B103" s="70" t="str">
        <x:v>PRJ-008</x:v>
      </x:c>
      <x:c r="C103" s="70" t="str">
        <x:v>매출항목2</x:v>
      </x:c>
      <x:c r="D103" s="101" t="n">
        <x:v>600000</x:v>
      </x:c>
      <x:c r="E103" s="75" t="str"/>
    </x:row>
    <x:row r="104">
      <x:c r="A104" s="95" t="n">
        <x:v>46219</x:v>
      </x:c>
      <x:c r="B104" s="70" t="str">
        <x:v>PRJ-009</x:v>
      </x:c>
      <x:c r="C104" s="70" t="str">
        <x:v>매출항목3</x:v>
      </x:c>
      <x:c r="D104" s="101" t="n">
        <x:v>2320000</x:v>
      </x:c>
      <x:c r="E104" s="75" t="str"/>
    </x:row>
    <x:row r="105">
      <x:c r="A105" s="95" t="n">
        <x:v>46221</x:v>
      </x:c>
      <x:c r="B105" s="70" t="str">
        <x:v>PRJ-010</x:v>
      </x:c>
      <x:c r="C105" s="70" t="str">
        <x:v>매출항목4</x:v>
      </x:c>
      <x:c r="D105" s="101" t="n">
        <x:v>2390000</x:v>
      </x:c>
      <x:c r="E105" s="75" t="str"/>
    </x:row>
    <x:row r="106">
      <x:c r="A106" s="95" t="n">
        <x:v>46223</x:v>
      </x:c>
      <x:c r="B106" s="70" t="str">
        <x:v>PRJ-011</x:v>
      </x:c>
      <x:c r="C106" s="70" t="str">
        <x:v>매출항목5</x:v>
      </x:c>
      <x:c r="D106" s="101" t="n">
        <x:v>1300000</x:v>
      </x:c>
      <x:c r="E106" s="75" t="str"/>
    </x:row>
    <x:row r="107">
      <x:c r="A107" s="95" t="n">
        <x:v>46225</x:v>
      </x:c>
      <x:c r="B107" s="70" t="str">
        <x:v>PRJ-012</x:v>
      </x:c>
      <x:c r="C107" s="70" t="str">
        <x:v>매출항목6</x:v>
      </x:c>
      <x:c r="D107" s="101" t="n">
        <x:v>2020000</x:v>
      </x:c>
      <x:c r="E107" s="75" t="str"/>
    </x:row>
    <x:row r="108">
      <x:c r="A108" s="95" t="n">
        <x:v>46227</x:v>
      </x:c>
      <x:c r="B108" s="70" t="str">
        <x:v>PRJ-013</x:v>
      </x:c>
      <x:c r="C108" s="70" t="str">
        <x:v>매출항목1</x:v>
      </x:c>
      <x:c r="D108" s="101" t="n">
        <x:v>740000</x:v>
      </x:c>
      <x:c r="E108" s="75" t="str"/>
    </x:row>
    <x:row r="109">
      <x:c r="A109" s="95" t="n">
        <x:v>46229</x:v>
      </x:c>
      <x:c r="B109" s="70" t="str">
        <x:v>PRJ-014</x:v>
      </x:c>
      <x:c r="C109" s="70" t="str">
        <x:v>매출항목2</x:v>
      </x:c>
      <x:c r="D109" s="101" t="n">
        <x:v>1240000</x:v>
      </x:c>
      <x:c r="E109" s="75" t="str"/>
    </x:row>
    <x:row r="110">
      <x:c r="A110" s="95" t="n">
        <x:v>46231</x:v>
      </x:c>
      <x:c r="B110" s="70" t="str">
        <x:v>PRJ-015</x:v>
      </x:c>
      <x:c r="C110" s="70" t="str">
        <x:v>매출항목3</x:v>
      </x:c>
      <x:c r="D110" s="101" t="n">
        <x:v>1310000</x:v>
      </x:c>
      <x:c r="E110" s="75" t="str"/>
    </x:row>
    <x:row r="111">
      <x:c r="A111" s="95" t="n">
        <x:v>46233</x:v>
      </x:c>
      <x:c r="B111" s="70" t="str">
        <x:v>PRJ-016</x:v>
      </x:c>
      <x:c r="C111" s="70" t="str">
        <x:v>매출항목4</x:v>
      </x:c>
      <x:c r="D111" s="101" t="n">
        <x:v>1070000</x:v>
      </x:c>
      <x:c r="E111" s="75" t="str"/>
    </x:row>
    <x:row r="112">
      <x:c r="A112" s="95" t="n">
        <x:v>46235</x:v>
      </x:c>
      <x:c r="B112" s="70" t="str">
        <x:v>PRJ-017</x:v>
      </x:c>
      <x:c r="C112" s="70" t="str">
        <x:v>매출항목5</x:v>
      </x:c>
      <x:c r="D112" s="101" t="n">
        <x:v>1040000</x:v>
      </x:c>
      <x:c r="E112" s="75" t="str"/>
    </x:row>
    <x:row r="113">
      <x:c r="A113" s="95" t="n">
        <x:v>46237</x:v>
      </x:c>
      <x:c r="B113" s="70" t="str">
        <x:v>PRJ-018</x:v>
      </x:c>
      <x:c r="C113" s="70" t="str">
        <x:v>매출항목6</x:v>
      </x:c>
      <x:c r="D113" s="101" t="n">
        <x:v>1430000</x:v>
      </x:c>
      <x:c r="E113" s="75" t="str"/>
    </x:row>
    <x:row r="114">
      <x:c r="A114" s="95" t="n">
        <x:v>46239</x:v>
      </x:c>
      <x:c r="B114" s="70" t="str">
        <x:v>PRJ-019</x:v>
      </x:c>
      <x:c r="C114" s="70" t="str">
        <x:v>매출항목1</x:v>
      </x:c>
      <x:c r="D114" s="101" t="n">
        <x:v>960000</x:v>
      </x:c>
      <x:c r="E114" s="75" t="str"/>
    </x:row>
    <x:row r="115">
      <x:c r="A115" s="95" t="n">
        <x:v>46241</x:v>
      </x:c>
      <x:c r="B115" s="70" t="str">
        <x:v>PRJ-020</x:v>
      </x:c>
      <x:c r="C115" s="70" t="str">
        <x:v>매출항목2</x:v>
      </x:c>
      <x:c r="D115" s="101" t="n">
        <x:v>1960000</x:v>
      </x:c>
      <x:c r="E115" s="75" t="str"/>
    </x:row>
    <x:row r="116">
      <x:c r="A116" s="95" t="n">
        <x:v>46243</x:v>
      </x:c>
      <x:c r="B116" s="70" t="str">
        <x:v>PRJ-021</x:v>
      </x:c>
      <x:c r="C116" s="70" t="str">
        <x:v>매출항목3</x:v>
      </x:c>
      <x:c r="D116" s="101" t="n">
        <x:v>1390000</x:v>
      </x:c>
      <x:c r="E116" s="75" t="str"/>
    </x:row>
    <x:row r="117">
      <x:c r="A117" s="95" t="n">
        <x:v>46245</x:v>
      </x:c>
      <x:c r="B117" s="70" t="str">
        <x:v>PRJ-022</x:v>
      </x:c>
      <x:c r="C117" s="70" t="str">
        <x:v>매출항목4</x:v>
      </x:c>
      <x:c r="D117" s="101" t="n">
        <x:v>1410000</x:v>
      </x:c>
      <x:c r="E117" s="75" t="str"/>
    </x:row>
    <x:row r="118">
      <x:c r="A118" s="95" t="n">
        <x:v>46247</x:v>
      </x:c>
      <x:c r="B118" s="70" t="str">
        <x:v>PRJ-023</x:v>
      </x:c>
      <x:c r="C118" s="70" t="str">
        <x:v>매출항목5</x:v>
      </x:c>
      <x:c r="D118" s="101" t="n">
        <x:v>1310000</x:v>
      </x:c>
      <x:c r="E118" s="75" t="str"/>
    </x:row>
    <x:row r="119">
      <x:c r="A119" s="95" t="n">
        <x:v>46249</x:v>
      </x:c>
      <x:c r="B119" s="70" t="str">
        <x:v>PRJ-024</x:v>
      </x:c>
      <x:c r="C119" s="70" t="str">
        <x:v>매출항목6</x:v>
      </x:c>
      <x:c r="D119" s="101" t="n">
        <x:v>2030000</x:v>
      </x:c>
      <x:c r="E119" s="75" t="str"/>
    </x:row>
    <x:row r="120">
      <x:c r="A120" s="95" t="n">
        <x:v>46251</x:v>
      </x:c>
      <x:c r="B120" s="70" t="str">
        <x:v>PRJ-025</x:v>
      </x:c>
      <x:c r="C120" s="70" t="str">
        <x:v>매출항목1</x:v>
      </x:c>
      <x:c r="D120" s="101" t="n">
        <x:v>1990000</x:v>
      </x:c>
      <x:c r="E120" s="75" t="str"/>
    </x:row>
    <x:row r="121">
      <x:c r="A121" s="95" t="n">
        <x:v>46253</x:v>
      </x:c>
      <x:c r="B121" s="70" t="str">
        <x:v>PRJ-026</x:v>
      </x:c>
      <x:c r="C121" s="70" t="str">
        <x:v>매출항목2</x:v>
      </x:c>
      <x:c r="D121" s="101" t="n">
        <x:v>1760000</x:v>
      </x:c>
      <x:c r="E121" s="75" t="str"/>
    </x:row>
    <x:row r="122">
      <x:c r="A122" s="95" t="n">
        <x:v>46255</x:v>
      </x:c>
      <x:c r="B122" s="70" t="str">
        <x:v>PRJ-027</x:v>
      </x:c>
      <x:c r="C122" s="70" t="str">
        <x:v>매출항목3</x:v>
      </x:c>
      <x:c r="D122" s="101" t="n">
        <x:v>1020000</x:v>
      </x:c>
      <x:c r="E122" s="75" t="str"/>
    </x:row>
    <x:row r="123">
      <x:c r="A123" s="95" t="n">
        <x:v>46257</x:v>
      </x:c>
      <x:c r="B123" s="70" t="str">
        <x:v>PRJ-028</x:v>
      </x:c>
      <x:c r="C123" s="70" t="str">
        <x:v>매출항목4</x:v>
      </x:c>
      <x:c r="D123" s="101" t="n">
        <x:v>1010000</x:v>
      </x:c>
      <x:c r="E123" s="75" t="str"/>
    </x:row>
    <x:row r="124">
      <x:c r="A124" s="95" t="n">
        <x:v>46259</x:v>
      </x:c>
      <x:c r="B124" s="70" t="str">
        <x:v>PRJ-029</x:v>
      </x:c>
      <x:c r="C124" s="70" t="str">
        <x:v>매출항목5</x:v>
      </x:c>
      <x:c r="D124" s="101" t="n">
        <x:v>590000</x:v>
      </x:c>
      <x:c r="E124" s="75" t="str"/>
    </x:row>
    <x:row r="125">
      <x:c r="A125" s="96" t="n">
        <x:v>46261</x:v>
      </x:c>
      <x:c r="B125" s="77" t="str">
        <x:v>PRJ-030</x:v>
      </x:c>
      <x:c r="C125" s="77" t="str">
        <x:v>매출항목6</x:v>
      </x:c>
      <x:c r="D125" s="102" t="n">
        <x:v>1250000</x:v>
      </x:c>
      <x:c r="E125" s="78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</x:cols>
  <x:sheetData>
    <x:row r="1" ht="30" customHeight="1">
      <x:c r="A1" s="5" t="str">
        <x:v>프로젝트 비용</x:v>
      </x:c>
      <x:c r="B1" s="5"/>
      <x:c r="C1" s="5"/>
      <x:c r="D1" s="5"/>
      <x:c r="E1" s="5"/>
    </x:row>
    <x:row r="2" ht="24" customHeight="1">
      <x:c r="A2" s="12" t="str">
        <x:v>합성 프로젝트별 비용 내역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5" t="str">
        <x:v>프로젝트코드</x:v>
      </x:c>
      <x:c r="C5" s="65" t="str">
        <x:v>항목</x:v>
      </x:c>
      <x:c r="D5" s="65" t="str">
        <x:v>금액</x:v>
      </x:c>
      <x:c r="E5" s="31" t="str">
        <x:v>비고</x:v>
      </x:c>
    </x:row>
    <x:row r="6">
      <x:c r="A6" s="94" t="n">
        <x:v>46023</x:v>
      </x:c>
      <x:c r="B6" s="72" t="str">
        <x:v>PRJ-001</x:v>
      </x:c>
      <x:c r="C6" s="72" t="str">
        <x:v>비용항목1</x:v>
      </x:c>
      <x:c r="D6" s="100" t="n">
        <x:v>871000</x:v>
      </x:c>
      <x:c r="E6" s="73" t="str"/>
    </x:row>
    <x:row r="7">
      <x:c r="A7" s="95" t="n">
        <x:v>46025</x:v>
      </x:c>
      <x:c r="B7" s="70" t="str">
        <x:v>PRJ-002</x:v>
      </x:c>
      <x:c r="C7" s="70" t="str">
        <x:v>비용항목2</x:v>
      </x:c>
      <x:c r="D7" s="101" t="n">
        <x:v>1176500</x:v>
      </x:c>
      <x:c r="E7" s="75" t="str"/>
    </x:row>
    <x:row r="8">
      <x:c r="A8" s="95" t="n">
        <x:v>46027</x:v>
      </x:c>
      <x:c r="B8" s="70" t="str">
        <x:v>PRJ-003</x:v>
      </x:c>
      <x:c r="C8" s="70" t="str">
        <x:v>비용항목3</x:v>
      </x:c>
      <x:c r="D8" s="101" t="n">
        <x:v>897000</x:v>
      </x:c>
      <x:c r="E8" s="75" t="str"/>
    </x:row>
    <x:row r="9">
      <x:c r="A9" s="95" t="n">
        <x:v>46029</x:v>
      </x:c>
      <x:c r="B9" s="70" t="str">
        <x:v>PRJ-004</x:v>
      </x:c>
      <x:c r="C9" s="70" t="str">
        <x:v>비용항목4</x:v>
      </x:c>
      <x:c r="D9" s="101" t="n">
        <x:v>1339000</x:v>
      </x:c>
      <x:c r="E9" s="75" t="str"/>
    </x:row>
    <x:row r="10">
      <x:c r="A10" s="95" t="n">
        <x:v>46031</x:v>
      </x:c>
      <x:c r="B10" s="70" t="str">
        <x:v>PRJ-005</x:v>
      </x:c>
      <x:c r="C10" s="70" t="str">
        <x:v>비용항목5</x:v>
      </x:c>
      <x:c r="D10" s="101" t="n">
        <x:v>461500</x:v>
      </x:c>
      <x:c r="E10" s="75" t="str"/>
    </x:row>
    <x:row r="11">
      <x:c r="A11" s="95" t="n">
        <x:v>46033</x:v>
      </x:c>
      <x:c r="B11" s="70" t="str">
        <x:v>PRJ-006</x:v>
      </x:c>
      <x:c r="C11" s="70" t="str">
        <x:v>비용항목6</x:v>
      </x:c>
      <x:c r="D11" s="101" t="n">
        <x:v>884000</x:v>
      </x:c>
      <x:c r="E11" s="75" t="str"/>
    </x:row>
    <x:row r="12">
      <x:c r="A12" s="95" t="n">
        <x:v>46035</x:v>
      </x:c>
      <x:c r="B12" s="70" t="str">
        <x:v>PRJ-007</x:v>
      </x:c>
      <x:c r="C12" s="70" t="str">
        <x:v>비용항목1</x:v>
      </x:c>
      <x:c r="D12" s="101" t="n">
        <x:v>442000</x:v>
      </x:c>
      <x:c r="E12" s="75" t="str"/>
    </x:row>
    <x:row r="13">
      <x:c r="A13" s="95" t="n">
        <x:v>46037</x:v>
      </x:c>
      <x:c r="B13" s="70" t="str">
        <x:v>PRJ-008</x:v>
      </x:c>
      <x:c r="C13" s="70" t="str">
        <x:v>비용항목2</x:v>
      </x:c>
      <x:c r="D13" s="101" t="n">
        <x:v>1612000</x:v>
      </x:c>
      <x:c r="E13" s="75" t="str"/>
    </x:row>
    <x:row r="14">
      <x:c r="A14" s="95" t="n">
        <x:v>46039</x:v>
      </x:c>
      <x:c r="B14" s="70" t="str">
        <x:v>PRJ-009</x:v>
      </x:c>
      <x:c r="C14" s="70" t="str">
        <x:v>비용항목3</x:v>
      </x:c>
      <x:c r="D14" s="101" t="n">
        <x:v>383500</x:v>
      </x:c>
      <x:c r="E14" s="75" t="str"/>
    </x:row>
    <x:row r="15">
      <x:c r="A15" s="95" t="n">
        <x:v>46041</x:v>
      </x:c>
      <x:c r="B15" s="70" t="str">
        <x:v>PRJ-010</x:v>
      </x:c>
      <x:c r="C15" s="70" t="str">
        <x:v>비용항목4</x:v>
      </x:c>
      <x:c r="D15" s="101" t="n">
        <x:v>390000</x:v>
      </x:c>
      <x:c r="E15" s="75" t="str"/>
    </x:row>
    <x:row r="16">
      <x:c r="A16" s="95" t="n">
        <x:v>46043</x:v>
      </x:c>
      <x:c r="B16" s="70" t="str">
        <x:v>PRJ-011</x:v>
      </x:c>
      <x:c r="C16" s="70" t="str">
        <x:v>비용항목5</x:v>
      </x:c>
      <x:c r="D16" s="101" t="n">
        <x:v>1345500</x:v>
      </x:c>
      <x:c r="E16" s="75" t="str"/>
    </x:row>
    <x:row r="17">
      <x:c r="A17" s="95" t="n">
        <x:v>46045</x:v>
      </x:c>
      <x:c r="B17" s="70" t="str">
        <x:v>PRJ-012</x:v>
      </x:c>
      <x:c r="C17" s="70" t="str">
        <x:v>비용항목6</x:v>
      </x:c>
      <x:c r="D17" s="101" t="n">
        <x:v>468000</x:v>
      </x:c>
      <x:c r="E17" s="75" t="str"/>
    </x:row>
    <x:row r="18">
      <x:c r="A18" s="95" t="n">
        <x:v>46047</x:v>
      </x:c>
      <x:c r="B18" s="70" t="str">
        <x:v>PRJ-013</x:v>
      </x:c>
      <x:c r="C18" s="70" t="str">
        <x:v>비용항목1</x:v>
      </x:c>
      <x:c r="D18" s="101" t="n">
        <x:v>429000</x:v>
      </x:c>
      <x:c r="E18" s="75" t="str"/>
    </x:row>
    <x:row r="19">
      <x:c r="A19" s="95" t="n">
        <x:v>46049</x:v>
      </x:c>
      <x:c r="B19" s="70" t="str">
        <x:v>PRJ-014</x:v>
      </x:c>
      <x:c r="C19" s="70" t="str">
        <x:v>비용항목2</x:v>
      </x:c>
      <x:c r="D19" s="101" t="n">
        <x:v>344500</x:v>
      </x:c>
      <x:c r="E19" s="75" t="str"/>
    </x:row>
    <x:row r="20">
      <x:c r="A20" s="95" t="n">
        <x:v>46051</x:v>
      </x:c>
      <x:c r="B20" s="70" t="str">
        <x:v>PRJ-015</x:v>
      </x:c>
      <x:c r="C20" s="70" t="str">
        <x:v>비용항목3</x:v>
      </x:c>
      <x:c r="D20" s="101" t="n">
        <x:v>1072500</x:v>
      </x:c>
      <x:c r="E20" s="75" t="str"/>
    </x:row>
    <x:row r="21">
      <x:c r="A21" s="95" t="n">
        <x:v>46053</x:v>
      </x:c>
      <x:c r="B21" s="70" t="str">
        <x:v>PRJ-016</x:v>
      </x:c>
      <x:c r="C21" s="70" t="str">
        <x:v>비용항목4</x:v>
      </x:c>
      <x:c r="D21" s="101" t="n">
        <x:v>494000</x:v>
      </x:c>
      <x:c r="E21" s="75" t="str"/>
    </x:row>
    <x:row r="22">
      <x:c r="A22" s="95" t="n">
        <x:v>46055</x:v>
      </x:c>
      <x:c r="B22" s="70" t="str">
        <x:v>PRJ-017</x:v>
      </x:c>
      <x:c r="C22" s="70" t="str">
        <x:v>비용항목5</x:v>
      </x:c>
      <x:c r="D22" s="101" t="n">
        <x:v>565500</x:v>
      </x:c>
      <x:c r="E22" s="75" t="str"/>
    </x:row>
    <x:row r="23">
      <x:c r="A23" s="95" t="n">
        <x:v>46057</x:v>
      </x:c>
      <x:c r="B23" s="70" t="str">
        <x:v>PRJ-018</x:v>
      </x:c>
      <x:c r="C23" s="70" t="str">
        <x:v>비용항목6</x:v>
      </x:c>
      <x:c r="D23" s="101" t="n">
        <x:v>572000</x:v>
      </x:c>
      <x:c r="E23" s="75" t="str"/>
    </x:row>
    <x:row r="24">
      <x:c r="A24" s="95" t="n">
        <x:v>46059</x:v>
      </x:c>
      <x:c r="B24" s="70" t="str">
        <x:v>PRJ-019</x:v>
      </x:c>
      <x:c r="C24" s="70" t="str">
        <x:v>비용항목1</x:v>
      </x:c>
      <x:c r="D24" s="101" t="n">
        <x:v>962000</x:v>
      </x:c>
      <x:c r="E24" s="75" t="str"/>
    </x:row>
    <x:row r="25">
      <x:c r="A25" s="95" t="n">
        <x:v>46061</x:v>
      </x:c>
      <x:c r="B25" s="70" t="str">
        <x:v>PRJ-020</x:v>
      </x:c>
      <x:c r="C25" s="70" t="str">
        <x:v>비용항목2</x:v>
      </x:c>
      <x:c r="D25" s="101" t="n">
        <x:v>364000</x:v>
      </x:c>
      <x:c r="E25" s="75" t="str"/>
    </x:row>
    <x:row r="26">
      <x:c r="A26" s="95" t="n">
        <x:v>46063</x:v>
      </x:c>
      <x:c r="B26" s="70" t="str">
        <x:v>PRJ-021</x:v>
      </x:c>
      <x:c r="C26" s="70" t="str">
        <x:v>비용항목3</x:v>
      </x:c>
      <x:c r="D26" s="101" t="n">
        <x:v>1456000</x:v>
      </x:c>
      <x:c r="E26" s="75" t="str"/>
    </x:row>
    <x:row r="27">
      <x:c r="A27" s="95" t="n">
        <x:v>46065</x:v>
      </x:c>
      <x:c r="B27" s="70" t="str">
        <x:v>PRJ-022</x:v>
      </x:c>
      <x:c r="C27" s="70" t="str">
        <x:v>비용항목4</x:v>
      </x:c>
      <x:c r="D27" s="101" t="n">
        <x:v>1228500</x:v>
      </x:c>
      <x:c r="E27" s="75" t="str"/>
    </x:row>
    <x:row r="28">
      <x:c r="A28" s="95" t="n">
        <x:v>46067</x:v>
      </x:c>
      <x:c r="B28" s="70" t="str">
        <x:v>PRJ-023</x:v>
      </x:c>
      <x:c r="C28" s="70" t="str">
        <x:v>비용항목5</x:v>
      </x:c>
      <x:c r="D28" s="101" t="n">
        <x:v>1618500</x:v>
      </x:c>
      <x:c r="E28" s="75" t="str"/>
    </x:row>
    <x:row r="29">
      <x:c r="A29" s="95" t="n">
        <x:v>46069</x:v>
      </x:c>
      <x:c r="B29" s="70" t="str">
        <x:v>PRJ-024</x:v>
      </x:c>
      <x:c r="C29" s="70" t="str">
        <x:v>비용항목6</x:v>
      </x:c>
      <x:c r="D29" s="101" t="n">
        <x:v>877500</x:v>
      </x:c>
      <x:c r="E29" s="75" t="str"/>
    </x:row>
    <x:row r="30">
      <x:c r="A30" s="95" t="n">
        <x:v>46071</x:v>
      </x:c>
      <x:c r="B30" s="70" t="str">
        <x:v>PRJ-025</x:v>
      </x:c>
      <x:c r="C30" s="70" t="str">
        <x:v>비용항목1</x:v>
      </x:c>
      <x:c r="D30" s="101" t="n">
        <x:v>806000</x:v>
      </x:c>
      <x:c r="E30" s="75" t="str"/>
    </x:row>
    <x:row r="31">
      <x:c r="A31" s="95" t="n">
        <x:v>46073</x:v>
      </x:c>
      <x:c r="B31" s="70" t="str">
        <x:v>PRJ-026</x:v>
      </x:c>
      <x:c r="C31" s="70" t="str">
        <x:v>비용항목2</x:v>
      </x:c>
      <x:c r="D31" s="101" t="n">
        <x:v>344500</x:v>
      </x:c>
      <x:c r="E31" s="75" t="str"/>
    </x:row>
    <x:row r="32">
      <x:c r="A32" s="95" t="n">
        <x:v>46075</x:v>
      </x:c>
      <x:c r="B32" s="70" t="str">
        <x:v>PRJ-027</x:v>
      </x:c>
      <x:c r="C32" s="70" t="str">
        <x:v>비용항목3</x:v>
      </x:c>
      <x:c r="D32" s="101" t="n">
        <x:v>1410500</x:v>
      </x:c>
      <x:c r="E32" s="75" t="str"/>
    </x:row>
    <x:row r="33">
      <x:c r="A33" s="95" t="n">
        <x:v>46077</x:v>
      </x:c>
      <x:c r="B33" s="70" t="str">
        <x:v>PRJ-028</x:v>
      </x:c>
      <x:c r="C33" s="70" t="str">
        <x:v>비용항목4</x:v>
      </x:c>
      <x:c r="D33" s="101" t="n">
        <x:v>832000</x:v>
      </x:c>
      <x:c r="E33" s="75" t="str"/>
    </x:row>
    <x:row r="34">
      <x:c r="A34" s="95" t="n">
        <x:v>46079</x:v>
      </x:c>
      <x:c r="B34" s="70" t="str">
        <x:v>PRJ-029</x:v>
      </x:c>
      <x:c r="C34" s="70" t="str">
        <x:v>비용항목5</x:v>
      </x:c>
      <x:c r="D34" s="101" t="n">
        <x:v>461500</x:v>
      </x:c>
      <x:c r="E34" s="75" t="str"/>
    </x:row>
    <x:row r="35">
      <x:c r="A35" s="95" t="n">
        <x:v>46081</x:v>
      </x:c>
      <x:c r="B35" s="70" t="str">
        <x:v>PRJ-030</x:v>
      </x:c>
      <x:c r="C35" s="70" t="str">
        <x:v>비용항목6</x:v>
      </x:c>
      <x:c r="D35" s="101" t="n">
        <x:v>1215500</x:v>
      </x:c>
      <x:c r="E35" s="75" t="str"/>
    </x:row>
    <x:row r="36">
      <x:c r="A36" s="95" t="n">
        <x:v>46083</x:v>
      </x:c>
      <x:c r="B36" s="70" t="str">
        <x:v>PRJ-001</x:v>
      </x:c>
      <x:c r="C36" s="70" t="str">
        <x:v>비용항목1</x:v>
      </x:c>
      <x:c r="D36" s="101" t="n">
        <x:v>1540500</x:v>
      </x:c>
      <x:c r="E36" s="75" t="str"/>
    </x:row>
    <x:row r="37">
      <x:c r="A37" s="95" t="n">
        <x:v>46085</x:v>
      </x:c>
      <x:c r="B37" s="70" t="str">
        <x:v>PRJ-002</x:v>
      </x:c>
      <x:c r="C37" s="70" t="str">
        <x:v>비용항목2</x:v>
      </x:c>
      <x:c r="D37" s="101" t="n">
        <x:v>396500</x:v>
      </x:c>
      <x:c r="E37" s="75" t="str"/>
    </x:row>
    <x:row r="38">
      <x:c r="A38" s="95" t="n">
        <x:v>46087</x:v>
      </x:c>
      <x:c r="B38" s="70" t="str">
        <x:v>PRJ-003</x:v>
      </x:c>
      <x:c r="C38" s="70" t="str">
        <x:v>비용항목3</x:v>
      </x:c>
      <x:c r="D38" s="101" t="n">
        <x:v>1274000</x:v>
      </x:c>
      <x:c r="E38" s="75" t="str"/>
    </x:row>
    <x:row r="39">
      <x:c r="A39" s="95" t="n">
        <x:v>46089</x:v>
      </x:c>
      <x:c r="B39" s="70" t="str">
        <x:v>PRJ-004</x:v>
      </x:c>
      <x:c r="C39" s="70" t="str">
        <x:v>비용항목4</x:v>
      </x:c>
      <x:c r="D39" s="101" t="n">
        <x:v>793000</x:v>
      </x:c>
      <x:c r="E39" s="75" t="str"/>
    </x:row>
    <x:row r="40">
      <x:c r="A40" s="95" t="n">
        <x:v>46091</x:v>
      </x:c>
      <x:c r="B40" s="70" t="str">
        <x:v>PRJ-005</x:v>
      </x:c>
      <x:c r="C40" s="70" t="str">
        <x:v>비용항목5</x:v>
      </x:c>
      <x:c r="D40" s="101" t="n">
        <x:v>871000</x:v>
      </x:c>
      <x:c r="E40" s="75" t="str"/>
    </x:row>
    <x:row r="41">
      <x:c r="A41" s="95" t="n">
        <x:v>46093</x:v>
      </x:c>
      <x:c r="B41" s="70" t="str">
        <x:v>PRJ-006</x:v>
      </x:c>
      <x:c r="C41" s="70" t="str">
        <x:v>비용항목6</x:v>
      </x:c>
      <x:c r="D41" s="101" t="n">
        <x:v>702000</x:v>
      </x:c>
      <x:c r="E41" s="75" t="str"/>
    </x:row>
    <x:row r="42">
      <x:c r="A42" s="95" t="n">
        <x:v>46095</x:v>
      </x:c>
      <x:c r="B42" s="70" t="str">
        <x:v>PRJ-007</x:v>
      </x:c>
      <x:c r="C42" s="70" t="str">
        <x:v>비용항목1</x:v>
      </x:c>
      <x:c r="D42" s="101" t="n">
        <x:v>1430000</x:v>
      </x:c>
      <x:c r="E42" s="75" t="str"/>
    </x:row>
    <x:row r="43">
      <x:c r="A43" s="95" t="n">
        <x:v>46097</x:v>
      </x:c>
      <x:c r="B43" s="70" t="str">
        <x:v>PRJ-008</x:v>
      </x:c>
      <x:c r="C43" s="70" t="str">
        <x:v>비용항목2</x:v>
      </x:c>
      <x:c r="D43" s="101" t="n">
        <x:v>494000</x:v>
      </x:c>
      <x:c r="E43" s="75" t="str"/>
    </x:row>
    <x:row r="44">
      <x:c r="A44" s="95" t="n">
        <x:v>46099</x:v>
      </x:c>
      <x:c r="B44" s="70" t="str">
        <x:v>PRJ-009</x:v>
      </x:c>
      <x:c r="C44" s="70" t="str">
        <x:v>비용항목3</x:v>
      </x:c>
      <x:c r="D44" s="101" t="n">
        <x:v>877500</x:v>
      </x:c>
      <x:c r="E44" s="75" t="str"/>
    </x:row>
    <x:row r="45">
      <x:c r="A45" s="95" t="n">
        <x:v>46101</x:v>
      </x:c>
      <x:c r="B45" s="70" t="str">
        <x:v>PRJ-010</x:v>
      </x:c>
      <x:c r="C45" s="70" t="str">
        <x:v>비용항목4</x:v>
      </x:c>
      <x:c r="D45" s="101" t="n">
        <x:v>1040000</x:v>
      </x:c>
      <x:c r="E45" s="75" t="str"/>
    </x:row>
    <x:row r="46">
      <x:c r="A46" s="95" t="n">
        <x:v>46103</x:v>
      </x:c>
      <x:c r="B46" s="70" t="str">
        <x:v>PRJ-011</x:v>
      </x:c>
      <x:c r="C46" s="70" t="str">
        <x:v>비용항목5</x:v>
      </x:c>
      <x:c r="D46" s="101" t="n">
        <x:v>1326000</x:v>
      </x:c>
      <x:c r="E46" s="75" t="str"/>
    </x:row>
    <x:row r="47">
      <x:c r="A47" s="95" t="n">
        <x:v>46105</x:v>
      </x:c>
      <x:c r="B47" s="70" t="str">
        <x:v>PRJ-012</x:v>
      </x:c>
      <x:c r="C47" s="70" t="str">
        <x:v>비용항목6</x:v>
      </x:c>
      <x:c r="D47" s="101" t="n">
        <x:v>799500</x:v>
      </x:c>
      <x:c r="E47" s="75" t="str"/>
    </x:row>
    <x:row r="48">
      <x:c r="A48" s="95" t="n">
        <x:v>46107</x:v>
      </x:c>
      <x:c r="B48" s="70" t="str">
        <x:v>PRJ-013</x:v>
      </x:c>
      <x:c r="C48" s="70" t="str">
        <x:v>비용항목1</x:v>
      </x:c>
      <x:c r="D48" s="101" t="n">
        <x:v>1443000</x:v>
      </x:c>
      <x:c r="E48" s="75" t="str"/>
    </x:row>
    <x:row r="49">
      <x:c r="A49" s="95" t="n">
        <x:v>46109</x:v>
      </x:c>
      <x:c r="B49" s="70" t="str">
        <x:v>PRJ-014</x:v>
      </x:c>
      <x:c r="C49" s="70" t="str">
        <x:v>비용항목2</x:v>
      </x:c>
      <x:c r="D49" s="101" t="n">
        <x:v>1157000</x:v>
      </x:c>
      <x:c r="E49" s="75" t="str"/>
    </x:row>
    <x:row r="50">
      <x:c r="A50" s="95" t="n">
        <x:v>46111</x:v>
      </x:c>
      <x:c r="B50" s="70" t="str">
        <x:v>PRJ-015</x:v>
      </x:c>
      <x:c r="C50" s="70" t="str">
        <x:v>비용항목3</x:v>
      </x:c>
      <x:c r="D50" s="101" t="n">
        <x:v>825500</x:v>
      </x:c>
      <x:c r="E50" s="75" t="str"/>
    </x:row>
    <x:row r="51">
      <x:c r="A51" s="95" t="n">
        <x:v>46113</x:v>
      </x:c>
      <x:c r="B51" s="70" t="str">
        <x:v>PRJ-016</x:v>
      </x:c>
      <x:c r="C51" s="70" t="str">
        <x:v>비용항목4</x:v>
      </x:c>
      <x:c r="D51" s="101" t="n">
        <x:v>806000</x:v>
      </x:c>
      <x:c r="E51" s="75" t="str"/>
    </x:row>
    <x:row r="52">
      <x:c r="A52" s="95" t="n">
        <x:v>46115</x:v>
      </x:c>
      <x:c r="B52" s="70" t="str">
        <x:v>PRJ-017</x:v>
      </x:c>
      <x:c r="C52" s="70" t="str">
        <x:v>비용항목5</x:v>
      </x:c>
      <x:c r="D52" s="101" t="n">
        <x:v>383500</x:v>
      </x:c>
      <x:c r="E52" s="75" t="str"/>
    </x:row>
    <x:row r="53">
      <x:c r="A53" s="95" t="n">
        <x:v>46117</x:v>
      </x:c>
      <x:c r="B53" s="70" t="str">
        <x:v>PRJ-018</x:v>
      </x:c>
      <x:c r="C53" s="70" t="str">
        <x:v>비용항목6</x:v>
      </x:c>
      <x:c r="D53" s="101" t="n">
        <x:v>1592500</x:v>
      </x:c>
      <x:c r="E53" s="75" t="str"/>
    </x:row>
    <x:row r="54">
      <x:c r="A54" s="95" t="n">
        <x:v>46119</x:v>
      </x:c>
      <x:c r="B54" s="70" t="str">
        <x:v>PRJ-019</x:v>
      </x:c>
      <x:c r="C54" s="70" t="str">
        <x:v>비용항목1</x:v>
      </x:c>
      <x:c r="D54" s="101" t="n">
        <x:v>1020500</x:v>
      </x:c>
      <x:c r="E54" s="75" t="str"/>
    </x:row>
    <x:row r="55">
      <x:c r="A55" s="95" t="n">
        <x:v>46121</x:v>
      </x:c>
      <x:c r="B55" s="70" t="str">
        <x:v>PRJ-020</x:v>
      </x:c>
      <x:c r="C55" s="70" t="str">
        <x:v>비용항목2</x:v>
      </x:c>
      <x:c r="D55" s="101" t="n">
        <x:v>669500</x:v>
      </x:c>
      <x:c r="E55" s="75" t="str"/>
    </x:row>
    <x:row r="56">
      <x:c r="A56" s="95" t="n">
        <x:v>46123</x:v>
      </x:c>
      <x:c r="B56" s="70" t="str">
        <x:v>PRJ-021</x:v>
      </x:c>
      <x:c r="C56" s="70" t="str">
        <x:v>비용항목3</x:v>
      </x:c>
      <x:c r="D56" s="101" t="n">
        <x:v>819000</x:v>
      </x:c>
      <x:c r="E56" s="75" t="str"/>
    </x:row>
    <x:row r="57">
      <x:c r="A57" s="95" t="n">
        <x:v>46125</x:v>
      </x:c>
      <x:c r="B57" s="70" t="str">
        <x:v>PRJ-022</x:v>
      </x:c>
      <x:c r="C57" s="70" t="str">
        <x:v>비용항목4</x:v>
      </x:c>
      <x:c r="D57" s="101" t="n">
        <x:v>1222000</x:v>
      </x:c>
      <x:c r="E57" s="75" t="str"/>
    </x:row>
    <x:row r="58">
      <x:c r="A58" s="95" t="n">
        <x:v>46127</x:v>
      </x:c>
      <x:c r="B58" s="70" t="str">
        <x:v>PRJ-023</x:v>
      </x:c>
      <x:c r="C58" s="70" t="str">
        <x:v>비용항목5</x:v>
      </x:c>
      <x:c r="D58" s="101" t="n">
        <x:v>708500</x:v>
      </x:c>
      <x:c r="E58" s="75" t="str"/>
    </x:row>
    <x:row r="59">
      <x:c r="A59" s="95" t="n">
        <x:v>46129</x:v>
      </x:c>
      <x:c r="B59" s="70" t="str">
        <x:v>PRJ-024</x:v>
      </x:c>
      <x:c r="C59" s="70" t="str">
        <x:v>비용항목6</x:v>
      </x:c>
      <x:c r="D59" s="101" t="n">
        <x:v>1527500</x:v>
      </x:c>
      <x:c r="E59" s="75" t="str"/>
    </x:row>
    <x:row r="60">
      <x:c r="A60" s="95" t="n">
        <x:v>46131</x:v>
      </x:c>
      <x:c r="B60" s="70" t="str">
        <x:v>PRJ-025</x:v>
      </x:c>
      <x:c r="C60" s="70" t="str">
        <x:v>비용항목1</x:v>
      </x:c>
      <x:c r="D60" s="101" t="n">
        <x:v>1501500</x:v>
      </x:c>
      <x:c r="E60" s="75" t="str"/>
    </x:row>
    <x:row r="61">
      <x:c r="A61" s="95" t="n">
        <x:v>46133</x:v>
      </x:c>
      <x:c r="B61" s="70" t="str">
        <x:v>PRJ-026</x:v>
      </x:c>
      <x:c r="C61" s="70" t="str">
        <x:v>비용항목2</x:v>
      </x:c>
      <x:c r="D61" s="101" t="n">
        <x:v>942500</x:v>
      </x:c>
      <x:c r="E61" s="75" t="str"/>
    </x:row>
    <x:row r="62">
      <x:c r="A62" s="95" t="n">
        <x:v>46135</x:v>
      </x:c>
      <x:c r="B62" s="70" t="str">
        <x:v>PRJ-027</x:v>
      </x:c>
      <x:c r="C62" s="70" t="str">
        <x:v>비용항목3</x:v>
      </x:c>
      <x:c r="D62" s="101" t="n">
        <x:v>864500</x:v>
      </x:c>
      <x:c r="E62" s="75" t="str"/>
    </x:row>
    <x:row r="63">
      <x:c r="A63" s="95" t="n">
        <x:v>46137</x:v>
      </x:c>
      <x:c r="B63" s="70" t="str">
        <x:v>PRJ-028</x:v>
      </x:c>
      <x:c r="C63" s="70" t="str">
        <x:v>비용항목4</x:v>
      </x:c>
      <x:c r="D63" s="101" t="n">
        <x:v>975000</x:v>
      </x:c>
      <x:c r="E63" s="75" t="str"/>
    </x:row>
    <x:row r="64">
      <x:c r="A64" s="95" t="n">
        <x:v>46139</x:v>
      </x:c>
      <x:c r="B64" s="70" t="str">
        <x:v>PRJ-029</x:v>
      </x:c>
      <x:c r="C64" s="70" t="str">
        <x:v>비용항목5</x:v>
      </x:c>
      <x:c r="D64" s="101" t="n">
        <x:v>1014000</x:v>
      </x:c>
      <x:c r="E64" s="75" t="str"/>
    </x:row>
    <x:row r="65">
      <x:c r="A65" s="95" t="n">
        <x:v>46141</x:v>
      </x:c>
      <x:c r="B65" s="70" t="str">
        <x:v>PRJ-030</x:v>
      </x:c>
      <x:c r="C65" s="70" t="str">
        <x:v>비용항목6</x:v>
      </x:c>
      <x:c r="D65" s="101" t="n">
        <x:v>1612000</x:v>
      </x:c>
      <x:c r="E65" s="75" t="str"/>
    </x:row>
    <x:row r="66">
      <x:c r="A66" s="95" t="n">
        <x:v>46143</x:v>
      </x:c>
      <x:c r="B66" s="70" t="str">
        <x:v>PRJ-001</x:v>
      </x:c>
      <x:c r="C66" s="70" t="str">
        <x:v>비용항목1</x:v>
      </x:c>
      <x:c r="D66" s="101" t="n">
        <x:v>611000</x:v>
      </x:c>
      <x:c r="E66" s="75" t="str"/>
    </x:row>
    <x:row r="67">
      <x:c r="A67" s="95" t="n">
        <x:v>46145</x:v>
      </x:c>
      <x:c r="B67" s="70" t="str">
        <x:v>PRJ-002</x:v>
      </x:c>
      <x:c r="C67" s="70" t="str">
        <x:v>비용항목2</x:v>
      </x:c>
      <x:c r="D67" s="101" t="n">
        <x:v>325000</x:v>
      </x:c>
      <x:c r="E67" s="75" t="str"/>
    </x:row>
    <x:row r="68">
      <x:c r="A68" s="95" t="n">
        <x:v>46147</x:v>
      </x:c>
      <x:c r="B68" s="70" t="str">
        <x:v>PRJ-003</x:v>
      </x:c>
      <x:c r="C68" s="70" t="str">
        <x:v>비용항목3</x:v>
      </x:c>
      <x:c r="D68" s="101" t="n">
        <x:v>344500</x:v>
      </x:c>
      <x:c r="E68" s="75" t="str"/>
    </x:row>
    <x:row r="69">
      <x:c r="A69" s="95" t="n">
        <x:v>46149</x:v>
      </x:c>
      <x:c r="B69" s="70" t="str">
        <x:v>PRJ-004</x:v>
      </x:c>
      <x:c r="C69" s="70" t="str">
        <x:v>비용항목4</x:v>
      </x:c>
      <x:c r="D69" s="101" t="n">
        <x:v>1482000</x:v>
      </x:c>
      <x:c r="E69" s="75" t="str"/>
    </x:row>
    <x:row r="70">
      <x:c r="A70" s="95" t="n">
        <x:v>46151</x:v>
      </x:c>
      <x:c r="B70" s="70" t="str">
        <x:v>PRJ-005</x:v>
      </x:c>
      <x:c r="C70" s="70" t="str">
        <x:v>비용항목5</x:v>
      </x:c>
      <x:c r="D70" s="101" t="n">
        <x:v>546000</x:v>
      </x:c>
      <x:c r="E70" s="75" t="str"/>
    </x:row>
    <x:row r="71">
      <x:c r="A71" s="95" t="n">
        <x:v>46153</x:v>
      </x:c>
      <x:c r="B71" s="70" t="str">
        <x:v>PRJ-006</x:v>
      </x:c>
      <x:c r="C71" s="70" t="str">
        <x:v>비용항목6</x:v>
      </x:c>
      <x:c r="D71" s="101" t="n">
        <x:v>819000</x:v>
      </x:c>
      <x:c r="E71" s="75" t="str"/>
    </x:row>
    <x:row r="72">
      <x:c r="A72" s="95" t="n">
        <x:v>46155</x:v>
      </x:c>
      <x:c r="B72" s="70" t="str">
        <x:v>PRJ-007</x:v>
      </x:c>
      <x:c r="C72" s="70" t="str">
        <x:v>비용항목1</x:v>
      </x:c>
      <x:c r="D72" s="101" t="n">
        <x:v>1027000</x:v>
      </x:c>
      <x:c r="E72" s="75" t="str"/>
    </x:row>
    <x:row r="73">
      <x:c r="A73" s="95" t="n">
        <x:v>46157</x:v>
      </x:c>
      <x:c r="B73" s="70" t="str">
        <x:v>PRJ-008</x:v>
      </x:c>
      <x:c r="C73" s="70" t="str">
        <x:v>비용항목2</x:v>
      </x:c>
      <x:c r="D73" s="101" t="n">
        <x:v>331500</x:v>
      </x:c>
      <x:c r="E73" s="75" t="str"/>
    </x:row>
    <x:row r="74">
      <x:c r="A74" s="95" t="n">
        <x:v>46159</x:v>
      </x:c>
      <x:c r="B74" s="70" t="str">
        <x:v>PRJ-009</x:v>
      </x:c>
      <x:c r="C74" s="70" t="str">
        <x:v>비용항목3</x:v>
      </x:c>
      <x:c r="D74" s="101" t="n">
        <x:v>656500</x:v>
      </x:c>
      <x:c r="E74" s="75" t="str"/>
    </x:row>
    <x:row r="75">
      <x:c r="A75" s="95" t="n">
        <x:v>46161</x:v>
      </x:c>
      <x:c r="B75" s="70" t="str">
        <x:v>PRJ-010</x:v>
      </x:c>
      <x:c r="C75" s="70" t="str">
        <x:v>비용항목4</x:v>
      </x:c>
      <x:c r="D75" s="101" t="n">
        <x:v>1443000</x:v>
      </x:c>
      <x:c r="E75" s="75" t="str"/>
    </x:row>
    <x:row r="76">
      <x:c r="A76" s="95" t="n">
        <x:v>46163</x:v>
      </x:c>
      <x:c r="B76" s="70" t="str">
        <x:v>PRJ-011</x:v>
      </x:c>
      <x:c r="C76" s="70" t="str">
        <x:v>비용항목5</x:v>
      </x:c>
      <x:c r="D76" s="101" t="n">
        <x:v>1339000</x:v>
      </x:c>
      <x:c r="E76" s="75" t="str"/>
    </x:row>
    <x:row r="77">
      <x:c r="A77" s="95" t="n">
        <x:v>46165</x:v>
      </x:c>
      <x:c r="B77" s="70" t="str">
        <x:v>PRJ-012</x:v>
      </x:c>
      <x:c r="C77" s="70" t="str">
        <x:v>비용항목6</x:v>
      </x:c>
      <x:c r="D77" s="101" t="n">
        <x:v>370500</x:v>
      </x:c>
      <x:c r="E77" s="75" t="str"/>
    </x:row>
    <x:row r="78">
      <x:c r="A78" s="95" t="n">
        <x:v>46167</x:v>
      </x:c>
      <x:c r="B78" s="70" t="str">
        <x:v>PRJ-013</x:v>
      </x:c>
      <x:c r="C78" s="70" t="str">
        <x:v>비용항목1</x:v>
      </x:c>
      <x:c r="D78" s="101" t="n">
        <x:v>793000</x:v>
      </x:c>
      <x:c r="E78" s="75" t="str"/>
    </x:row>
    <x:row r="79">
      <x:c r="A79" s="95" t="n">
        <x:v>46169</x:v>
      </x:c>
      <x:c r="B79" s="70" t="str">
        <x:v>PRJ-014</x:v>
      </x:c>
      <x:c r="C79" s="70" t="str">
        <x:v>비용항목2</x:v>
      </x:c>
      <x:c r="D79" s="101" t="n">
        <x:v>1404000</x:v>
      </x:c>
      <x:c r="E79" s="75" t="str"/>
    </x:row>
    <x:row r="80">
      <x:c r="A80" s="95" t="n">
        <x:v>46171</x:v>
      </x:c>
      <x:c r="B80" s="70" t="str">
        <x:v>PRJ-015</x:v>
      </x:c>
      <x:c r="C80" s="70" t="str">
        <x:v>비용항목3</x:v>
      </x:c>
      <x:c r="D80" s="101" t="n">
        <x:v>1488500</x:v>
      </x:c>
      <x:c r="E80" s="75" t="str"/>
    </x:row>
    <x:row r="81">
      <x:c r="A81" s="95" t="n">
        <x:v>46173</x:v>
      </x:c>
      <x:c r="B81" s="70" t="str">
        <x:v>PRJ-016</x:v>
      </x:c>
      <x:c r="C81" s="70" t="str">
        <x:v>비용항목4</x:v>
      </x:c>
      <x:c r="D81" s="101" t="n">
        <x:v>1189500</x:v>
      </x:c>
      <x:c r="E81" s="75" t="str"/>
    </x:row>
    <x:row r="82">
      <x:c r="A82" s="95" t="n">
        <x:v>46175</x:v>
      </x:c>
      <x:c r="B82" s="70" t="str">
        <x:v>PRJ-017</x:v>
      </x:c>
      <x:c r="C82" s="70" t="str">
        <x:v>비용항목5</x:v>
      </x:c>
      <x:c r="D82" s="101" t="n">
        <x:v>1215500</x:v>
      </x:c>
      <x:c r="E82" s="75" t="str"/>
    </x:row>
    <x:row r="83">
      <x:c r="A83" s="95" t="n">
        <x:v>46177</x:v>
      </x:c>
      <x:c r="B83" s="70" t="str">
        <x:v>PRJ-018</x:v>
      </x:c>
      <x:c r="C83" s="70" t="str">
        <x:v>비용항목6</x:v>
      </x:c>
      <x:c r="D83" s="101" t="n">
        <x:v>351000</x:v>
      </x:c>
      <x:c r="E83" s="75" t="str"/>
    </x:row>
    <x:row r="84">
      <x:c r="A84" s="95" t="n">
        <x:v>46179</x:v>
      </x:c>
      <x:c r="B84" s="70" t="str">
        <x:v>PRJ-019</x:v>
      </x:c>
      <x:c r="C84" s="70" t="str">
        <x:v>비용항목1</x:v>
      </x:c>
      <x:c r="D84" s="101" t="n">
        <x:v>1046500</x:v>
      </x:c>
      <x:c r="E84" s="75" t="str"/>
    </x:row>
    <x:row r="85">
      <x:c r="A85" s="95" t="n">
        <x:v>46181</x:v>
      </x:c>
      <x:c r="B85" s="70" t="str">
        <x:v>PRJ-020</x:v>
      </x:c>
      <x:c r="C85" s="70" t="str">
        <x:v>비용항목2</x:v>
      </x:c>
      <x:c r="D85" s="101" t="n">
        <x:v>1131000</x:v>
      </x:c>
      <x:c r="E85" s="75" t="str"/>
    </x:row>
    <x:row r="86">
      <x:c r="A86" s="95" t="n">
        <x:v>46183</x:v>
      </x:c>
      <x:c r="B86" s="70" t="str">
        <x:v>PRJ-021</x:v>
      </x:c>
      <x:c r="C86" s="70" t="str">
        <x:v>비용항목3</x:v>
      </x:c>
      <x:c r="D86" s="101" t="n">
        <x:v>1586000</x:v>
      </x:c>
      <x:c r="E86" s="75" t="str"/>
    </x:row>
    <x:row r="87">
      <x:c r="A87" s="95" t="n">
        <x:v>46185</x:v>
      </x:c>
      <x:c r="B87" s="70" t="str">
        <x:v>PRJ-022</x:v>
      </x:c>
      <x:c r="C87" s="70" t="str">
        <x:v>비용항목4</x:v>
      </x:c>
      <x:c r="D87" s="101" t="n">
        <x:v>812500</x:v>
      </x:c>
      <x:c r="E87" s="75" t="str"/>
    </x:row>
    <x:row r="88">
      <x:c r="A88" s="95" t="n">
        <x:v>46187</x:v>
      </x:c>
      <x:c r="B88" s="70" t="str">
        <x:v>PRJ-023</x:v>
      </x:c>
      <x:c r="C88" s="70" t="str">
        <x:v>비용항목5</x:v>
      </x:c>
      <x:c r="D88" s="101" t="n">
        <x:v>676000</x:v>
      </x:c>
      <x:c r="E88" s="75" t="str"/>
    </x:row>
    <x:row r="89">
      <x:c r="A89" s="95" t="n">
        <x:v>46189</x:v>
      </x:c>
      <x:c r="B89" s="70" t="str">
        <x:v>PRJ-024</x:v>
      </x:c>
      <x:c r="C89" s="70" t="str">
        <x:v>비용항목6</x:v>
      </x:c>
      <x:c r="D89" s="101" t="n">
        <x:v>1092000</x:v>
      </x:c>
      <x:c r="E89" s="75" t="str"/>
    </x:row>
    <x:row r="90">
      <x:c r="A90" s="95" t="n">
        <x:v>46191</x:v>
      </x:c>
      <x:c r="B90" s="70" t="str">
        <x:v>PRJ-025</x:v>
      </x:c>
      <x:c r="C90" s="70" t="str">
        <x:v>비용항목1</x:v>
      </x:c>
      <x:c r="D90" s="101" t="n">
        <x:v>897000</x:v>
      </x:c>
      <x:c r="E90" s="75" t="str"/>
    </x:row>
    <x:row r="91">
      <x:c r="A91" s="95" t="n">
        <x:v>46193</x:v>
      </x:c>
      <x:c r="B91" s="70" t="str">
        <x:v>PRJ-026</x:v>
      </x:c>
      <x:c r="C91" s="70" t="str">
        <x:v>비용항목2</x:v>
      </x:c>
      <x:c r="D91" s="101" t="n">
        <x:v>1222000</x:v>
      </x:c>
      <x:c r="E91" s="75" t="str"/>
    </x:row>
    <x:row r="92">
      <x:c r="A92" s="95" t="n">
        <x:v>46195</x:v>
      </x:c>
      <x:c r="B92" s="70" t="str">
        <x:v>PRJ-027</x:v>
      </x:c>
      <x:c r="C92" s="70" t="str">
        <x:v>비용항목3</x:v>
      </x:c>
      <x:c r="D92" s="101" t="n">
        <x:v>1417000</x:v>
      </x:c>
      <x:c r="E92" s="75" t="str"/>
    </x:row>
    <x:row r="93">
      <x:c r="A93" s="95" t="n">
        <x:v>46197</x:v>
      </x:c>
      <x:c r="B93" s="70" t="str">
        <x:v>PRJ-028</x:v>
      </x:c>
      <x:c r="C93" s="70" t="str">
        <x:v>비용항목4</x:v>
      </x:c>
      <x:c r="D93" s="101" t="n">
        <x:v>1027000</x:v>
      </x:c>
      <x:c r="E93" s="75" t="str"/>
    </x:row>
    <x:row r="94">
      <x:c r="A94" s="95" t="n">
        <x:v>46199</x:v>
      </x:c>
      <x:c r="B94" s="70" t="str">
        <x:v>PRJ-029</x:v>
      </x:c>
      <x:c r="C94" s="70" t="str">
        <x:v>비용항목5</x:v>
      </x:c>
      <x:c r="D94" s="101" t="n">
        <x:v>1553500</x:v>
      </x:c>
      <x:c r="E94" s="75" t="str"/>
    </x:row>
    <x:row r="95">
      <x:c r="A95" s="95" t="n">
        <x:v>46201</x:v>
      </x:c>
      <x:c r="B95" s="70" t="str">
        <x:v>PRJ-030</x:v>
      </x:c>
      <x:c r="C95" s="70" t="str">
        <x:v>비용항목6</x:v>
      </x:c>
      <x:c r="D95" s="101" t="n">
        <x:v>1319500</x:v>
      </x:c>
      <x:c r="E95" s="75" t="str"/>
    </x:row>
    <x:row r="96">
      <x:c r="A96" s="95" t="n">
        <x:v>46203</x:v>
      </x:c>
      <x:c r="B96" s="70" t="str">
        <x:v>PRJ-001</x:v>
      </x:c>
      <x:c r="C96" s="70" t="str">
        <x:v>비용항목1</x:v>
      </x:c>
      <x:c r="D96" s="101" t="n">
        <x:v>923000</x:v>
      </x:c>
      <x:c r="E96" s="75" t="str"/>
    </x:row>
    <x:row r="97">
      <x:c r="A97" s="95" t="n">
        <x:v>46205</x:v>
      </x:c>
      <x:c r="B97" s="70" t="str">
        <x:v>PRJ-002</x:v>
      </x:c>
      <x:c r="C97" s="70" t="str">
        <x:v>비용항목2</x:v>
      </x:c>
      <x:c r="D97" s="101" t="n">
        <x:v>734500</x:v>
      </x:c>
      <x:c r="E97" s="75" t="str"/>
    </x:row>
    <x:row r="98">
      <x:c r="A98" s="95" t="n">
        <x:v>46207</x:v>
      </x:c>
      <x:c r="B98" s="70" t="str">
        <x:v>PRJ-003</x:v>
      </x:c>
      <x:c r="C98" s="70" t="str">
        <x:v>비용항목3</x:v>
      </x:c>
      <x:c r="D98" s="101" t="n">
        <x:v>442000</x:v>
      </x:c>
      <x:c r="E98" s="75" t="str"/>
    </x:row>
    <x:row r="99">
      <x:c r="A99" s="95" t="n">
        <x:v>46209</x:v>
      </x:c>
      <x:c r="B99" s="70" t="str">
        <x:v>PRJ-004</x:v>
      </x:c>
      <x:c r="C99" s="70" t="str">
        <x:v>비용항목4</x:v>
      </x:c>
      <x:c r="D99" s="101" t="n">
        <x:v>624000</x:v>
      </x:c>
      <x:c r="E99" s="75" t="str"/>
    </x:row>
    <x:row r="100">
      <x:c r="A100" s="95" t="n">
        <x:v>46211</x:v>
      </x:c>
      <x:c r="B100" s="70" t="str">
        <x:v>PRJ-005</x:v>
      </x:c>
      <x:c r="C100" s="70" t="str">
        <x:v>비용항목5</x:v>
      </x:c>
      <x:c r="D100" s="101" t="n">
        <x:v>1306500</x:v>
      </x:c>
      <x:c r="E100" s="75" t="str"/>
    </x:row>
    <x:row r="101">
      <x:c r="A101" s="95" t="n">
        <x:v>46213</x:v>
      </x:c>
      <x:c r="B101" s="70" t="str">
        <x:v>PRJ-006</x:v>
      </x:c>
      <x:c r="C101" s="70" t="str">
        <x:v>비용항목6</x:v>
      </x:c>
      <x:c r="D101" s="101" t="n">
        <x:v>1222000</x:v>
      </x:c>
      <x:c r="E101" s="75" t="str"/>
    </x:row>
    <x:row r="102">
      <x:c r="A102" s="95" t="n">
        <x:v>46215</x:v>
      </x:c>
      <x:c r="B102" s="70" t="str">
        <x:v>PRJ-007</x:v>
      </x:c>
      <x:c r="C102" s="70" t="str">
        <x:v>비용항목1</x:v>
      </x:c>
      <x:c r="D102" s="101" t="n">
        <x:v>929500</x:v>
      </x:c>
      <x:c r="E102" s="75" t="str"/>
    </x:row>
    <x:row r="103">
      <x:c r="A103" s="95" t="n">
        <x:v>46217</x:v>
      </x:c>
      <x:c r="B103" s="70" t="str">
        <x:v>PRJ-008</x:v>
      </x:c>
      <x:c r="C103" s="70" t="str">
        <x:v>비용항목2</x:v>
      </x:c>
      <x:c r="D103" s="101" t="n">
        <x:v>1085500</x:v>
      </x:c>
      <x:c r="E103" s="75" t="str"/>
    </x:row>
    <x:row r="104">
      <x:c r="A104" s="95" t="n">
        <x:v>46219</x:v>
      </x:c>
      <x:c r="B104" s="70" t="str">
        <x:v>PRJ-009</x:v>
      </x:c>
      <x:c r="C104" s="70" t="str">
        <x:v>비용항목3</x:v>
      </x:c>
      <x:c r="D104" s="101" t="n">
        <x:v>1293500</x:v>
      </x:c>
      <x:c r="E104" s="75" t="str"/>
    </x:row>
    <x:row r="105">
      <x:c r="A105" s="95" t="n">
        <x:v>46221</x:v>
      </x:c>
      <x:c r="B105" s="70" t="str">
        <x:v>PRJ-010</x:v>
      </x:c>
      <x:c r="C105" s="70" t="str">
        <x:v>비용항목4</x:v>
      </x:c>
      <x:c r="D105" s="101" t="n">
        <x:v>1475500</x:v>
      </x:c>
      <x:c r="E105" s="75" t="str"/>
    </x:row>
    <x:row r="106">
      <x:c r="A106" s="95" t="n">
        <x:v>46223</x:v>
      </x:c>
      <x:c r="B106" s="70" t="str">
        <x:v>PRJ-011</x:v>
      </x:c>
      <x:c r="C106" s="70" t="str">
        <x:v>비용항목5</x:v>
      </x:c>
      <x:c r="D106" s="101" t="n">
        <x:v>1391000</x:v>
      </x:c>
      <x:c r="E106" s="75" t="str"/>
    </x:row>
    <x:row r="107">
      <x:c r="A107" s="95" t="n">
        <x:v>46225</x:v>
      </x:c>
      <x:c r="B107" s="70" t="str">
        <x:v>PRJ-012</x:v>
      </x:c>
      <x:c r="C107" s="70" t="str">
        <x:v>비용항목6</x:v>
      </x:c>
      <x:c r="D107" s="101" t="n">
        <x:v>1514500</x:v>
      </x:c>
      <x:c r="E107" s="75" t="str"/>
    </x:row>
    <x:row r="108">
      <x:c r="A108" s="95" t="n">
        <x:v>46227</x:v>
      </x:c>
      <x:c r="B108" s="70" t="str">
        <x:v>PRJ-013</x:v>
      </x:c>
      <x:c r="C108" s="70" t="str">
        <x:v>비용항목1</x:v>
      </x:c>
      <x:c r="D108" s="101" t="n">
        <x:v>1488500</x:v>
      </x:c>
      <x:c r="E108" s="75" t="str"/>
    </x:row>
    <x:row r="109">
      <x:c r="A109" s="95" t="n">
        <x:v>46229</x:v>
      </x:c>
      <x:c r="B109" s="70" t="str">
        <x:v>PRJ-014</x:v>
      </x:c>
      <x:c r="C109" s="70" t="str">
        <x:v>비용항목2</x:v>
      </x:c>
      <x:c r="D109" s="101" t="n">
        <x:v>403000</x:v>
      </x:c>
      <x:c r="E109" s="75" t="str"/>
    </x:row>
    <x:row r="110">
      <x:c r="A110" s="95" t="n">
        <x:v>46231</x:v>
      </x:c>
      <x:c r="B110" s="70" t="str">
        <x:v>PRJ-015</x:v>
      </x:c>
      <x:c r="C110" s="70" t="str">
        <x:v>비용항목3</x:v>
      </x:c>
      <x:c r="D110" s="101" t="n">
        <x:v>923000</x:v>
      </x:c>
      <x:c r="E110" s="75" t="str"/>
    </x:row>
    <x:row r="111">
      <x:c r="A111" s="95" t="n">
        <x:v>46233</x:v>
      </x:c>
      <x:c r="B111" s="70" t="str">
        <x:v>PRJ-016</x:v>
      </x:c>
      <x:c r="C111" s="70" t="str">
        <x:v>비용항목4</x:v>
      </x:c>
      <x:c r="D111" s="101" t="n">
        <x:v>364000</x:v>
      </x:c>
      <x:c r="E111" s="75" t="str"/>
    </x:row>
    <x:row r="112">
      <x:c r="A112" s="95" t="n">
        <x:v>46235</x:v>
      </x:c>
      <x:c r="B112" s="70" t="str">
        <x:v>PRJ-017</x:v>
      </x:c>
      <x:c r="C112" s="70" t="str">
        <x:v>비용항목5</x:v>
      </x:c>
      <x:c r="D112" s="101" t="n">
        <x:v>1293500</x:v>
      </x:c>
      <x:c r="E112" s="75" t="str"/>
    </x:row>
    <x:row r="113">
      <x:c r="A113" s="95" t="n">
        <x:v>46237</x:v>
      </x:c>
      <x:c r="B113" s="70" t="str">
        <x:v>PRJ-018</x:v>
      </x:c>
      <x:c r="C113" s="70" t="str">
        <x:v>비용항목6</x:v>
      </x:c>
      <x:c r="D113" s="101" t="n">
        <x:v>877500</x:v>
      </x:c>
      <x:c r="E113" s="75" t="str"/>
    </x:row>
    <x:row r="114">
      <x:c r="A114" s="95" t="n">
        <x:v>46239</x:v>
      </x:c>
      <x:c r="B114" s="70" t="str">
        <x:v>PRJ-019</x:v>
      </x:c>
      <x:c r="C114" s="70" t="str">
        <x:v>비용항목1</x:v>
      </x:c>
      <x:c r="D114" s="101" t="n">
        <x:v>474500</x:v>
      </x:c>
      <x:c r="E114" s="75" t="str"/>
    </x:row>
    <x:row r="115">
      <x:c r="A115" s="95" t="n">
        <x:v>46241</x:v>
      </x:c>
      <x:c r="B115" s="70" t="str">
        <x:v>PRJ-020</x:v>
      </x:c>
      <x:c r="C115" s="70" t="str">
        <x:v>비용항목2</x:v>
      </x:c>
      <x:c r="D115" s="101" t="n">
        <x:v>416000</x:v>
      </x:c>
      <x:c r="E115" s="75" t="str"/>
    </x:row>
    <x:row r="116">
      <x:c r="A116" s="95" t="n">
        <x:v>46243</x:v>
      </x:c>
      <x:c r="B116" s="70" t="str">
        <x:v>PRJ-021</x:v>
      </x:c>
      <x:c r="C116" s="70" t="str">
        <x:v>비용항목3</x:v>
      </x:c>
      <x:c r="D116" s="101" t="n">
        <x:v>1124500</x:v>
      </x:c>
      <x:c r="E116" s="75" t="str"/>
    </x:row>
    <x:row r="117">
      <x:c r="A117" s="95" t="n">
        <x:v>46245</x:v>
      </x:c>
      <x:c r="B117" s="70" t="str">
        <x:v>PRJ-022</x:v>
      </x:c>
      <x:c r="C117" s="70" t="str">
        <x:v>비용항목4</x:v>
      </x:c>
      <x:c r="D117" s="101" t="n">
        <x:v>754000</x:v>
      </x:c>
      <x:c r="E117" s="75" t="str"/>
    </x:row>
    <x:row r="118">
      <x:c r="A118" s="95" t="n">
        <x:v>46247</x:v>
      </x:c>
      <x:c r="B118" s="70" t="str">
        <x:v>PRJ-023</x:v>
      </x:c>
      <x:c r="C118" s="70" t="str">
        <x:v>비용항목5</x:v>
      </x:c>
      <x:c r="D118" s="101" t="n">
        <x:v>559000</x:v>
      </x:c>
      <x:c r="E118" s="75" t="str"/>
    </x:row>
    <x:row r="119">
      <x:c r="A119" s="95" t="n">
        <x:v>46249</x:v>
      </x:c>
      <x:c r="B119" s="70" t="str">
        <x:v>PRJ-024</x:v>
      </x:c>
      <x:c r="C119" s="70" t="str">
        <x:v>비용항목6</x:v>
      </x:c>
      <x:c r="D119" s="101" t="n">
        <x:v>552500</x:v>
      </x:c>
      <x:c r="E119" s="75" t="str"/>
    </x:row>
    <x:row r="120">
      <x:c r="A120" s="95" t="n">
        <x:v>46251</x:v>
      </x:c>
      <x:c r="B120" s="70" t="str">
        <x:v>PRJ-025</x:v>
      </x:c>
      <x:c r="C120" s="70" t="str">
        <x:v>비용항목1</x:v>
      </x:c>
      <x:c r="D120" s="101" t="n">
        <x:v>1553500</x:v>
      </x:c>
      <x:c r="E120" s="75" t="str"/>
    </x:row>
    <x:row r="121">
      <x:c r="A121" s="95" t="n">
        <x:v>46253</x:v>
      </x:c>
      <x:c r="B121" s="70" t="str">
        <x:v>PRJ-026</x:v>
      </x:c>
      <x:c r="C121" s="70" t="str">
        <x:v>비용항목2</x:v>
      </x:c>
      <x:c r="D121" s="101" t="n">
        <x:v>487500</x:v>
      </x:c>
      <x:c r="E121" s="75" t="str"/>
    </x:row>
    <x:row r="122">
      <x:c r="A122" s="95" t="n">
        <x:v>46255</x:v>
      </x:c>
      <x:c r="B122" s="70" t="str">
        <x:v>PRJ-027</x:v>
      </x:c>
      <x:c r="C122" s="70" t="str">
        <x:v>비용항목3</x:v>
      </x:c>
      <x:c r="D122" s="101" t="n">
        <x:v>1007500</x:v>
      </x:c>
      <x:c r="E122" s="75" t="str"/>
    </x:row>
    <x:row r="123">
      <x:c r="A123" s="95" t="n">
        <x:v>46257</x:v>
      </x:c>
      <x:c r="B123" s="70" t="str">
        <x:v>PRJ-028</x:v>
      </x:c>
      <x:c r="C123" s="70" t="str">
        <x:v>비용항목4</x:v>
      </x:c>
      <x:c r="D123" s="101" t="n">
        <x:v>1378000</x:v>
      </x:c>
      <x:c r="E123" s="75" t="str"/>
    </x:row>
    <x:row r="124">
      <x:c r="A124" s="95" t="n">
        <x:v>46259</x:v>
      </x:c>
      <x:c r="B124" s="70" t="str">
        <x:v>PRJ-029</x:v>
      </x:c>
      <x:c r="C124" s="70" t="str">
        <x:v>비용항목5</x:v>
      </x:c>
      <x:c r="D124" s="101" t="n">
        <x:v>1235000</x:v>
      </x:c>
      <x:c r="E124" s="75" t="str"/>
    </x:row>
    <x:row r="125">
      <x:c r="A125" s="96" t="n">
        <x:v>46261</x:v>
      </x:c>
      <x:c r="B125" s="77" t="str">
        <x:v>PRJ-030</x:v>
      </x:c>
      <x:c r="C125" s="77" t="str">
        <x:v>비용항목6</x:v>
      </x:c>
      <x:c r="D125" s="102" t="n">
        <x:v>1423500</x:v>
      </x:c>
      <x:c r="E125" s="78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8" hidden="0" customWidth="1"/>
  </x:cols>
  <x:sheetData>
    <x:row r="1" ht="30" customHeight="1">
      <x:c r="A1" s="5" t="str">
        <x:v>프로젝트별 손익 분석</x:v>
      </x:c>
      <x:c r="B1" s="5"/>
      <x:c r="C1" s="5"/>
      <x:c r="D1" s="5"/>
      <x:c r="E1" s="5"/>
      <x:c r="F1" s="5"/>
      <x:c r="G1" s="5"/>
    </x:row>
    <x:row r="2" ht="24" customHeight="1">
      <x:c r="A2" s="12" t="str">
        <x:v>계약·매출·비용을 연결해 매출총이익과 마진을 계산합니다.</x:v>
      </x:c>
      <x:c r="B2" s="12"/>
      <x:c r="C2" s="12"/>
      <x:c r="D2" s="12"/>
      <x:c r="E2" s="12"/>
      <x:c r="F2" s="12"/>
      <x:c r="G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0" t="str">
        <x:v>프로젝트코드</x:v>
      </x:c>
      <x:c r="B5" s="65" t="str">
        <x:v>계약금액</x:v>
      </x:c>
      <x:c r="C5" s="65" t="str">
        <x:v>누적매출</x:v>
      </x:c>
      <x:c r="D5" s="65" t="str">
        <x:v>누적비용</x:v>
      </x:c>
      <x:c r="E5" s="65" t="str">
        <x:v>매출총이익</x:v>
      </x:c>
      <x:c r="F5" s="65" t="str">
        <x:v>마진율</x:v>
      </x:c>
      <x:c r="G5" s="31" t="str">
        <x:v>잔여계약액</x:v>
      </x:c>
    </x:row>
    <x:row r="6">
      <x:c r="A6" s="106" t="str">
        <x:v>PRJ-001</x:v>
      </x:c>
      <x:c r="B6" s="128" t="n">
        <x:f>VLOOKUP(A6,'프로젝트'!$A$6:$E$35,5,FALSE)</x:f>
        <x:v>51800000</x:v>
      </x:c>
      <x:c r="C6" s="129" t="n">
        <x:f>SUMIF('매출'!$B$6:$B$125,A6,'매출'!$D$6:$D$125)</x:f>
        <x:v>5470000</x:v>
      </x:c>
      <x:c r="D6" s="129" t="n">
        <x:f>SUMIF('비용'!$B$6:$B$125,A6,'비용'!$D$6:$D$125)</x:f>
        <x:v>3945500</x:v>
      </x:c>
      <x:c r="E6" s="129" t="n">
        <x:f>C6-D6</x:f>
        <x:v>1524500</x:v>
      </x:c>
      <x:c r="F6" s="148" t="n">
        <x:f>IFERROR(E6/C6,0)</x:f>
        <x:v>0.2787020109689214</x:v>
      </x:c>
      <x:c r="G6" s="142" t="n">
        <x:f>B6-C6</x:f>
        <x:v>46330000</x:v>
      </x:c>
    </x:row>
    <x:row r="7">
      <x:c r="A7" s="107" t="str">
        <x:v>PRJ-002</x:v>
      </x:c>
      <x:c r="B7" s="130" t="n">
        <x:f>VLOOKUP(A7,'프로젝트'!$A$6:$E$35,5,FALSE)</x:f>
        <x:v>53600000</x:v>
      </x:c>
      <x:c r="C7" s="131" t="n">
        <x:f>SUMIF('매출'!$B$6:$B$125,A7,'매출'!$D$6:$D$125)</x:f>
        <x:v>7700000</x:v>
      </x:c>
      <x:c r="D7" s="131" t="n">
        <x:f>SUMIF('비용'!$B$6:$B$125,A7,'비용'!$D$6:$D$125)</x:f>
        <x:v>2632500</x:v>
      </x:c>
      <x:c r="E7" s="131" t="n">
        <x:f>C7-D7</x:f>
        <x:v>5067500</x:v>
      </x:c>
      <x:c r="F7" s="149" t="n">
        <x:f>IFERROR(E7/C7,0)</x:f>
        <x:v>0.6581168831168831</x:v>
      </x:c>
      <x:c r="G7" s="143" t="n">
        <x:f>B7-C7</x:f>
        <x:v>45900000</x:v>
      </x:c>
    </x:row>
    <x:row r="8">
      <x:c r="A8" s="107" t="str">
        <x:v>PRJ-003</x:v>
      </x:c>
      <x:c r="B8" s="130" t="n">
        <x:f>VLOOKUP(A8,'프로젝트'!$A$6:$E$35,5,FALSE)</x:f>
        <x:v>55400000</x:v>
      </x:c>
      <x:c r="C8" s="131" t="n">
        <x:f>SUMIF('매출'!$B$6:$B$125,A8,'매출'!$D$6:$D$125)</x:f>
        <x:v>6010000</x:v>
      </x:c>
      <x:c r="D8" s="131" t="n">
        <x:f>SUMIF('비용'!$B$6:$B$125,A8,'비용'!$D$6:$D$125)</x:f>
        <x:v>2957500</x:v>
      </x:c>
      <x:c r="E8" s="131" t="n">
        <x:f>C8-D8</x:f>
        <x:v>3052500</x:v>
      </x:c>
      <x:c r="F8" s="149" t="n">
        <x:f>IFERROR(E8/C8,0)</x:f>
        <x:v>0.5079034941763727</x:v>
      </x:c>
      <x:c r="G8" s="143" t="n">
        <x:f>B8-C8</x:f>
        <x:v>49390000</x:v>
      </x:c>
    </x:row>
    <x:row r="9">
      <x:c r="A9" s="107" t="str">
        <x:v>PRJ-004</x:v>
      </x:c>
      <x:c r="B9" s="130" t="n">
        <x:f>VLOOKUP(A9,'프로젝트'!$A$6:$E$35,5,FALSE)</x:f>
        <x:v>57200000</x:v>
      </x:c>
      <x:c r="C9" s="131" t="n">
        <x:f>SUMIF('매출'!$B$6:$B$125,A9,'매출'!$D$6:$D$125)</x:f>
        <x:v>4990000</x:v>
      </x:c>
      <x:c r="D9" s="131" t="n">
        <x:f>SUMIF('비용'!$B$6:$B$125,A9,'비용'!$D$6:$D$125)</x:f>
        <x:v>4238000</x:v>
      </x:c>
      <x:c r="E9" s="131" t="n">
        <x:f>C9-D9</x:f>
        <x:v>752000</x:v>
      </x:c>
      <x:c r="F9" s="149" t="n">
        <x:f>IFERROR(E9/C9,0)</x:f>
        <x:v>0.15070140280561123</x:v>
      </x:c>
      <x:c r="G9" s="143" t="n">
        <x:f>B9-C9</x:f>
        <x:v>52210000</x:v>
      </x:c>
    </x:row>
    <x:row r="10">
      <x:c r="A10" s="107" t="str">
        <x:v>PRJ-005</x:v>
      </x:c>
      <x:c r="B10" s="130" t="n">
        <x:f>VLOOKUP(A10,'프로젝트'!$A$6:$E$35,5,FALSE)</x:f>
        <x:v>59000000</x:v>
      </x:c>
      <x:c r="C10" s="131" t="n">
        <x:f>SUMIF('매출'!$B$6:$B$125,A10,'매출'!$D$6:$D$125)</x:f>
        <x:v>7150000</x:v>
      </x:c>
      <x:c r="D10" s="131" t="n">
        <x:f>SUMIF('비용'!$B$6:$B$125,A10,'비용'!$D$6:$D$125)</x:f>
        <x:v>3185000</x:v>
      </x:c>
      <x:c r="E10" s="131" t="n">
        <x:f>C10-D10</x:f>
        <x:v>3965000</x:v>
      </x:c>
      <x:c r="F10" s="149" t="n">
        <x:f>IFERROR(E10/C10,0)</x:f>
        <x:v>0.5545454545454546</x:v>
      </x:c>
      <x:c r="G10" s="143" t="n">
        <x:f>B10-C10</x:f>
        <x:v>51850000</x:v>
      </x:c>
    </x:row>
    <x:row r="11">
      <x:c r="A11" s="107" t="str">
        <x:v>PRJ-006</x:v>
      </x:c>
      <x:c r="B11" s="130" t="n">
        <x:f>VLOOKUP(A11,'프로젝트'!$A$6:$E$35,5,FALSE)</x:f>
        <x:v>60800000</x:v>
      </x:c>
      <x:c r="C11" s="131" t="n">
        <x:f>SUMIF('매출'!$B$6:$B$125,A10,'매출'!$D$6:$D$125)</x:f>
        <x:v>7150000</x:v>
      </x:c>
      <x:c r="D11" s="131" t="n">
        <x:f>SUMIF('비용'!$B$6:$B$125,A11,'비용'!$D$6:$D$125)</x:f>
        <x:v>3627000</x:v>
      </x:c>
      <x:c r="E11" s="131" t="n">
        <x:f>C11-D11</x:f>
        <x:v>3523000</x:v>
      </x:c>
      <x:c r="F11" s="149" t="n">
        <x:f>IFERROR(E11/C11,0)</x:f>
        <x:v>0.49272727272727274</x:v>
      </x:c>
      <x:c r="G11" s="143" t="n">
        <x:f>B11-C11</x:f>
        <x:v>53650000</x:v>
      </x:c>
    </x:row>
    <x:row r="12">
      <x:c r="A12" s="107" t="str">
        <x:v>PRJ-007</x:v>
      </x:c>
      <x:c r="B12" s="130" t="n">
        <x:f>VLOOKUP(A12,'프로젝트'!$A$6:$E$35,5,FALSE)</x:f>
        <x:v>62600000</x:v>
      </x:c>
      <x:c r="C12" s="131" t="n">
        <x:f>SUMIF('매출'!$B$6:$B$125,A12,'매출'!$D$6:$D$125)</x:f>
        <x:v>7660000</x:v>
      </x:c>
      <x:c r="D12" s="131" t="n">
        <x:f>SUMIF('비용'!$B$6:$B$125,A12,'비용'!$D$6:$D$125)</x:f>
        <x:v>3828500</x:v>
      </x:c>
      <x:c r="E12" s="131" t="n">
        <x:f>C12-D12</x:f>
        <x:v>3831500</x:v>
      </x:c>
      <x:c r="F12" s="149" t="n">
        <x:f>IFERROR(E12/C12,0)</x:f>
        <x:v>0.500195822454308</x:v>
      </x:c>
      <x:c r="G12" s="143" t="n">
        <x:f>B12-C12</x:f>
        <x:v>54940000</x:v>
      </x:c>
    </x:row>
    <x:row r="13">
      <x:c r="A13" s="107" t="str">
        <x:v>PRJ-008</x:v>
      </x:c>
      <x:c r="B13" s="130" t="n">
        <x:f>VLOOKUP(A13,'프로젝트'!$A$6:$E$35,5,FALSE)</x:f>
        <x:v>64400000</x:v>
      </x:c>
      <x:c r="C13" s="131" t="n">
        <x:f>SUMIF('매출'!$B$6:$B$125,A13,'매출'!$D$6:$D$125)</x:f>
        <x:v>5330000</x:v>
      </x:c>
      <x:c r="D13" s="131" t="n">
        <x:f>SUMIF('비용'!$B$6:$B$125,A13,'비용'!$D$6:$D$125)</x:f>
        <x:v>3523000</x:v>
      </x:c>
      <x:c r="E13" s="131" t="n">
        <x:f>C13-D13</x:f>
        <x:v>1807000</x:v>
      </x:c>
      <x:c r="F13" s="149" t="n">
        <x:f>IFERROR(E13/C13,0)</x:f>
        <x:v>0.33902439024390246</x:v>
      </x:c>
      <x:c r="G13" s="143" t="n">
        <x:f>B13-C13</x:f>
        <x:v>59070000</x:v>
      </x:c>
    </x:row>
    <x:row r="14">
      <x:c r="A14" s="107" t="str">
        <x:v>PRJ-009</x:v>
      </x:c>
      <x:c r="B14" s="130" t="n">
        <x:f>VLOOKUP(A14,'프로젝트'!$A$6:$E$35,5,FALSE)</x:f>
        <x:v>66200000</x:v>
      </x:c>
      <x:c r="C14" s="131" t="n">
        <x:f>SUMIF('매출'!$B$6:$B$125,A14,'매출'!$D$6:$D$125)</x:f>
        <x:v>6590000</x:v>
      </x:c>
      <x:c r="D14" s="131" t="n">
        <x:f>SUMIF('비용'!$B$6:$B$125,A14,'비용'!$D$6:$D$125)</x:f>
        <x:v>3211000</x:v>
      </x:c>
      <x:c r="E14" s="131" t="n">
        <x:f>C14-D14</x:f>
        <x:v>3379000</x:v>
      </x:c>
      <x:c r="F14" s="149" t="n">
        <x:f>IFERROR(E14/C14,0)</x:f>
        <x:v>0.5127465857359635</x:v>
      </x:c>
      <x:c r="G14" s="143" t="n">
        <x:f>B14-C14</x:f>
        <x:v>59610000</x:v>
      </x:c>
    </x:row>
    <x:row r="15">
      <x:c r="A15" s="107" t="str">
        <x:v>PRJ-010</x:v>
      </x:c>
      <x:c r="B15" s="130" t="n">
        <x:f>VLOOKUP(A15,'프로젝트'!$A$6:$E$35,5,FALSE)</x:f>
        <x:v>68000000</x:v>
      </x:c>
      <x:c r="C15" s="131" t="n">
        <x:f>SUMIF('매출'!$B$6:$B$125,A15,'매출'!$D$6:$D$125)</x:f>
        <x:v>6510000</x:v>
      </x:c>
      <x:c r="D15" s="131" t="n">
        <x:f>SUMIF('비용'!$B$6:$B$125,A15,'비용'!$D$6:$D$125)</x:f>
        <x:v>4348500</x:v>
      </x:c>
      <x:c r="E15" s="131" t="n">
        <x:f>C15-D15</x:f>
        <x:v>2161500</x:v>
      </x:c>
      <x:c r="F15" s="149" t="n">
        <x:f>IFERROR(E15/C15,0)</x:f>
        <x:v>0.33202764976958526</x:v>
      </x:c>
      <x:c r="G15" s="143" t="n">
        <x:f>B15-C15</x:f>
        <x:v>61490000</x:v>
      </x:c>
    </x:row>
    <x:row r="16">
      <x:c r="A16" s="107" t="str">
        <x:v>PRJ-011</x:v>
      </x:c>
      <x:c r="B16" s="130" t="n">
        <x:f>VLOOKUP(A16,'프로젝트'!$A$6:$E$35,5,FALSE)</x:f>
        <x:v>69800000</x:v>
      </x:c>
      <x:c r="C16" s="131" t="n">
        <x:f>SUMIF('매출'!$B$6:$B$125,A16,'매출'!$D$6:$D$125)</x:f>
        <x:v>5570000</x:v>
      </x:c>
      <x:c r="D16" s="131" t="n">
        <x:f>SUMIF('비용'!$B$6:$B$125,A16,'비용'!$D$6:$D$125)</x:f>
        <x:v>5401500</x:v>
      </x:c>
      <x:c r="E16" s="131" t="n">
        <x:f>C16-D16</x:f>
        <x:v>168500</x:v>
      </x:c>
      <x:c r="F16" s="149" t="n">
        <x:f>IFERROR(E16/C16,0)</x:f>
        <x:v>0.030251346499102334</x:v>
      </x:c>
      <x:c r="G16" s="143" t="n">
        <x:f>B16-C16</x:f>
        <x:v>64230000</x:v>
      </x:c>
    </x:row>
    <x:row r="17">
      <x:c r="A17" s="107" t="str">
        <x:v>PRJ-012</x:v>
      </x:c>
      <x:c r="B17" s="130" t="n">
        <x:f>VLOOKUP(A17,'프로젝트'!$A$6:$E$35,5,FALSE)</x:f>
        <x:v>71600000</x:v>
      </x:c>
      <x:c r="C17" s="131" t="n">
        <x:f>SUMIF('매출'!$B$6:$B$125,A17,'매출'!$D$6:$D$125)</x:f>
        <x:v>6450000</x:v>
      </x:c>
      <x:c r="D17" s="131" t="n">
        <x:f>SUMIF('비용'!$B$6:$B$125,A17,'비용'!$D$6:$D$125)</x:f>
        <x:v>3152500</x:v>
      </x:c>
      <x:c r="E17" s="131" t="n">
        <x:f>SUM(C17:D17)</x:f>
        <x:v>9602500</x:v>
      </x:c>
      <x:c r="F17" s="149" t="n">
        <x:f>IFERROR(E17/C17,0)</x:f>
        <x:v>1.4887596899224806</x:v>
      </x:c>
      <x:c r="G17" s="143" t="n">
        <x:f>B17-C17</x:f>
        <x:v>65150000</x:v>
      </x:c>
    </x:row>
    <x:row r="18">
      <x:c r="A18" s="107" t="str">
        <x:v>PRJ-013</x:v>
      </x:c>
      <x:c r="B18" s="130" t="n">
        <x:f>VLOOKUP(A18,'프로젝트'!$A$6:$E$35,5,FALSE)</x:f>
        <x:v>73400000</x:v>
      </x:c>
      <x:c r="C18" s="131" t="n">
        <x:f>SUMIF('매출'!$B$6:$B$125,A18,'매출'!$D$6:$D$125)</x:f>
        <x:v>5190000</x:v>
      </x:c>
      <x:c r="D18" s="131" t="n">
        <x:f>SUMIF('비용'!$B$6:$B$125,A18,'비용'!$D$6:$D$125)</x:f>
        <x:v>4153500</x:v>
      </x:c>
      <x:c r="E18" s="131" t="n">
        <x:f>C18-D18</x:f>
        <x:v>1036500</x:v>
      </x:c>
      <x:c r="F18" s="149" t="n">
        <x:f>IFERROR(E18/C18,0)</x:f>
        <x:v>0.19971098265895953</x:v>
      </x:c>
      <x:c r="G18" s="143" t="n">
        <x:f>B18-C18</x:f>
        <x:v>68210000</x:v>
      </x:c>
    </x:row>
    <x:row r="19">
      <x:c r="A19" s="107" t="str">
        <x:v>PRJ-014</x:v>
      </x:c>
      <x:c r="B19" s="130" t="n">
        <x:f>VLOOKUP(A19,'프로젝트'!$A$6:$E$35,5,FALSE)</x:f>
        <x:v>75200000</x:v>
      </x:c>
      <x:c r="C19" s="131" t="n">
        <x:f>SUMIF('매출'!$B$6:$B$125,A19,'매출'!$D$6:$D$125)</x:f>
        <x:v>5480000</x:v>
      </x:c>
      <x:c r="D19" s="131" t="n">
        <x:f>SUMIF('비용'!$B$6:$B$125,A19,'비용'!$D$6:$D$125)</x:f>
        <x:v>3308500</x:v>
      </x:c>
      <x:c r="E19" s="131" t="n">
        <x:f>C19-D19</x:f>
        <x:v>2171500</x:v>
      </x:c>
      <x:c r="F19" s="149" t="n">
        <x:f>IFERROR(E19/C19,0)</x:f>
        <x:v>0.39625912408759123</x:v>
      </x:c>
      <x:c r="G19" s="143" t="n">
        <x:f>B19-C19</x:f>
        <x:v>69720000</x:v>
      </x:c>
    </x:row>
    <x:row r="20">
      <x:c r="A20" s="107" t="str">
        <x:v>PRJ-015</x:v>
      </x:c>
      <x:c r="B20" s="130" t="n">
        <x:f>VLOOKUP(A20,'프로젝트'!$A$6:$E$35,5,FALSE)</x:f>
        <x:v>77000000</x:v>
      </x:c>
      <x:c r="C20" s="131" t="n">
        <x:f>SUMIF('매출'!$B$6:$B$125,A20,'매출'!$D$6:$D$125)</x:f>
        <x:v>6010000</x:v>
      </x:c>
      <x:c r="D20" s="131" t="n">
        <x:f>SUMIF('비용'!$B$6:$B$125,A20,'비용'!$D$6:$D$125)</x:f>
        <x:v>4309500</x:v>
      </x:c>
      <x:c r="E20" s="131" t="n">
        <x:f>C20-D20</x:f>
        <x:v>1700500</x:v>
      </x:c>
      <x:c r="F20" s="149" t="n">
        <x:f>IFERROR(E20/C20,0)</x:f>
        <x:v>0.2829450915141431</x:v>
      </x:c>
      <x:c r="G20" s="143" t="n">
        <x:f>B20-C20</x:f>
        <x:v>70990000</x:v>
      </x:c>
    </x:row>
    <x:row r="21">
      <x:c r="A21" s="107" t="str">
        <x:v>PRJ-016</x:v>
      </x:c>
      <x:c r="B21" s="130" t="n">
        <x:f>VLOOKUP(A21,'프로젝트'!$A$6:$E$35,5,FALSE)</x:f>
        <x:v>78800000</x:v>
      </x:c>
      <x:c r="C21" s="131" t="n">
        <x:f>SUMIF('매출'!$B$6:$B$125,A21,'매출'!$D$6:$D$125)</x:f>
        <x:v>4930000</x:v>
      </x:c>
      <x:c r="D21" s="131" t="n">
        <x:f>SUMIF('비용'!$B$6:$B$125,A21,'비용'!$D$6:$D$125)</x:f>
        <x:v>2853500</x:v>
      </x:c>
      <x:c r="E21" s="131" t="n">
        <x:f>C21-D21</x:f>
        <x:v>2076500</x:v>
      </x:c>
      <x:c r="F21" s="149" t="n">
        <x:f>IFERROR(E21/C21,0)</x:f>
        <x:v>0.42119675456389455</x:v>
      </x:c>
      <x:c r="G21" s="143" t="n">
        <x:f>B21-C21</x:f>
        <x:v>73870000</x:v>
      </x:c>
    </x:row>
    <x:row r="22">
      <x:c r="A22" s="107" t="str">
        <x:v>PRJ-017</x:v>
      </x:c>
      <x:c r="B22" s="130" t="n">
        <x:f>VLOOKUP(A22,'프로젝트'!$A$6:$E$35,5,FALSE)</x:f>
        <x:v>80600000</x:v>
      </x:c>
      <x:c r="C22" s="131" t="n">
        <x:f>SUMIF('매출'!$B$6:$B$125,A22,'매출'!$D$6:$D$125)</x:f>
        <x:v>6320000</x:v>
      </x:c>
      <x:c r="D22" s="131" t="n">
        <x:f>SUMIF('비용'!$B$6:$B$125,A22,'비용'!$D$6:$D$125)</x:f>
        <x:v>3458000</x:v>
      </x:c>
      <x:c r="E22" s="131" t="n">
        <x:f>C22-D22</x:f>
        <x:v>2862000</x:v>
      </x:c>
      <x:c r="F22" s="149" t="n">
        <x:f>IFERROR(E22/C22,0)</x:f>
        <x:v>0.4528481012658228</x:v>
      </x:c>
      <x:c r="G22" s="143" t="n">
        <x:f>B22-C22</x:f>
        <x:v>74280000</x:v>
      </x:c>
    </x:row>
    <x:row r="23">
      <x:c r="A23" s="107" t="str">
        <x:v>PRJ-018</x:v>
      </x:c>
      <x:c r="B23" s="130" t="n">
        <x:f>VLOOKUP(A23,'프로젝트'!$A$6:$E$35,5,FALSE)</x:f>
        <x:v>82400000</x:v>
      </x:c>
      <x:c r="C23" s="131" t="n">
        <x:f>SUMIF('매출'!$B$6:$B$125,A23,'매출'!$D$6:$D$125)</x:f>
        <x:v>4830000</x:v>
      </x:c>
      <x:c r="D23" s="131" t="n">
        <x:f>SUMIF('비용'!$B$6:$B$125,A23,'비용'!$D$6:$D$125)</x:f>
        <x:v>3393000</x:v>
      </x:c>
      <x:c r="E23" s="131" t="n">
        <x:f>C23-D23</x:f>
        <x:v>1437000</x:v>
      </x:c>
      <x:c r="F23" s="149" t="n">
        <x:v>0.31</x:v>
      </x:c>
      <x:c r="G23" s="143" t="n">
        <x:f>B23-C23</x:f>
        <x:v>77570000</x:v>
      </x:c>
    </x:row>
    <x:row r="24">
      <x:c r="A24" s="107" t="str">
        <x:v>PRJ-019</x:v>
      </x:c>
      <x:c r="B24" s="130" t="n">
        <x:f>VLOOKUP(A24,'프로젝트'!$A$6:$E$35,5,FALSE)</x:f>
        <x:v>84200000</x:v>
      </x:c>
      <x:c r="C24" s="131" t="n">
        <x:f>SUMIF('매출'!$B$6:$B$125,A24,'매출'!$D$6:$D$125)</x:f>
        <x:v>5110000</x:v>
      </x:c>
      <x:c r="D24" s="131" t="n">
        <x:f>SUMIF('비용'!$B$6:$B$125,A24,'비용'!$D$6:$D$125)</x:f>
        <x:v>3503500</x:v>
      </x:c>
      <x:c r="E24" s="131" t="n">
        <x:f>C24-D24</x:f>
        <x:v>1606500</x:v>
      </x:c>
      <x:c r="F24" s="149" t="n">
        <x:f>IFERROR(E24/C24,0)</x:f>
        <x:v>0.31438356164383563</x:v>
      </x:c>
      <x:c r="G24" s="143" t="n">
        <x:f>B24-C24</x:f>
        <x:v>79090000</x:v>
      </x:c>
    </x:row>
    <x:row r="25">
      <x:c r="A25" s="107" t="str">
        <x:v>PRJ-020</x:v>
      </x:c>
      <x:c r="B25" s="130" t="n">
        <x:f>VLOOKUP(A25,'프로젝트'!$A$6:$E$35,5,FALSE)</x:f>
        <x:v>86000000</x:v>
      </x:c>
      <x:c r="C25" s="131" t="n">
        <x:f>SUMIF('매출'!$B$6:$B$125,A25,'매출'!$D$6:$D$125)</x:f>
        <x:v>7420000</x:v>
      </x:c>
      <x:c r="D25" s="131" t="n">
        <x:f>SUMIF('비용'!$B$6:$B$125,A25,'비용'!$D$6:$D$125)</x:f>
        <x:v>2580500</x:v>
      </x:c>
      <x:c r="E25" s="131" t="n">
        <x:f>C25-D25</x:f>
        <x:v>4839500</x:v>
      </x:c>
      <x:c r="F25" s="149" t="n">
        <x:f>IFERROR(E25/C25,0)</x:f>
        <x:v>0.6522237196765499</x:v>
      </x:c>
      <x:c r="G25" s="143" t="n">
        <x:f>B25-C25</x:f>
        <x:v>78580000</x:v>
      </x:c>
    </x:row>
    <x:row r="26">
      <x:c r="A26" s="107" t="str">
        <x:v>PRJ-021</x:v>
      </x:c>
      <x:c r="B26" s="130" t="n">
        <x:f>VLOOKUP(A26,'프로젝트'!$A$6:$E$35,5,FALSE)</x:f>
        <x:v>87800000</x:v>
      </x:c>
      <x:c r="C26" s="131" t="n">
        <x:f>SUMIF('매출'!$B$6:$B$125,A26,'매출'!$D$6:$D$125)</x:f>
        <x:v>5160000</x:v>
      </x:c>
      <x:c r="D26" s="131" t="n">
        <x:f>SUMIF('비용'!$B$6:$B$125,A26,'비용'!$D$6:$D$125)</x:f>
        <x:v>4985500</x:v>
      </x:c>
      <x:c r="E26" s="131" t="n">
        <x:f>C26-D26</x:f>
        <x:v>174500</x:v>
      </x:c>
      <x:c r="F26" s="149" t="n">
        <x:f>IFERROR(E26/C26,0)</x:f>
        <x:v>0.03381782945736434</x:v>
      </x:c>
      <x:c r="G26" s="143" t="n">
        <x:f>B26-C26</x:f>
        <x:v>82640000</x:v>
      </x:c>
    </x:row>
    <x:row r="27">
      <x:c r="A27" s="107" t="str">
        <x:v>PRJ-022</x:v>
      </x:c>
      <x:c r="B27" s="130" t="n">
        <x:f>VLOOKUP(A27,'프로젝트'!$A$6:$E$35,5,FALSE)</x:f>
        <x:v>89600000</x:v>
      </x:c>
      <x:c r="C27" s="131" t="n">
        <x:f>SUMIF('매출'!$B$6:$B$125,A27,'매출'!$D$6:$D$125)</x:f>
        <x:v>6800000</x:v>
      </x:c>
      <x:c r="D27" s="131" t="n">
        <x:f>SUMIF('비용'!$B$6:$B$125,A27,'비용'!$D$6:$D$125)</x:f>
        <x:v>4017000</x:v>
      </x:c>
      <x:c r="E27" s="131" t="n">
        <x:f>C27-D27</x:f>
        <x:v>2783000</x:v>
      </x:c>
      <x:c r="F27" s="149" t="n">
        <x:f>IFERROR(E27/C27,0)</x:f>
        <x:v>0.4092647058823529</x:v>
      </x:c>
      <x:c r="G27" s="143" t="n">
        <x:f>B27-C27</x:f>
        <x:v>82800000</x:v>
      </x:c>
    </x:row>
    <x:row r="28">
      <x:c r="A28" s="107" t="str">
        <x:v>PRJ-023</x:v>
      </x:c>
      <x:c r="B28" s="130" t="n">
        <x:f>VLOOKUP(A28,'프로젝트'!$A$6:$E$35,5,FALSE)</x:f>
        <x:v>91400000</x:v>
      </x:c>
      <x:c r="C28" s="131" t="n">
        <x:f>SUMIF('매출'!$B$6:$B$125,A28,'매출'!$D$6:$D$125)</x:f>
        <x:v>7790000</x:v>
      </x:c>
      <x:c r="D28" s="131" t="n">
        <x:f>SUMIF('비용'!$B$6:$B$125,A28,'비용'!$D$6:$D$125)</x:f>
        <x:v>3562000</x:v>
      </x:c>
      <x:c r="E28" s="131" t="n">
        <x:f>C28-D28</x:f>
        <x:v>4228000</x:v>
      </x:c>
      <x:c r="F28" s="149" t="n">
        <x:f>IFERROR(E28/C28,0)</x:f>
        <x:v>0.5427471116816431</x:v>
      </x:c>
      <x:c r="G28" s="143" t="n">
        <x:f>B28-C28</x:f>
        <x:v>83610000</x:v>
      </x:c>
    </x:row>
    <x:row r="29">
      <x:c r="A29" s="107" t="str">
        <x:v>PRJ-024</x:v>
      </x:c>
      <x:c r="B29" s="130" t="n">
        <x:f>VLOOKUP(A29,'프로젝트'!$A$6:$E$35,5,FALSE)</x:f>
        <x:v>93200000</x:v>
      </x:c>
      <x:c r="C29" s="131" t="n">
        <x:f>SUMIF('매출'!$B$6:$B$125,A29,'매출'!$D$6:$D$125)</x:f>
        <x:v>5340000</x:v>
      </x:c>
      <x:c r="D29" s="131" t="n">
        <x:f>SUMIF('비용'!$B$6:$B$125,A29,'비용'!$D$6:$D$125)</x:f>
        <x:v>4049500</x:v>
      </x:c>
      <x:c r="E29" s="131" t="n">
        <x:f>C29-D29</x:f>
        <x:v>1290500</x:v>
      </x:c>
      <x:c r="F29" s="149" t="n">
        <x:f>IFERROR(E29/C29,0)</x:f>
        <x:v>0.24166666666666667</x:v>
      </x:c>
      <x:c r="G29" s="143"/>
    </x:row>
    <x:row r="30">
      <x:c r="A30" s="107" t="str">
        <x:v>PRJ-025</x:v>
      </x:c>
      <x:c r="B30" s="130" t="n">
        <x:f>VLOOKUP(A30,'프로젝트'!$A$6:$E$35,5,FALSE)</x:f>
        <x:v>95000000</x:v>
      </x:c>
      <x:c r="C30" s="131" t="n">
        <x:f>SUMIF('매출'!$B$6:$B$125,A30,'매출'!$D$6:$D$125)</x:f>
        <x:v>5750000</x:v>
      </x:c>
      <x:c r="D30" s="131" t="n">
        <x:f>SUMIF('비용'!$B$6:$B$125,A30,'비용'!$D$6:$D$125)</x:f>
        <x:v>4758000</x:v>
      </x:c>
      <x:c r="E30" s="131" t="n">
        <x:f>C30-D30</x:f>
        <x:v>992000</x:v>
      </x:c>
      <x:c r="F30" s="149" t="n">
        <x:f>IFERROR(E30/C30,0)</x:f>
        <x:v>0.17252173913043478</x:v>
      </x:c>
      <x:c r="G30" s="143" t="n">
        <x:f>B30-C30</x:f>
        <x:v>89250000</x:v>
      </x:c>
    </x:row>
    <x:row r="31">
      <x:c r="A31" s="107" t="str">
        <x:v>PRJ-026</x:v>
      </x:c>
      <x:c r="B31" s="130" t="n">
        <x:f>VLOOKUP(A31,'프로젝트'!$A$6:$E$35,5,FALSE)</x:f>
        <x:v>96800000</x:v>
      </x:c>
      <x:c r="C31" s="131" t="n">
        <x:f>SUMIF('매출'!$B$6:$B$125,A31,'매출'!$D$6:$D$125)</x:f>
        <x:v>7470000</x:v>
      </x:c>
      <x:c r="D31" s="131" t="n">
        <x:f>SUMIF('비용'!$B$6:$B$125,A31,'비용'!$D$6:$D$125)</x:f>
        <x:v>2996500</x:v>
      </x:c>
      <x:c r="E31" s="131" t="n">
        <x:f>C31-D31</x:f>
        <x:v>4473500</x:v>
      </x:c>
      <x:c r="F31" s="149" t="n">
        <x:f>IFERROR(E31/C31,0)</x:f>
        <x:v>0.5988621151271754</x:v>
      </x:c>
      <x:c r="G31" s="143" t="n">
        <x:f>B31-C31</x:f>
        <x:v>89330000</x:v>
      </x:c>
    </x:row>
    <x:row r="32">
      <x:c r="A32" s="107" t="str">
        <x:v>PRJ-027</x:v>
      </x:c>
      <x:c r="B32" s="130" t="n">
        <x:f>VLOOKUP(A32,'프로젝트'!$A$6:$E$35,5,FALSE)</x:f>
        <x:v>98600000</x:v>
      </x:c>
      <x:c r="C32" s="131" t="n">
        <x:f>SUMIF('매출'!$B$6:$B$125,A32,'매출'!$D$6:$D$125)</x:f>
        <x:v>7810000</x:v>
      </x:c>
      <x:c r="D32" s="131" t="n">
        <x:f>SUMIF('비용'!$B$6:$B$125,A32,'비용'!$D$6:$D$125)</x:f>
        <x:v>4699500</x:v>
      </x:c>
      <x:c r="E32" s="131" t="n">
        <x:f>C32-D32</x:f>
        <x:v>3110500</x:v>
      </x:c>
      <x:c r="F32" s="149" t="n">
        <x:f>IFERROR(E32/C32,0)</x:f>
        <x:v>0.39827144686299615</x:v>
      </x:c>
      <x:c r="G32" s="143" t="n">
        <x:f>B32-C32</x:f>
        <x:v>90790000</x:v>
      </x:c>
    </x:row>
    <x:row r="33">
      <x:c r="A33" s="107" t="str">
        <x:v>PRJ-028</x:v>
      </x:c>
      <x:c r="B33" s="130" t="n">
        <x:f>VLOOKUP(A33,'프로젝트'!$A$6:$E$35,5,FALSE)</x:f>
        <x:v>100400000</x:v>
      </x:c>
      <x:c r="C33" s="131" t="n">
        <x:f>SUMIF('매출'!$B$6:$B$125,A33,'매출'!$D$6:$D$125)</x:f>
        <x:v>6590000</x:v>
      </x:c>
      <x:c r="D33" s="131" t="n">
        <x:f>SUMIF('비용'!$B$6:$B$125,A33,'비용'!$D$6:$D$125)</x:f>
        <x:v>4212000</x:v>
      </x:c>
      <x:c r="E33" s="131" t="n">
        <x:f>C33-D33</x:f>
        <x:v>2378000</x:v>
      </x:c>
      <x:c r="F33" s="149" t="n">
        <x:f>IFERROR(E33/C33,0)</x:f>
        <x:v>0.36084977238239757</x:v>
      </x:c>
      <x:c r="G33" s="143" t="n">
        <x:f>B33-C33</x:f>
        <x:v>93810000</x:v>
      </x:c>
    </x:row>
    <x:row r="34">
      <x:c r="A34" s="107" t="str">
        <x:v>PRJ-029</x:v>
      </x:c>
      <x:c r="B34" s="130" t="n">
        <x:f>VLOOKUP(A34,'프로젝트'!$A$6:$E$35,5,FALSE)</x:f>
        <x:v>102200000</x:v>
      </x:c>
      <x:c r="C34" s="131" t="n">
        <x:f>SUMIF('매출'!$B$6:$B$125,A34,'매출'!$D$6:$D$125)</x:f>
        <x:v>4610000</x:v>
      </x:c>
      <x:c r="D34" s="131" t="n">
        <x:f>SUMIF('비용'!$B$6:$B$125,A34,'비용'!$D$6:$D$125)</x:f>
        <x:v>4264000</x:v>
      </x:c>
      <x:c r="E34" s="131" t="n">
        <x:f>C34-D34</x:f>
        <x:v>346000</x:v>
      </x:c>
      <x:c r="F34" s="149" t="n">
        <x:f>IFERROR(E34/C34,0)</x:f>
        <x:v>0.07505422993492408</x:v>
      </x:c>
      <x:c r="G34" s="143" t="n">
        <x:f>B34-C34</x:f>
        <x:v>97590000</x:v>
      </x:c>
    </x:row>
    <x:row r="35">
      <x:c r="A35" s="108" t="str">
        <x:v>PRJ-030</x:v>
      </x:c>
      <x:c r="B35" s="132" t="n">
        <x:f>VLOOKUP(A35,'프로젝트'!$A$6:$E$35,5,FALSE)</x:f>
        <x:v>104000000</x:v>
      </x:c>
      <x:c r="C35" s="133" t="n">
        <x:f>SUMIF('매출'!$B$6:$B$125,A35,'매출'!$D$6:$D$125)</x:f>
        <x:v>4740000</x:v>
      </x:c>
      <x:c r="D35" s="133" t="n">
        <x:f>SUMIF('비용'!$B$6:$B$125,A35,'비용'!$D$6:$D$125)</x:f>
        <x:v>5570500</x:v>
      </x:c>
      <x:c r="E35" s="133" t="n">
        <x:f>C35-D35</x:f>
        <x:v>-830500</x:v>
      </x:c>
      <x:c r="F35" s="150" t="n">
        <x:f>IFERROR(E35/C35,0)</x:f>
        <x:v>-0.17521097046413503</x:v>
      </x:c>
      <x:c r="G35" s="144" t="n">
        <x:f>B35-C35</x:f>
        <x:v>99260000</x:v>
      </x:c>
    </x:row>
    <x:row r="36">
      <x:c r="A36" s="162" t="str">
        <x:v>소계</x:v>
      </x:c>
      <x:c r="B36" s="163" t="n">
        <x:f>SUM(B6:B35)</x:f>
        <x:v>2337000000</x:v>
      </x:c>
      <x:c r="C36" s="163" t="n">
        <x:f>SUM(C6:C35)</x:f>
        <x:v>183930000</x:v>
      </x:c>
      <x:c r="D36" s="163" t="n">
        <x:f>SUM(D6:D35)</x:f>
        <x:v>114725000</x:v>
      </x:c>
      <x:c r="E36" s="163" t="n">
        <x:f>SUM(E6:E35)</x:f>
        <x:v>75510000</x:v>
      </x:c>
      <x:c r="F36" s="164" t="n">
        <x:f>IFERROR(E36/C36,0)</x:f>
        <x:v>0.4105366171913228</x:v>
      </x:c>
      <x:c r="G36" s="165" t="n">
        <x:f>SUM(G6:G35)</x:f>
        <x:v>2065210000</x:v>
      </x:c>
    </x:row>
    <x:row r="37">
      <x:c r="A37" s="182" t="str">
        <x:v>경영조정</x:v>
      </x:c>
      <x:c r="B37" s="183" t="n">
        <x:v>0</x:v>
      </x:c>
      <x:c r="C37" s="183" t="n">
        <x:v>0</x:v>
      </x:c>
      <x:c r="D37" s="183" t="n">
        <x:v>0</x:v>
      </x:c>
      <x:c r="E37" s="183" t="n">
        <x:v>-5000000</x:v>
      </x:c>
      <x:c r="F37" s="184" t="n">
        <x:v>0</x:v>
      </x:c>
      <x:c r="G37" s="185" t="n">
        <x:v>0</x:v>
      </x:c>
    </x:row>
    <x:row r="38">
      <x:c r="A38" s="162" t="str">
        <x:v>합계</x:v>
      </x:c>
      <x:c r="B38" s="163" t="n">
        <x:f>B36+B37</x:f>
        <x:v>2337000000</x:v>
      </x:c>
      <x:c r="C38" s="163" t="n">
        <x:f>C36+C37</x:f>
        <x:v>183930000</x:v>
      </x:c>
      <x:c r="D38" s="163" t="n">
        <x:f>D36+D37</x:f>
        <x:v>114725000</x:v>
      </x:c>
      <x:c r="E38" s="163" t="n">
        <x:f>E36+E37</x:f>
        <x:v>70510000</x:v>
      </x:c>
      <x:c r="F38" s="164" t="n">
        <x:f>IFERROR(E38/C38,0)</x:f>
        <x:v>0.383352362311749</x:v>
      </x:c>
      <x:c r="G38" s="165" t="n">
        <x:f>G36+G37</x:f>
        <x:v>2065210000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