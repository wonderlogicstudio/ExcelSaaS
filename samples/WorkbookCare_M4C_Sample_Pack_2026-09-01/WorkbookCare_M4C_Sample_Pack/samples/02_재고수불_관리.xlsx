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bf800dc3f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9f3bd84a7664432"/>
    <x:sheet xmlns:r="http://schemas.openxmlformats.org/officeDocument/2006/relationships" name="품목" sheetId="2" r:id="Rb69fa1e373404a00"/>
    <x:sheet xmlns:r="http://schemas.openxmlformats.org/officeDocument/2006/relationships" name="입출고" sheetId="3" r:id="R73af579fdf634dfd"/>
    <x:sheet xmlns:r="http://schemas.openxmlformats.org/officeDocument/2006/relationships" name="재고현황" sheetId="4" r:id="Re999839a95204564"/>
    <x:sheet xmlns:r="http://schemas.openxmlformats.org/officeDocument/2006/relationships" name="요약" sheetId="5" r:id="R381cac57fc40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9" xfId="0" applyNumberFormat="1" applyFont="1" applyFill="1" applyBorder="1"/>
    <x:xf numFmtId="200" fontId="0" fillId="9" borderId="0" xfId="0" applyNumberFormat="1" applyFont="1" applyFill="1" applyBorder="1"/>
    <x:xf numFmtId="200" fontId="0" fillId="9" borderId="14" xfId="0" applyNumberFormat="1" applyFont="1" applyFill="1" applyBorder="1"/>
    <x:xf numFmtId="200" fontId="0" fillId="9" borderId="17" xfId="0" applyNumberFormat="1" applyFont="1" applyFill="1" applyBorder="1"/>
    <x:xf numFmtId="200" fontId="0" fillId="9" borderId="1" xfId="0" applyNumberFormat="1" applyFont="1" applyFill="1" applyBorder="1"/>
    <x:xf numFmtId="200" fontId="0" fillId="9" borderId="22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201" fontId="0" fillId="9" borderId="8" xfId="0" applyNumberFormat="1" applyFont="1" applyFill="1" applyBorder="1"/>
    <x:xf numFmtId="201" fontId="0" fillId="9" borderId="11" xfId="0" applyNumberFormat="1" applyFont="1" applyFill="1" applyBorder="1"/>
    <x:xf numFmtId="201" fontId="0" fillId="9" borderId="13" xfId="0" applyNumberFormat="1" applyFont="1" applyFill="1" applyBorder="1"/>
    <x:xf numFmtId="201" fontId="0" fillId="9" borderId="16" xfId="0" applyNumberFormat="1" applyFont="1" applyFill="1" applyBorder="1"/>
    <x:xf numFmtId="201" fontId="0" fillId="9" borderId="19" xfId="0" applyNumberFormat="1" applyFont="1" applyFill="1" applyBorder="1"/>
    <x:xf numFmtId="201" fontId="0" fillId="9" borderId="21" xfId="0" applyNumberFormat="1" applyFont="1" applyFill="1" applyBorder="1"/>
    <x:xf numFmtId="200" fontId="0" fillId="9" borderId="10" xfId="0" applyNumberFormat="1" applyFont="1" applyFill="1" applyBorder="1"/>
    <x:xf numFmtId="200" fontId="0" fillId="8" borderId="24" xfId="0" applyNumberFormat="1" applyFont="1" applyFill="1" applyBorder="1"/>
    <x:xf numFmtId="200" fontId="0" fillId="9" borderId="12" xfId="0" applyNumberFormat="1" applyFont="1" applyFill="1" applyBorder="1"/>
    <x:xf numFmtId="200" fontId="0" fillId="8" borderId="25" xfId="0" applyNumberFormat="1" applyFont="1" applyFill="1" applyBorder="1"/>
    <x:xf numFmtId="200" fontId="0" fillId="9" borderId="15" xfId="0" applyNumberFormat="1" applyFont="1" applyFill="1" applyBorder="1"/>
    <x:xf numFmtId="200" fontId="0" fillId="8" borderId="26" xfId="0" applyNumberFormat="1" applyFont="1" applyFill="1" applyBorder="1"/>
    <x:xf numFmtId="200" fontId="0" fillId="0" borderId="0" xfId="0" applyNumberFormat="1" applyFont="1" applyFill="1" applyBorder="1"/>
    <x:xf numFmtId="200" fontId="0" fillId="9" borderId="18" xfId="0" applyNumberFormat="1" applyFont="1" applyFill="1" applyBorder="1"/>
    <x:xf numFmtId="200" fontId="0" fillId="8" borderId="27" xfId="0" applyNumberFormat="1" applyFont="1" applyFill="1" applyBorder="1"/>
    <x:xf numFmtId="200" fontId="0" fillId="9" borderId="20" xfId="0" applyNumberFormat="1" applyFont="1" applyFill="1" applyBorder="1"/>
    <x:xf numFmtId="200" fontId="0" fillId="8" borderId="28" xfId="0" applyNumberFormat="1" applyFont="1" applyFill="1" applyBorder="1"/>
    <x:xf numFmtId="200" fontId="0" fillId="9" borderId="23" xfId="0" applyNumberFormat="1" applyFont="1" applyFill="1" applyBorder="1"/>
    <x:xf numFmtId="200" fontId="0" fillId="8" borderId="29" xfId="0" applyNumberFormat="1" applyFont="1" applyFill="1" applyBorder="1"/>
    <x:xf numFmtId="200" fontId="0" fillId="0" borderId="1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200" fontId="4" fillId="10" borderId="31" xfId="0" applyNumberFormat="1" applyFont="1" applyFill="1" applyBorder="1"/>
    <x:xf numFmtId="0" fontId="4" fillId="10" borderId="32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4" fillId="10" borderId="1" xfId="0" applyNumberFormat="1" applyFont="1" applyFill="1" applyBorder="1"/>
    <x:xf numFmtId="200" fontId="4" fillId="10" borderId="1" xfId="0" applyNumberFormat="1" applyFont="1" applyFill="1" applyBorder="1"/>
    <x:xf numFmtId="0" fontId="4" fillId="10" borderId="33" xfId="0" applyNumberFormat="1" applyFont="1" applyFill="1" applyBorder="1"/>
    <x:xf numFmtId="0" fontId="4" fillId="10" borderId="34" xfId="0" applyNumberFormat="1" applyFont="1" applyFill="1" applyBorder="1"/>
    <x:xf numFmtId="200" fontId="4" fillId="10" borderId="34" xfId="0" applyNumberFormat="1" applyFont="1" applyFill="1" applyBorder="1"/>
    <x:xf numFmtId="0" fontId="4" fillId="10" borderId="35" xfId="0" applyNumberFormat="1" applyFont="1" applyFill="1" applyBorder="1"/>
    <x:xf numFmtId="0" fontId="0" fillId="11" borderId="0" xfId="0" applyNumberFormat="1" applyFont="1" applyFill="1" applyBorder="1"/>
    <x:xf numFmtId="200" fontId="0" fillId="11" borderId="0" xfId="0" applyNumberFormat="1" applyFont="1" applyFill="1" applyBorder="1"/>
    <x:xf numFmtId="0" fontId="6" fillId="11" borderId="0" xfId="0" applyNumberFormat="1" applyFont="1" applyFill="1" applyBorder="1"/>
    <x:xf numFmtId="200" fontId="6" fillId="11" borderId="0" xfId="0" applyNumberFormat="1" applyFont="1" applyFill="1" applyBorder="1"/>
    <x:xf numFmtId="0" fontId="6" fillId="11" borderId="36" xfId="0" applyNumberFormat="1" applyFont="1" applyFill="1" applyBorder="1"/>
    <x:xf numFmtId="0" fontId="6" fillId="11" borderId="37" xfId="0" applyNumberFormat="1" applyFont="1" applyFill="1" applyBorder="1"/>
    <x:xf numFmtId="200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0" fillId="11" borderId="1" xfId="0" applyNumberFormat="1" applyFont="1" applyFill="1" applyBorder="1"/>
    <x:xf numFmtId="200" fontId="0" fillId="11" borderId="1" xfId="0" applyNumberFormat="1" applyFont="1" applyFill="1" applyBorder="1"/>
    <x:xf numFmtId="0" fontId="6" fillId="11" borderId="1" xfId="0" applyNumberFormat="1" applyFont="1" applyFill="1" applyBorder="1"/>
    <x:xf numFmtId="200" fontId="6" fillId="11" borderId="1" xfId="0" applyNumberFormat="1" applyFont="1" applyFill="1" applyBorder="1"/>
    <x:xf numFmtId="0" fontId="6" fillId="11" borderId="39" xfId="0" applyNumberFormat="1" applyFont="1" applyFill="1" applyBorder="1"/>
    <x:xf numFmtId="0" fontId="6" fillId="11" borderId="40" xfId="0" applyNumberFormat="1" applyFont="1" applyFill="1" applyBorder="1"/>
    <x:xf numFmtId="200" fontId="6" fillId="11" borderId="40" xfId="0" applyNumberFormat="1" applyFont="1" applyFill="1" applyBorder="1"/>
    <x:xf numFmtId="0" fontId="6" fillId="11" borderId="41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8" xfId="0" applyNumberFormat="1" applyFont="1" applyFill="1" applyBorder="1"/>
    <x:xf numFmtId="200" fontId="0" fillId="8" borderId="9" xfId="0" applyNumberFormat="1" applyFont="1" applyFill="1" applyBorder="1"/>
    <x:xf numFmtId="200" fontId="0" fillId="8" borderId="10" xfId="0" applyNumberFormat="1" applyFont="1" applyFill="1" applyBorder="1"/>
    <x:xf numFmtId="200" fontId="0" fillId="9" borderId="24" xfId="0" applyNumberFormat="1" applyFont="1" applyFill="1" applyBorder="1"/>
    <x:xf numFmtId="200" fontId="0" fillId="8" borderId="11" xfId="0" applyNumberFormat="1" applyFont="1" applyFill="1" applyBorder="1"/>
    <x:xf numFmtId="200" fontId="0" fillId="8" borderId="0" xfId="0" applyNumberFormat="1" applyFont="1" applyFill="1" applyBorder="1"/>
    <x:xf numFmtId="200" fontId="0" fillId="8" borderId="12" xfId="0" applyNumberFormat="1" applyFont="1" applyFill="1" applyBorder="1"/>
    <x:xf numFmtId="200" fontId="0" fillId="9" borderId="25" xfId="0" applyNumberFormat="1" applyFont="1" applyFill="1" applyBorder="1"/>
    <x:xf numFmtId="200" fontId="0" fillId="8" borderId="13" xfId="0" applyNumberFormat="1" applyFont="1" applyFill="1" applyBorder="1"/>
    <x:xf numFmtId="200" fontId="0" fillId="8" borderId="14" xfId="0" applyNumberFormat="1" applyFont="1" applyFill="1" applyBorder="1"/>
    <x:xf numFmtId="200" fontId="0" fillId="8" borderId="15" xfId="0" applyNumberFormat="1" applyFont="1" applyFill="1" applyBorder="1"/>
    <x:xf numFmtId="200" fontId="0" fillId="9" borderId="26" xfId="0" applyNumberFormat="1" applyFont="1" applyFill="1" applyBorder="1"/>
    <x:xf numFmtId="200" fontId="0" fillId="8" borderId="16" xfId="0" applyNumberFormat="1" applyFont="1" applyFill="1" applyBorder="1"/>
    <x:xf numFmtId="200" fontId="0" fillId="8" borderId="17" xfId="0" applyNumberFormat="1" applyFont="1" applyFill="1" applyBorder="1"/>
    <x:xf numFmtId="200" fontId="0" fillId="8" borderId="18" xfId="0" applyNumberFormat="1" applyFont="1" applyFill="1" applyBorder="1"/>
    <x:xf numFmtId="200" fontId="0" fillId="9" borderId="27" xfId="0" applyNumberFormat="1" applyFont="1" applyFill="1" applyBorder="1"/>
    <x:xf numFmtId="200" fontId="0" fillId="8" borderId="19" xfId="0" applyNumberFormat="1" applyFont="1" applyFill="1" applyBorder="1"/>
    <x:xf numFmtId="200" fontId="0" fillId="8" borderId="1" xfId="0" applyNumberFormat="1" applyFont="1" applyFill="1" applyBorder="1"/>
    <x:xf numFmtId="200" fontId="0" fillId="8" borderId="20" xfId="0" applyNumberFormat="1" applyFont="1" applyFill="1" applyBorder="1"/>
    <x:xf numFmtId="200" fontId="0" fillId="9" borderId="28" xfId="0" applyNumberFormat="1" applyFont="1" applyFill="1" applyBorder="1"/>
    <x:xf numFmtId="200" fontId="0" fillId="8" borderId="21" xfId="0" applyNumberFormat="1" applyFont="1" applyFill="1" applyBorder="1"/>
    <x:xf numFmtId="200" fontId="0" fillId="8" borderId="22" xfId="0" applyNumberFormat="1" applyFont="1" applyFill="1" applyBorder="1"/>
    <x:xf numFmtId="200" fontId="0" fillId="8" borderId="23" xfId="0" applyNumberFormat="1" applyFont="1" applyFill="1" applyBorder="1"/>
    <x:xf numFmtId="200" fontId="0" fillId="9" borderId="29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12" borderId="24" xfId="0" applyNumberFormat="1" applyFont="1" applyFill="1" applyBorder="1"/>
    <x:xf numFmtId="200" fontId="0" fillId="12" borderId="25" xfId="0" applyNumberFormat="1" applyFont="1" applyFill="1" applyBorder="1"/>
    <x:xf numFmtId="200" fontId="0" fillId="12" borderId="26" xfId="0" applyNumberFormat="1" applyFont="1" applyFill="1" applyBorder="1"/>
    <x:xf numFmtId="0" fontId="0" fillId="13" borderId="24" xfId="0" applyNumberFormat="1" applyFont="1" applyFill="1" applyBorder="1"/>
    <x:xf numFmtId="0" fontId="0" fillId="13" borderId="25" xfId="0" applyNumberFormat="1" applyFont="1" applyFill="1" applyBorder="1"/>
    <x:xf numFmtId="0" fontId="0" fillId="13" borderId="26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64b80686e4e21" /><Relationship Type="http://schemas.openxmlformats.org/officeDocument/2006/relationships/theme" Target="/xl/theme/theme1.xml" Id="R5952fc9fdefb422b" /><Relationship Type="http://schemas.openxmlformats.org/officeDocument/2006/relationships/sharedStrings" Target="/xl/sharedStrings.xml" Id="R664e9fd1203847f0" /><Relationship Type="http://schemas.openxmlformats.org/officeDocument/2006/relationships/worksheet" Target="/xl/worksheets/sheet1.xml" Id="R79f3bd84a7664432" /><Relationship Type="http://schemas.openxmlformats.org/officeDocument/2006/relationships/worksheet" Target="/xl/worksheets/sheet2.xml" Id="Rb69fa1e373404a00" /><Relationship Type="http://schemas.openxmlformats.org/officeDocument/2006/relationships/worksheet" Target="/xl/worksheets/sheet3.xml" Id="R73af579fdf634dfd" /><Relationship Type="http://schemas.openxmlformats.org/officeDocument/2006/relationships/worksheet" Target="/xl/worksheets/sheet4.xml" Id="Re999839a95204564" /><Relationship Type="http://schemas.openxmlformats.org/officeDocument/2006/relationships/worksheet" Target="/xl/worksheets/sheet5.xml" Id="R381cac57fc404c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재고 수불·현재고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입고·출고 이력을 기준으로 금액과 품목별 현재고를 계산하는 합성 실무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조건식 함수 이탈, 행 참조 이탈, 상수 덮어쓰기, 빈 수식 셀 및 정상 소계·조정 행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품목</x:v>
      </x:c>
      <x:c r="B13" s="60" t="str">
        <x:v>품목·안전재고 마스터</x:v>
      </x:c>
    </x:row>
    <x:row r="14">
      <x:c r="A14" s="57" t="str">
        <x:v>입출고</x:v>
      </x:c>
      <x:c r="B14" s="60" t="str">
        <x:v>재고 이동 내역과 금액 계산</x:v>
      </x:c>
    </x:row>
    <x:row r="15">
      <x:c r="A15" s="57" t="str">
        <x:v>재고현황</x:v>
      </x:c>
      <x:c r="B15" s="60" t="str">
        <x:v>품목별 입고·출고·현재고 집계</x:v>
      </x:c>
    </x:row>
    <x:row r="16">
      <x:c r="A16" s="57" t="str">
        <x:v>요약</x:v>
      </x:c>
      <x:c r="B16" s="60" t="str">
        <x:v>재고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12" hidden="0" customWidth="1"/>
    <x:col min="6" max="6" width="10" hidden="0" customWidth="1"/>
  </x:cols>
  <x:sheetData>
    <x:row r="1" ht="30" customHeight="1">
      <x:c r="A1" s="5" t="str">
        <x:v>품목 마스터</x:v>
      </x:c>
      <x:c r="B1" s="5"/>
      <x:c r="C1" s="5"/>
      <x:c r="D1" s="5"/>
      <x:c r="E1" s="5"/>
      <x:c r="F1" s="5"/>
    </x:row>
    <x:row r="2" ht="24" customHeight="1">
      <x:c r="A2" s="12" t="str">
        <x:v>재고 수불에 사용하는 합성 품목 정보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품목코드</x:v>
      </x:c>
      <x:c r="B5" s="65" t="str">
        <x:v>품목명</x:v>
      </x:c>
      <x:c r="C5" s="65" t="str">
        <x:v>분류</x:v>
      </x:c>
      <x:c r="D5" s="65" t="str">
        <x:v>기준단가</x:v>
      </x:c>
      <x:c r="E5" s="65" t="str">
        <x:v>안전재고</x:v>
      </x:c>
      <x:c r="F5" s="31" t="str">
        <x:v>사용여부</x:v>
      </x:c>
    </x:row>
    <x:row r="6">
      <x:c r="A6" s="71" t="str">
        <x:v>P001</x:v>
      </x:c>
      <x:c r="B6" s="72" t="str">
        <x:v>품목01</x:v>
      </x:c>
      <x:c r="C6" s="72" t="str">
        <x:v>완제품</x:v>
      </x:c>
      <x:c r="D6" s="88" t="n">
        <x:v>3350</x:v>
      </x:c>
      <x:c r="E6" s="88" t="n">
        <x:v>30</x:v>
      </x:c>
      <x:c r="F6" s="73" t="str">
        <x:v>Y</x:v>
      </x:c>
    </x:row>
    <x:row r="7">
      <x:c r="A7" s="74" t="str">
        <x:v>P002</x:v>
      </x:c>
      <x:c r="B7" s="70" t="str">
        <x:v>품목02</x:v>
      </x:c>
      <x:c r="C7" s="70" t="str">
        <x:v>반제품</x:v>
      </x:c>
      <x:c r="D7" s="89" t="n">
        <x:v>3700</x:v>
      </x:c>
      <x:c r="E7" s="89" t="n">
        <x:v>40</x:v>
      </x:c>
      <x:c r="F7" s="75" t="str">
        <x:v>Y</x:v>
      </x:c>
    </x:row>
    <x:row r="8">
      <x:c r="A8" s="74" t="str">
        <x:v>P003</x:v>
      </x:c>
      <x:c r="B8" s="70" t="str">
        <x:v>품목03</x:v>
      </x:c>
      <x:c r="C8" s="70" t="str">
        <x:v>원재료</x:v>
      </x:c>
      <x:c r="D8" s="89" t="n">
        <x:v>4050</x:v>
      </x:c>
      <x:c r="E8" s="89" t="n">
        <x:v>50</x:v>
      </x:c>
      <x:c r="F8" s="75" t="str">
        <x:v>Y</x:v>
      </x:c>
    </x:row>
    <x:row r="9">
      <x:c r="A9" s="74" t="str">
        <x:v>P004</x:v>
      </x:c>
      <x:c r="B9" s="70" t="str">
        <x:v>품목04</x:v>
      </x:c>
      <x:c r="C9" s="70" t="str">
        <x:v>완제품</x:v>
      </x:c>
      <x:c r="D9" s="89" t="n">
        <x:v>4400</x:v>
      </x:c>
      <x:c r="E9" s="89" t="n">
        <x:v>60</x:v>
      </x:c>
      <x:c r="F9" s="75" t="str">
        <x:v>Y</x:v>
      </x:c>
    </x:row>
    <x:row r="10">
      <x:c r="A10" s="74" t="str">
        <x:v>P005</x:v>
      </x:c>
      <x:c r="B10" s="70" t="str">
        <x:v>품목05</x:v>
      </x:c>
      <x:c r="C10" s="70" t="str">
        <x:v>반제품</x:v>
      </x:c>
      <x:c r="D10" s="89" t="n">
        <x:v>4750</x:v>
      </x:c>
      <x:c r="E10" s="89" t="n">
        <x:v>20</x:v>
      </x:c>
      <x:c r="F10" s="75" t="str">
        <x:v>Y</x:v>
      </x:c>
    </x:row>
    <x:row r="11">
      <x:c r="A11" s="74" t="str">
        <x:v>P006</x:v>
      </x:c>
      <x:c r="B11" s="70" t="str">
        <x:v>품목06</x:v>
      </x:c>
      <x:c r="C11" s="70" t="str">
        <x:v>원재료</x:v>
      </x:c>
      <x:c r="D11" s="89" t="n">
        <x:v>5100</x:v>
      </x:c>
      <x:c r="E11" s="89" t="n">
        <x:v>30</x:v>
      </x:c>
      <x:c r="F11" s="75" t="str">
        <x:v>Y</x:v>
      </x:c>
    </x:row>
    <x:row r="12">
      <x:c r="A12" s="74" t="str">
        <x:v>P007</x:v>
      </x:c>
      <x:c r="B12" s="70" t="str">
        <x:v>품목07</x:v>
      </x:c>
      <x:c r="C12" s="70" t="str">
        <x:v>완제품</x:v>
      </x:c>
      <x:c r="D12" s="89" t="n">
        <x:v>5450</x:v>
      </x:c>
      <x:c r="E12" s="89" t="n">
        <x:v>40</x:v>
      </x:c>
      <x:c r="F12" s="75" t="str">
        <x:v>Y</x:v>
      </x:c>
    </x:row>
    <x:row r="13">
      <x:c r="A13" s="74" t="str">
        <x:v>P008</x:v>
      </x:c>
      <x:c r="B13" s="70" t="str">
        <x:v>품목08</x:v>
      </x:c>
      <x:c r="C13" s="70" t="str">
        <x:v>반제품</x:v>
      </x:c>
      <x:c r="D13" s="89" t="n">
        <x:v>5800</x:v>
      </x:c>
      <x:c r="E13" s="89" t="n">
        <x:v>50</x:v>
      </x:c>
      <x:c r="F13" s="75" t="str">
        <x:v>Y</x:v>
      </x:c>
    </x:row>
    <x:row r="14">
      <x:c r="A14" s="74" t="str">
        <x:v>P009</x:v>
      </x:c>
      <x:c r="B14" s="70" t="str">
        <x:v>품목09</x:v>
      </x:c>
      <x:c r="C14" s="70" t="str">
        <x:v>원재료</x:v>
      </x:c>
      <x:c r="D14" s="89" t="n">
        <x:v>6150</x:v>
      </x:c>
      <x:c r="E14" s="89" t="n">
        <x:v>60</x:v>
      </x:c>
      <x:c r="F14" s="75" t="str">
        <x:v>Y</x:v>
      </x:c>
    </x:row>
    <x:row r="15">
      <x:c r="A15" s="74" t="str">
        <x:v>P010</x:v>
      </x:c>
      <x:c r="B15" s="70" t="str">
        <x:v>품목10</x:v>
      </x:c>
      <x:c r="C15" s="70" t="str">
        <x:v>완제품</x:v>
      </x:c>
      <x:c r="D15" s="89" t="n">
        <x:v>6500</x:v>
      </x:c>
      <x:c r="E15" s="89" t="n">
        <x:v>20</x:v>
      </x:c>
      <x:c r="F15" s="75" t="str">
        <x:v>Y</x:v>
      </x:c>
    </x:row>
    <x:row r="16">
      <x:c r="A16" s="74" t="str">
        <x:v>P011</x:v>
      </x:c>
      <x:c r="B16" s="70" t="str">
        <x:v>품목11</x:v>
      </x:c>
      <x:c r="C16" s="70" t="str">
        <x:v>반제품</x:v>
      </x:c>
      <x:c r="D16" s="89" t="n">
        <x:v>6850</x:v>
      </x:c>
      <x:c r="E16" s="89" t="n">
        <x:v>30</x:v>
      </x:c>
      <x:c r="F16" s="75" t="str">
        <x:v>Y</x:v>
      </x:c>
    </x:row>
    <x:row r="17">
      <x:c r="A17" s="74" t="str">
        <x:v>P012</x:v>
      </x:c>
      <x:c r="B17" s="70" t="str">
        <x:v>품목12</x:v>
      </x:c>
      <x:c r="C17" s="70" t="str">
        <x:v>원재료</x:v>
      </x:c>
      <x:c r="D17" s="89" t="n">
        <x:v>7200</x:v>
      </x:c>
      <x:c r="E17" s="89" t="n">
        <x:v>40</x:v>
      </x:c>
      <x:c r="F17" s="75" t="str">
        <x:v>Y</x:v>
      </x:c>
    </x:row>
    <x:row r="18">
      <x:c r="A18" s="74" t="str">
        <x:v>P013</x:v>
      </x:c>
      <x:c r="B18" s="70" t="str">
        <x:v>품목13</x:v>
      </x:c>
      <x:c r="C18" s="70" t="str">
        <x:v>완제품</x:v>
      </x:c>
      <x:c r="D18" s="89" t="n">
        <x:v>7550</x:v>
      </x:c>
      <x:c r="E18" s="89" t="n">
        <x:v>50</x:v>
      </x:c>
      <x:c r="F18" s="75" t="str">
        <x:v>Y</x:v>
      </x:c>
    </x:row>
    <x:row r="19">
      <x:c r="A19" s="74" t="str">
        <x:v>P014</x:v>
      </x:c>
      <x:c r="B19" s="70" t="str">
        <x:v>품목14</x:v>
      </x:c>
      <x:c r="C19" s="70" t="str">
        <x:v>반제품</x:v>
      </x:c>
      <x:c r="D19" s="89" t="n">
        <x:v>7900</x:v>
      </x:c>
      <x:c r="E19" s="89" t="n">
        <x:v>60</x:v>
      </x:c>
      <x:c r="F19" s="75" t="str">
        <x:v>Y</x:v>
      </x:c>
    </x:row>
    <x:row r="20">
      <x:c r="A20" s="76" t="str">
        <x:v>P015</x:v>
      </x:c>
      <x:c r="B20" s="77" t="str">
        <x:v>품목15</x:v>
      </x:c>
      <x:c r="C20" s="77" t="str">
        <x:v>원재료</x:v>
      </x:c>
      <x:c r="D20" s="90" t="n">
        <x:v>8250</x:v>
      </x:c>
      <x:c r="E20" s="90" t="n">
        <x:v>20</x:v>
      </x:c>
      <x:c r="F20" s="78" t="str">
        <x:v>Y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2" hidden="0" customWidth="1"/>
    <x:col min="6" max="6" width="14" hidden="0" customWidth="1"/>
    <x:col min="7" max="7" width="12" hidden="0" customWidth="1"/>
    <x:col min="8" max="8" width="20" hidden="0" customWidth="1"/>
  </x:cols>
  <x:sheetData>
    <x:row r="1" ht="30" customHeight="1">
      <x:c r="A1" s="5" t="str">
        <x:v>입출고 내역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구분에 따라 금액의 부호를 계산합니다. 입고는 양수, 출고는 음수입니다.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일자</x:v>
      </x:c>
      <x:c r="B5" s="65" t="str">
        <x:v>품목코드</x:v>
      </x:c>
      <x:c r="C5" s="65" t="str">
        <x:v>구분</x:v>
      </x:c>
      <x:c r="D5" s="65" t="str">
        <x:v>수량</x:v>
      </x:c>
      <x:c r="E5" s="65" t="str">
        <x:v>단가</x:v>
      </x:c>
      <x:c r="F5" s="65" t="str">
        <x:v>금액</x:v>
      </x:c>
      <x:c r="G5" s="65" t="str">
        <x:v>창고</x:v>
      </x:c>
      <x:c r="H5" s="31" t="str">
        <x:v>비고</x:v>
      </x:c>
    </x:row>
    <x:row r="6">
      <x:c r="A6" s="100" t="n">
        <x:v>46023</x:v>
      </x:c>
      <x:c r="B6" s="72" t="str">
        <x:v>P001</x:v>
      </x:c>
      <x:c r="C6" s="72" t="str">
        <x:v>입고</x:v>
      </x:c>
      <x:c r="D6" s="88" t="n">
        <x:v>26</x:v>
      </x:c>
      <x:c r="E6" s="106" t="n">
        <x:v>3350</x:v>
      </x:c>
      <x:c r="F6" s="107" t="n">
        <x:f>IF(C6="입고",D6*E6,-D6*E6)</x:f>
        <x:v>87100</x:v>
      </x:c>
      <x:c r="G6" s="71" t="str">
        <x:v>A창고</x:v>
      </x:c>
      <x:c r="H6" s="73" t="str">
        <x:v>정기입고</x:v>
      </x:c>
    </x:row>
    <x:row r="7">
      <x:c r="A7" s="101" t="n">
        <x:v>46025</x:v>
      </x:c>
      <x:c r="B7" s="70" t="str">
        <x:v>P002</x:v>
      </x:c>
      <x:c r="C7" s="70" t="str">
        <x:v>출고</x:v>
      </x:c>
      <x:c r="D7" s="89" t="n">
        <x:v>32</x:v>
      </x:c>
      <x:c r="E7" s="108" t="n">
        <x:v>3700</x:v>
      </x:c>
      <x:c r="F7" s="109" t="n">
        <x:f>IF(C7="입고",D7*E7,-D7*E7)</x:f>
        <x:v>-118400</x:v>
      </x:c>
      <x:c r="G7" s="74" t="str">
        <x:v>B창고</x:v>
      </x:c>
      <x:c r="H7" s="75" t="str"/>
    </x:row>
    <x:row r="8">
      <x:c r="A8" s="101" t="n">
        <x:v>46027</x:v>
      </x:c>
      <x:c r="B8" s="70" t="str">
        <x:v>P003</x:v>
      </x:c>
      <x:c r="C8" s="70" t="str">
        <x:v>출고</x:v>
      </x:c>
      <x:c r="D8" s="89" t="n">
        <x:v>28</x:v>
      </x:c>
      <x:c r="E8" s="108" t="n">
        <x:v>4050</x:v>
      </x:c>
      <x:c r="F8" s="109" t="n">
        <x:f>IF(C8="입고",D8*E8,-D8*E8)</x:f>
        <x:v>-113400</x:v>
      </x:c>
      <x:c r="G8" s="74" t="str">
        <x:v>A창고</x:v>
      </x:c>
      <x:c r="H8" s="75" t="str"/>
    </x:row>
    <x:row r="9">
      <x:c r="A9" s="101" t="n">
        <x:v>46029</x:v>
      </x:c>
      <x:c r="B9" s="70" t="str">
        <x:v>P004</x:v>
      </x:c>
      <x:c r="C9" s="70" t="str">
        <x:v>출고</x:v>
      </x:c>
      <x:c r="D9" s="89" t="n">
        <x:v>14</x:v>
      </x:c>
      <x:c r="E9" s="108" t="n">
        <x:v>4400</x:v>
      </x:c>
      <x:c r="F9" s="109" t="n">
        <x:f>IF(C9="입고",D9*E9,-D9*E9)</x:f>
        <x:v>-61600</x:v>
      </x:c>
      <x:c r="G9" s="74" t="str">
        <x:v>B창고</x:v>
      </x:c>
      <x:c r="H9" s="75" t="str"/>
    </x:row>
    <x:row r="10">
      <x:c r="A10" s="101" t="n">
        <x:v>46031</x:v>
      </x:c>
      <x:c r="B10" s="70" t="str">
        <x:v>P005</x:v>
      </x:c>
      <x:c r="C10" s="70" t="str">
        <x:v>입고</x:v>
      </x:c>
      <x:c r="D10" s="89" t="n">
        <x:v>14</x:v>
      </x:c>
      <x:c r="E10" s="108" t="n">
        <x:v>4750</x:v>
      </x:c>
      <x:c r="F10" s="109" t="n">
        <x:f>IF(C10="입고",D10*E10,-D10*E10)</x:f>
        <x:v>66500</x:v>
      </x:c>
      <x:c r="G10" s="74" t="str">
        <x:v>A창고</x:v>
      </x:c>
      <x:c r="H10" s="75" t="str"/>
    </x:row>
    <x:row r="11">
      <x:c r="A11" s="101" t="n">
        <x:v>46033</x:v>
      </x:c>
      <x:c r="B11" s="70" t="str">
        <x:v>P006</x:v>
      </x:c>
      <x:c r="C11" s="70" t="str">
        <x:v>출고</x:v>
      </x:c>
      <x:c r="D11" s="89" t="n">
        <x:v>27</x:v>
      </x:c>
      <x:c r="E11" s="108" t="n">
        <x:v>5100</x:v>
      </x:c>
      <x:c r="F11" s="109" t="n">
        <x:f>IF(C11="입고",D11*E11,-D11*E11)</x:f>
        <x:v>-137700</x:v>
      </x:c>
      <x:c r="G11" s="74" t="str">
        <x:v>B창고</x:v>
      </x:c>
      <x:c r="H11" s="75" t="str"/>
    </x:row>
    <x:row r="12">
      <x:c r="A12" s="101" t="n">
        <x:v>46035</x:v>
      </x:c>
      <x:c r="B12" s="70" t="str">
        <x:v>P007</x:v>
      </x:c>
      <x:c r="C12" s="70" t="str">
        <x:v>출고</x:v>
      </x:c>
      <x:c r="D12" s="89" t="n">
        <x:v>5</x:v>
      </x:c>
      <x:c r="E12" s="108" t="n">
        <x:v>5450</x:v>
      </x:c>
      <x:c r="F12" s="109" t="n">
        <x:f>IF(C12="입고",D12*E12,-D12*E12)</x:f>
        <x:v>-27250</x:v>
      </x:c>
      <x:c r="G12" s="74" t="str">
        <x:v>A창고</x:v>
      </x:c>
      <x:c r="H12" s="75" t="str"/>
    </x:row>
    <x:row r="13">
      <x:c r="A13" s="101" t="n">
        <x:v>46037</x:v>
      </x:c>
      <x:c r="B13" s="70" t="str">
        <x:v>P008</x:v>
      </x:c>
      <x:c r="C13" s="70" t="str">
        <x:v>출고</x:v>
      </x:c>
      <x:c r="D13" s="89" t="n">
        <x:v>29</x:v>
      </x:c>
      <x:c r="E13" s="108" t="n">
        <x:v>5800</x:v>
      </x:c>
      <x:c r="F13" s="109" t="n">
        <x:f>IF(C13="입고",D13*E13,-D13*E13)</x:f>
        <x:v>-168200</x:v>
      </x:c>
      <x:c r="G13" s="74" t="str">
        <x:v>B창고</x:v>
      </x:c>
      <x:c r="H13" s="75" t="str"/>
    </x:row>
    <x:row r="14">
      <x:c r="A14" s="101" t="n">
        <x:v>46039</x:v>
      </x:c>
      <x:c r="B14" s="70" t="str">
        <x:v>P009</x:v>
      </x:c>
      <x:c r="C14" s="70" t="str">
        <x:v>입고</x:v>
      </x:c>
      <x:c r="D14" s="89" t="n">
        <x:v>30</x:v>
      </x:c>
      <x:c r="E14" s="108" t="n">
        <x:v>6150</x:v>
      </x:c>
      <x:c r="F14" s="109" t="n">
        <x:f>IF(C14="입고",D14*E14,-D14*E14)</x:f>
        <x:v>184500</x:v>
      </x:c>
      <x:c r="G14" s="74" t="str">
        <x:v>A창고</x:v>
      </x:c>
      <x:c r="H14" s="75" t="str">
        <x:v>정기입고</x:v>
      </x:c>
    </x:row>
    <x:row r="15">
      <x:c r="A15" s="101" t="n">
        <x:v>46041</x:v>
      </x:c>
      <x:c r="B15" s="70" t="str">
        <x:v>P010</x:v>
      </x:c>
      <x:c r="C15" s="70" t="str">
        <x:v>출고</x:v>
      </x:c>
      <x:c r="D15" s="89" t="n">
        <x:v>30</x:v>
      </x:c>
      <x:c r="E15" s="108" t="n">
        <x:v>6500</x:v>
      </x:c>
      <x:c r="F15" s="109" t="n">
        <x:f>IF(C15="입고",D15*E15,-D15*E15)</x:f>
        <x:v>-195000</x:v>
      </x:c>
      <x:c r="G15" s="74" t="str">
        <x:v>B창고</x:v>
      </x:c>
      <x:c r="H15" s="75" t="str"/>
    </x:row>
    <x:row r="16">
      <x:c r="A16" s="101" t="n">
        <x:v>46043</x:v>
      </x:c>
      <x:c r="B16" s="70" t="str">
        <x:v>P011</x:v>
      </x:c>
      <x:c r="C16" s="70" t="str">
        <x:v>출고</x:v>
      </x:c>
      <x:c r="D16" s="89" t="n">
        <x:v>4</x:v>
      </x:c>
      <x:c r="E16" s="108" t="n">
        <x:v>6850</x:v>
      </x:c>
      <x:c r="F16" s="109" t="n">
        <x:f>IF(C16="입고",D16*E16,-D16*E16)</x:f>
        <x:v>-27400</x:v>
      </x:c>
      <x:c r="G16" s="74" t="str">
        <x:v>A창고</x:v>
      </x:c>
      <x:c r="H16" s="75" t="str"/>
    </x:row>
    <x:row r="17">
      <x:c r="A17" s="101" t="n">
        <x:v>46045</x:v>
      </x:c>
      <x:c r="B17" s="70" t="str">
        <x:v>P012</x:v>
      </x:c>
      <x:c r="C17" s="70" t="str">
        <x:v>출고</x:v>
      </x:c>
      <x:c r="D17" s="89" t="n">
        <x:v>35</x:v>
      </x:c>
      <x:c r="E17" s="108" t="n">
        <x:v>7200</x:v>
      </x:c>
      <x:c r="F17" s="109" t="n">
        <x:f>IF(C17="입고",D17*E17,-D17*E17)</x:f>
        <x:v>-252000</x:v>
      </x:c>
      <x:c r="G17" s="74" t="str">
        <x:v>B창고</x:v>
      </x:c>
      <x:c r="H17" s="75" t="str"/>
    </x:row>
    <x:row r="18">
      <x:c r="A18" s="101" t="n">
        <x:v>46047</x:v>
      </x:c>
      <x:c r="B18" s="70" t="str">
        <x:v>P013</x:v>
      </x:c>
      <x:c r="C18" s="70" t="str">
        <x:v>입고</x:v>
      </x:c>
      <x:c r="D18" s="89" t="n">
        <x:v>22</x:v>
      </x:c>
      <x:c r="E18" s="108" t="n">
        <x:v>7550</x:v>
      </x:c>
      <x:c r="F18" s="109" t="n">
        <x:f>SUM(D18:E18)</x:f>
        <x:v>7572</x:v>
      </x:c>
      <x:c r="G18" s="74" t="str">
        <x:v>A창고</x:v>
      </x:c>
      <x:c r="H18" s="75" t="str"/>
    </x:row>
    <x:row r="19">
      <x:c r="A19" s="101" t="n">
        <x:v>46049</x:v>
      </x:c>
      <x:c r="B19" s="70" t="str">
        <x:v>P014</x:v>
      </x:c>
      <x:c r="C19" s="70" t="str">
        <x:v>출고</x:v>
      </x:c>
      <x:c r="D19" s="89" t="n">
        <x:v>14</x:v>
      </x:c>
      <x:c r="E19" s="108" t="n">
        <x:v>7900</x:v>
      </x:c>
      <x:c r="F19" s="109" t="n">
        <x:f>IF(C19="입고",D19*E19,-D19*E19)</x:f>
        <x:v>-110600</x:v>
      </x:c>
      <x:c r="G19" s="74" t="str">
        <x:v>B창고</x:v>
      </x:c>
      <x:c r="H19" s="75" t="str"/>
    </x:row>
    <x:row r="20">
      <x:c r="A20" s="101" t="n">
        <x:v>46051</x:v>
      </x:c>
      <x:c r="B20" s="70" t="str">
        <x:v>P015</x:v>
      </x:c>
      <x:c r="C20" s="70" t="str">
        <x:v>출고</x:v>
      </x:c>
      <x:c r="D20" s="89" t="n">
        <x:v>17</x:v>
      </x:c>
      <x:c r="E20" s="108" t="n">
        <x:v>8250</x:v>
      </x:c>
      <x:c r="F20" s="109" t="n">
        <x:f>IF(C20="입고",D20*E20,-D20*E20)</x:f>
        <x:v>-140250</x:v>
      </x:c>
      <x:c r="G20" s="74" t="str">
        <x:v>A창고</x:v>
      </x:c>
      <x:c r="H20" s="75" t="str"/>
    </x:row>
    <x:row r="21">
      <x:c r="A21" s="101" t="n">
        <x:v>46053</x:v>
      </x:c>
      <x:c r="B21" s="70" t="str">
        <x:v>P001</x:v>
      </x:c>
      <x:c r="C21" s="70" t="str">
        <x:v>출고</x:v>
      </x:c>
      <x:c r="D21" s="89" t="n">
        <x:v>33</x:v>
      </x:c>
      <x:c r="E21" s="108" t="n">
        <x:v>3350</x:v>
      </x:c>
      <x:c r="F21" s="109" t="n">
        <x:f>IF(C21="입고",D21*E21,-D21*E21)</x:f>
        <x:v>-110550</x:v>
      </x:c>
      <x:c r="G21" s="74" t="str">
        <x:v>B창고</x:v>
      </x:c>
      <x:c r="H21" s="75" t="str"/>
    </x:row>
    <x:row r="22">
      <x:c r="A22" s="101" t="n">
        <x:v>46055</x:v>
      </x:c>
      <x:c r="B22" s="70" t="str">
        <x:v>P002</x:v>
      </x:c>
      <x:c r="C22" s="70" t="str">
        <x:v>입고</x:v>
      </x:c>
      <x:c r="D22" s="89" t="n">
        <x:v>35</x:v>
      </x:c>
      <x:c r="E22" s="108" t="n">
        <x:v>3700</x:v>
      </x:c>
      <x:c r="F22" s="109" t="n">
        <x:f>IF(C22="입고",D22*E22,-D22*E22)</x:f>
        <x:v>129500</x:v>
      </x:c>
      <x:c r="G22" s="74" t="str">
        <x:v>A창고</x:v>
      </x:c>
      <x:c r="H22" s="75" t="str">
        <x:v>정기입고</x:v>
      </x:c>
    </x:row>
    <x:row r="23">
      <x:c r="A23" s="101" t="n">
        <x:v>46057</x:v>
      </x:c>
      <x:c r="B23" s="70" t="str">
        <x:v>P003</x:v>
      </x:c>
      <x:c r="C23" s="70" t="str">
        <x:v>출고</x:v>
      </x:c>
      <x:c r="D23" s="89" t="n">
        <x:v>14</x:v>
      </x:c>
      <x:c r="E23" s="108" t="n">
        <x:v>4050</x:v>
      </x:c>
      <x:c r="F23" s="109" t="n">
        <x:f>IF(C23="입고",D23*E23,-D23*E23)</x:f>
        <x:v>-56700</x:v>
      </x:c>
      <x:c r="G23" s="74" t="str">
        <x:v>B창고</x:v>
      </x:c>
      <x:c r="H23" s="75" t="str"/>
    </x:row>
    <x:row r="24">
      <x:c r="A24" s="101" t="n">
        <x:v>46059</x:v>
      </x:c>
      <x:c r="B24" s="70" t="str">
        <x:v>P004</x:v>
      </x:c>
      <x:c r="C24" s="70" t="str">
        <x:v>출고</x:v>
      </x:c>
      <x:c r="D24" s="89" t="n">
        <x:v>27</x:v>
      </x:c>
      <x:c r="E24" s="108" t="n">
        <x:v>4400</x:v>
      </x:c>
      <x:c r="F24" s="109" t="n">
        <x:f>IF(C24="입고",D24*E24,-D24*E24)</x:f>
        <x:v>-118800</x:v>
      </x:c>
      <x:c r="G24" s="74" t="str">
        <x:v>A창고</x:v>
      </x:c>
      <x:c r="H24" s="75" t="str"/>
    </x:row>
    <x:row r="25">
      <x:c r="A25" s="101" t="n">
        <x:v>46061</x:v>
      </x:c>
      <x:c r="B25" s="70" t="str">
        <x:v>P005</x:v>
      </x:c>
      <x:c r="C25" s="70" t="str">
        <x:v>출고</x:v>
      </x:c>
      <x:c r="D25" s="89" t="n">
        <x:v>22</x:v>
      </x:c>
      <x:c r="E25" s="108" t="n">
        <x:v>4750</x:v>
      </x:c>
      <x:c r="F25" s="109" t="n">
        <x:f>IF(C25="입고",D25*E25,-D25*E25)</x:f>
        <x:v>-104500</x:v>
      </x:c>
      <x:c r="G25" s="74" t="str">
        <x:v>B창고</x:v>
      </x:c>
      <x:c r="H25" s="75" t="str"/>
    </x:row>
    <x:row r="26">
      <x:c r="A26" s="101" t="n">
        <x:v>46063</x:v>
      </x:c>
      <x:c r="B26" s="70" t="str">
        <x:v>P006</x:v>
      </x:c>
      <x:c r="C26" s="70" t="str">
        <x:v>입고</x:v>
      </x:c>
      <x:c r="D26" s="89" t="n">
        <x:v>32</x:v>
      </x:c>
      <x:c r="E26" s="108" t="n">
        <x:v>5100</x:v>
      </x:c>
      <x:c r="F26" s="109" t="n">
        <x:f>IF(C26="입고",D26*E26,-D26*E26)</x:f>
        <x:v>163200</x:v>
      </x:c>
      <x:c r="G26" s="74" t="str">
        <x:v>A창고</x:v>
      </x:c>
      <x:c r="H26" s="75" t="str"/>
    </x:row>
    <x:row r="27">
      <x:c r="A27" s="101" t="n">
        <x:v>46065</x:v>
      </x:c>
      <x:c r="B27" s="70" t="str">
        <x:v>P007</x:v>
      </x:c>
      <x:c r="C27" s="70" t="str">
        <x:v>출고</x:v>
      </x:c>
      <x:c r="D27" s="89" t="n">
        <x:v>10</x:v>
      </x:c>
      <x:c r="E27" s="108" t="n">
        <x:v>5450</x:v>
      </x:c>
      <x:c r="F27" s="109" t="n">
        <x:f>IF(C27="입고",D27*E27,-D27*E27)</x:f>
        <x:v>-54500</x:v>
      </x:c>
      <x:c r="G27" s="74" t="str">
        <x:v>B창고</x:v>
      </x:c>
      <x:c r="H27" s="75" t="str"/>
    </x:row>
    <x:row r="28">
      <x:c r="A28" s="101" t="n">
        <x:v>46067</x:v>
      </x:c>
      <x:c r="B28" s="70" t="str">
        <x:v>P008</x:v>
      </x:c>
      <x:c r="C28" s="70" t="str">
        <x:v>출고</x:v>
      </x:c>
      <x:c r="D28" s="89" t="n">
        <x:v>29</x:v>
      </x:c>
      <x:c r="E28" s="108" t="n">
        <x:v>5800</x:v>
      </x:c>
      <x:c r="F28" s="109" t="n">
        <x:f>IF(C28="입고",D28*E28,-D28*E28)</x:f>
        <x:v>-168200</x:v>
      </x:c>
      <x:c r="G28" s="74" t="str">
        <x:v>A창고</x:v>
      </x:c>
      <x:c r="H28" s="75" t="str"/>
    </x:row>
    <x:row r="29">
      <x:c r="A29" s="101" t="n">
        <x:v>46069</x:v>
      </x:c>
      <x:c r="B29" s="70" t="str">
        <x:v>P009</x:v>
      </x:c>
      <x:c r="C29" s="70" t="str">
        <x:v>출고</x:v>
      </x:c>
      <x:c r="D29" s="89" t="n">
        <x:v>31</x:v>
      </x:c>
      <x:c r="E29" s="108" t="n">
        <x:v>6150</x:v>
      </x:c>
      <x:c r="F29" s="109" t="n">
        <x:f>IF(C29="입고",D29*E29,-D29*E29)</x:f>
        <x:v>-190650</x:v>
      </x:c>
      <x:c r="G29" s="74" t="str">
        <x:v>B창고</x:v>
      </x:c>
      <x:c r="H29" s="75" t="str"/>
    </x:row>
    <x:row r="30">
      <x:c r="A30" s="101" t="n">
        <x:v>46071</x:v>
      </x:c>
      <x:c r="B30" s="70" t="str">
        <x:v>P010</x:v>
      </x:c>
      <x:c r="C30" s="70" t="str">
        <x:v>입고</x:v>
      </x:c>
      <x:c r="D30" s="89" t="n">
        <x:v>4</x:v>
      </x:c>
      <x:c r="E30" s="108" t="n">
        <x:v>6500</x:v>
      </x:c>
      <x:c r="F30" s="109" t="n">
        <x:f>IF(C30="입고",D30*E30,-D30*E30)</x:f>
        <x:v>26000</x:v>
      </x:c>
      <x:c r="G30" s="74" t="str">
        <x:v>A창고</x:v>
      </x:c>
      <x:c r="H30" s="75" t="str">
        <x:v>정기입고</x:v>
      </x:c>
    </x:row>
    <x:row r="31">
      <x:c r="A31" s="101" t="n">
        <x:v>46073</x:v>
      </x:c>
      <x:c r="B31" s="70" t="str">
        <x:v>P011</x:v>
      </x:c>
      <x:c r="C31" s="70" t="str">
        <x:v>출고</x:v>
      </x:c>
      <x:c r="D31" s="89" t="n">
        <x:v>35</x:v>
      </x:c>
      <x:c r="E31" s="108" t="n">
        <x:v>6850</x:v>
      </x:c>
      <x:c r="F31" s="109" t="n">
        <x:f>IF(C31="입고",D31*E31,-D31*E31)</x:f>
        <x:v>-239750</x:v>
      </x:c>
      <x:c r="G31" s="74" t="str">
        <x:v>B창고</x:v>
      </x:c>
      <x:c r="H31" s="75" t="str"/>
    </x:row>
    <x:row r="32">
      <x:c r="A32" s="101" t="n">
        <x:v>46075</x:v>
      </x:c>
      <x:c r="B32" s="70" t="str">
        <x:v>P012</x:v>
      </x:c>
      <x:c r="C32" s="70" t="str">
        <x:v>출고</x:v>
      </x:c>
      <x:c r="D32" s="89" t="n">
        <x:v>17</x:v>
      </x:c>
      <x:c r="E32" s="108" t="n">
        <x:v>7200</x:v>
      </x:c>
      <x:c r="F32" s="109" t="n">
        <x:f>IF(C32="입고",D32*E32,-D32*E32)</x:f>
        <x:v>-122400</x:v>
      </x:c>
      <x:c r="G32" s="74" t="str">
        <x:v>A창고</x:v>
      </x:c>
      <x:c r="H32" s="75" t="str"/>
    </x:row>
    <x:row r="33">
      <x:c r="A33" s="101" t="n">
        <x:v>46077</x:v>
      </x:c>
      <x:c r="B33" s="70" t="str">
        <x:v>P013</x:v>
      </x:c>
      <x:c r="C33" s="70" t="str">
        <x:v>출고</x:v>
      </x:c>
      <x:c r="D33" s="89" t="n">
        <x:v>18</x:v>
      </x:c>
      <x:c r="E33" s="108" t="n">
        <x:v>7550</x:v>
      </x:c>
      <x:c r="F33" s="109" t="n">
        <x:f>IF(C33="입고",D33*E33,-D33*E33)</x:f>
        <x:v>-135900</x:v>
      </x:c>
      <x:c r="G33" s="74" t="str">
        <x:v>B창고</x:v>
      </x:c>
      <x:c r="H33" s="75" t="str"/>
    </x:row>
    <x:row r="34">
      <x:c r="A34" s="101" t="n">
        <x:v>46079</x:v>
      </x:c>
      <x:c r="B34" s="70" t="str">
        <x:v>P014</x:v>
      </x:c>
      <x:c r="C34" s="70" t="str">
        <x:v>입고</x:v>
      </x:c>
      <x:c r="D34" s="89" t="n">
        <x:v>30</x:v>
      </x:c>
      <x:c r="E34" s="108" t="n">
        <x:v>7900</x:v>
      </x:c>
      <x:c r="F34" s="109" t="n">
        <x:v>-56000</x:v>
      </x:c>
      <x:c r="G34" s="74" t="str">
        <x:v>A창고</x:v>
      </x:c>
      <x:c r="H34" s="75" t="str"/>
    </x:row>
    <x:row r="35">
      <x:c r="A35" s="101" t="n">
        <x:v>46081</x:v>
      </x:c>
      <x:c r="B35" s="70" t="str">
        <x:v>P015</x:v>
      </x:c>
      <x:c r="C35" s="70" t="str">
        <x:v>출고</x:v>
      </x:c>
      <x:c r="D35" s="89" t="n">
        <x:v>32</x:v>
      </x:c>
      <x:c r="E35" s="108" t="n">
        <x:v>8250</x:v>
      </x:c>
      <x:c r="F35" s="109" t="n">
        <x:f>IF(C35="입고",D35*E35,-D35*E35)</x:f>
        <x:v>-264000</x:v>
      </x:c>
      <x:c r="G35" s="74" t="str">
        <x:v>B창고</x:v>
      </x:c>
      <x:c r="H35" s="75" t="str"/>
    </x:row>
    <x:row r="36">
      <x:c r="A36" s="101" t="n">
        <x:v>46083</x:v>
      </x:c>
      <x:c r="B36" s="70" t="str">
        <x:v>P001</x:v>
      </x:c>
      <x:c r="C36" s="70" t="str">
        <x:v>출고</x:v>
      </x:c>
      <x:c r="D36" s="89" t="n">
        <x:v>33</x:v>
      </x:c>
      <x:c r="E36" s="108" t="n">
        <x:v>3350</x:v>
      </x:c>
      <x:c r="F36" s="109" t="n">
        <x:f>IF(C36="입고",D36*E36,-D36*E36)</x:f>
        <x:v>-110550</x:v>
      </x:c>
      <x:c r="G36" s="74" t="str">
        <x:v>A창고</x:v>
      </x:c>
      <x:c r="H36" s="75" t="str"/>
    </x:row>
    <x:row r="37">
      <x:c r="A37" s="101" t="n">
        <x:v>46085</x:v>
      </x:c>
      <x:c r="B37" s="70" t="str">
        <x:v>P002</x:v>
      </x:c>
      <x:c r="C37" s="70" t="str">
        <x:v>출고</x:v>
      </x:c>
      <x:c r="D37" s="89" t="n">
        <x:v>19</x:v>
      </x:c>
      <x:c r="E37" s="108" t="n">
        <x:v>3700</x:v>
      </x:c>
      <x:c r="F37" s="109" t="n">
        <x:f>IF(C37="입고",D37*E37,-D37*E37)</x:f>
        <x:v>-70300</x:v>
      </x:c>
      <x:c r="G37" s="74" t="str">
        <x:v>B창고</x:v>
      </x:c>
      <x:c r="H37" s="75" t="str"/>
    </x:row>
    <x:row r="38">
      <x:c r="A38" s="101" t="n">
        <x:v>46087</x:v>
      </x:c>
      <x:c r="B38" s="70" t="str">
        <x:v>P003</x:v>
      </x:c>
      <x:c r="C38" s="70" t="str">
        <x:v>입고</x:v>
      </x:c>
      <x:c r="D38" s="89" t="n">
        <x:v>4</x:v>
      </x:c>
      <x:c r="E38" s="108" t="n">
        <x:v>4050</x:v>
      </x:c>
      <x:c r="F38" s="109" t="n">
        <x:f>IF(C38="입고",D38*E38,-D38*E38)</x:f>
        <x:v>16200</x:v>
      </x:c>
      <x:c r="G38" s="74" t="str">
        <x:v>A창고</x:v>
      </x:c>
      <x:c r="H38" s="75" t="str">
        <x:v>정기입고</x:v>
      </x:c>
    </x:row>
    <x:row r="39">
      <x:c r="A39" s="101" t="n">
        <x:v>46089</x:v>
      </x:c>
      <x:c r="B39" s="70" t="str">
        <x:v>P004</x:v>
      </x:c>
      <x:c r="C39" s="70" t="str">
        <x:v>출고</x:v>
      </x:c>
      <x:c r="D39" s="89" t="n">
        <x:v>13</x:v>
      </x:c>
      <x:c r="E39" s="108" t="n">
        <x:v>4400</x:v>
      </x:c>
      <x:c r="F39" s="109" t="n">
        <x:f>IF(C39="입고",D39*E39,-D39*E39)</x:f>
        <x:v>-57200</x:v>
      </x:c>
      <x:c r="G39" s="74" t="str">
        <x:v>B창고</x:v>
      </x:c>
      <x:c r="H39" s="75" t="str"/>
    </x:row>
    <x:row r="40">
      <x:c r="A40" s="101" t="n">
        <x:v>46091</x:v>
      </x:c>
      <x:c r="B40" s="70" t="str">
        <x:v>P005</x:v>
      </x:c>
      <x:c r="C40" s="70" t="str">
        <x:v>출고</x:v>
      </x:c>
      <x:c r="D40" s="89" t="n">
        <x:v>8</x:v>
      </x:c>
      <x:c r="E40" s="108" t="n">
        <x:v>4750</x:v>
      </x:c>
      <x:c r="F40" s="109" t="n">
        <x:f>IF(C40="입고",D40*E40,-D40*E40)</x:f>
        <x:v>-38000</x:v>
      </x:c>
      <x:c r="G40" s="74" t="str">
        <x:v>A창고</x:v>
      </x:c>
      <x:c r="H40" s="75" t="str"/>
    </x:row>
    <x:row r="41">
      <x:c r="A41" s="101" t="n">
        <x:v>46093</x:v>
      </x:c>
      <x:c r="B41" s="70" t="str">
        <x:v>P006</x:v>
      </x:c>
      <x:c r="C41" s="70" t="str">
        <x:v>출고</x:v>
      </x:c>
      <x:c r="D41" s="89" t="n">
        <x:v>4</x:v>
      </x:c>
      <x:c r="E41" s="108" t="n">
        <x:v>5100</x:v>
      </x:c>
      <x:c r="F41" s="109" t="n">
        <x:f>IF(C41="입고",D41*E41,-D41*E41)</x:f>
        <x:v>-20400</x:v>
      </x:c>
      <x:c r="G41" s="74" t="str">
        <x:v>B창고</x:v>
      </x:c>
      <x:c r="H41" s="75" t="str"/>
    </x:row>
    <x:row r="42">
      <x:c r="A42" s="101" t="n">
        <x:v>46095</x:v>
      </x:c>
      <x:c r="B42" s="70" t="str">
        <x:v>P007</x:v>
      </x:c>
      <x:c r="C42" s="70" t="str">
        <x:v>입고</x:v>
      </x:c>
      <x:c r="D42" s="89" t="n">
        <x:v>26</x:v>
      </x:c>
      <x:c r="E42" s="108" t="n">
        <x:v>5450</x:v>
      </x:c>
      <x:c r="F42" s="109" t="n">
        <x:f>IF(C42="입고",D42*E42,-D42*E42)</x:f>
        <x:v>141700</x:v>
      </x:c>
      <x:c r="G42" s="74" t="str">
        <x:v>A창고</x:v>
      </x:c>
      <x:c r="H42" s="75" t="str"/>
    </x:row>
    <x:row r="43">
      <x:c r="A43" s="101" t="n">
        <x:v>46097</x:v>
      </x:c>
      <x:c r="B43" s="70" t="str">
        <x:v>P008</x:v>
      </x:c>
      <x:c r="C43" s="70" t="str">
        <x:v>출고</x:v>
      </x:c>
      <x:c r="D43" s="89" t="n">
        <x:v>18</x:v>
      </x:c>
      <x:c r="E43" s="108" t="n">
        <x:v>5800</x:v>
      </x:c>
      <x:c r="F43" s="109" t="n">
        <x:f>IF(C43="입고",D43*E43,-D43*E43)</x:f>
        <x:v>-104400</x:v>
      </x:c>
      <x:c r="G43" s="74" t="str">
        <x:v>B창고</x:v>
      </x:c>
      <x:c r="H43" s="75" t="str"/>
    </x:row>
    <x:row r="44">
      <x:c r="A44" s="101" t="n">
        <x:v>46099</x:v>
      </x:c>
      <x:c r="B44" s="70" t="str">
        <x:v>P009</x:v>
      </x:c>
      <x:c r="C44" s="70" t="str">
        <x:v>출고</x:v>
      </x:c>
      <x:c r="D44" s="89" t="n">
        <x:v>2</x:v>
      </x:c>
      <x:c r="E44" s="108" t="n">
        <x:v>6150</x:v>
      </x:c>
      <x:c r="F44" s="109" t="n">
        <x:f>IF(C44="입고",D44*E44,-D44*E44)</x:f>
        <x:v>-12300</x:v>
      </x:c>
      <x:c r="G44" s="74" t="str">
        <x:v>A창고</x:v>
      </x:c>
      <x:c r="H44" s="75" t="str"/>
    </x:row>
    <x:row r="45">
      <x:c r="A45" s="101" t="n">
        <x:v>46101</x:v>
      </x:c>
      <x:c r="B45" s="70" t="str">
        <x:v>P010</x:v>
      </x:c>
      <x:c r="C45" s="70" t="str">
        <x:v>출고</x:v>
      </x:c>
      <x:c r="D45" s="89" t="n">
        <x:v>13</x:v>
      </x:c>
      <x:c r="E45" s="108" t="n">
        <x:v>6500</x:v>
      </x:c>
      <x:c r="F45" s="109" t="n">
        <x:f>IF(C45="입고",D45*E45,-D45*E45)</x:f>
        <x:v>-84500</x:v>
      </x:c>
      <x:c r="G45" s="74" t="str">
        <x:v>B창고</x:v>
      </x:c>
      <x:c r="H45" s="75" t="str"/>
    </x:row>
    <x:row r="46">
      <x:c r="A46" s="101" t="n">
        <x:v>46103</x:v>
      </x:c>
      <x:c r="B46" s="70" t="str">
        <x:v>P011</x:v>
      </x:c>
      <x:c r="C46" s="70" t="str">
        <x:v>입고</x:v>
      </x:c>
      <x:c r="D46" s="89" t="n">
        <x:v>15</x:v>
      </x:c>
      <x:c r="E46" s="108" t="n">
        <x:v>6850</x:v>
      </x:c>
      <x:c r="F46" s="109" t="n">
        <x:f>IF(C46="입고",D46*E46,-D46*E46)</x:f>
        <x:v>102750</x:v>
      </x:c>
      <x:c r="G46" s="74" t="str">
        <x:v>A창고</x:v>
      </x:c>
      <x:c r="H46" s="75" t="str">
        <x:v>정기입고</x:v>
      </x:c>
    </x:row>
    <x:row r="47">
      <x:c r="A47" s="101" t="n">
        <x:v>46105</x:v>
      </x:c>
      <x:c r="B47" s="70" t="str">
        <x:v>P012</x:v>
      </x:c>
      <x:c r="C47" s="70" t="str">
        <x:v>출고</x:v>
      </x:c>
      <x:c r="D47" s="89" t="n">
        <x:v>14</x:v>
      </x:c>
      <x:c r="E47" s="108" t="n">
        <x:v>7200</x:v>
      </x:c>
      <x:c r="F47" s="109" t="n">
        <x:f>IF(C47="입고",D47*E47,-D47*E47)</x:f>
        <x:v>-100800</x:v>
      </x:c>
      <x:c r="G47" s="74" t="str">
        <x:v>B창고</x:v>
      </x:c>
      <x:c r="H47" s="75" t="str"/>
    </x:row>
    <x:row r="48">
      <x:c r="A48" s="101" t="n">
        <x:v>46107</x:v>
      </x:c>
      <x:c r="B48" s="70" t="str">
        <x:v>P013</x:v>
      </x:c>
      <x:c r="C48" s="70" t="str">
        <x:v>출고</x:v>
      </x:c>
      <x:c r="D48" s="89" t="n">
        <x:v>9</x:v>
      </x:c>
      <x:c r="E48" s="108" t="n">
        <x:v>7550</x:v>
      </x:c>
      <x:c r="F48" s="109" t="n">
        <x:f>IF(C48="입고",D48*E48,-D48*E48)</x:f>
        <x:v>-67950</x:v>
      </x:c>
      <x:c r="G48" s="74" t="str">
        <x:v>A창고</x:v>
      </x:c>
      <x:c r="H48" s="75" t="str"/>
    </x:row>
    <x:row r="49">
      <x:c r="A49" s="101" t="n">
        <x:v>46109</x:v>
      </x:c>
      <x:c r="B49" s="70" t="str">
        <x:v>P014</x:v>
      </x:c>
      <x:c r="C49" s="70" t="str">
        <x:v>출고</x:v>
      </x:c>
      <x:c r="D49" s="89" t="n">
        <x:v>24</x:v>
      </x:c>
      <x:c r="E49" s="108" t="n">
        <x:v>7900</x:v>
      </x:c>
      <x:c r="F49" s="109" t="n">
        <x:f>IF(C49="입고",D49*E49,-D49*E49)</x:f>
        <x:v>-189600</x:v>
      </x:c>
      <x:c r="G49" s="74" t="str">
        <x:v>B창고</x:v>
      </x:c>
      <x:c r="H49" s="75" t="str"/>
    </x:row>
    <x:row r="50">
      <x:c r="A50" s="101" t="n">
        <x:v>46111</x:v>
      </x:c>
      <x:c r="B50" s="70" t="str">
        <x:v>P015</x:v>
      </x:c>
      <x:c r="C50" s="70" t="str">
        <x:v>입고</x:v>
      </x:c>
      <x:c r="D50" s="89" t="n">
        <x:v>10</x:v>
      </x:c>
      <x:c r="E50" s="108" t="n">
        <x:v>8250</x:v>
      </x:c>
      <x:c r="F50" s="109" t="n">
        <x:f>IF(C50="입고",D50*E50,-D50*E50)</x:f>
        <x:v>82500</x:v>
      </x:c>
      <x:c r="G50" s="74" t="str">
        <x:v>A창고</x:v>
      </x:c>
      <x:c r="H50" s="75" t="str"/>
    </x:row>
    <x:row r="51">
      <x:c r="A51" s="101" t="n">
        <x:v>46113</x:v>
      </x:c>
      <x:c r="B51" s="70" t="str">
        <x:v>P001</x:v>
      </x:c>
      <x:c r="C51" s="70" t="str">
        <x:v>출고</x:v>
      </x:c>
      <x:c r="D51" s="89" t="n">
        <x:v>16</x:v>
      </x:c>
      <x:c r="E51" s="108" t="n">
        <x:v>3350</x:v>
      </x:c>
      <x:c r="F51" s="109" t="n">
        <x:f>IF(C51="입고",D51*E51,-D51*E51)</x:f>
        <x:v>-53600</x:v>
      </x:c>
      <x:c r="G51" s="74" t="str">
        <x:v>B창고</x:v>
      </x:c>
      <x:c r="H51" s="75" t="str"/>
    </x:row>
    <x:row r="52">
      <x:c r="A52" s="101" t="n">
        <x:v>46115</x:v>
      </x:c>
      <x:c r="B52" s="70" t="str">
        <x:v>P002</x:v>
      </x:c>
      <x:c r="C52" s="70" t="str">
        <x:v>출고</x:v>
      </x:c>
      <x:c r="D52" s="89" t="n">
        <x:v>14</x:v>
      </x:c>
      <x:c r="E52" s="108" t="n">
        <x:v>3700</x:v>
      </x:c>
      <x:c r="F52" s="109" t="n">
        <x:f>IF(C52="입고",D52*E52,-D52*E52)</x:f>
        <x:v>-51800</x:v>
      </x:c>
      <x:c r="G52" s="74" t="str">
        <x:v>A창고</x:v>
      </x:c>
      <x:c r="H52" s="75" t="str"/>
    </x:row>
    <x:row r="53">
      <x:c r="A53" s="101" t="n">
        <x:v>46117</x:v>
      </x:c>
      <x:c r="B53" s="70" t="str">
        <x:v>P003</x:v>
      </x:c>
      <x:c r="C53" s="70" t="str">
        <x:v>출고</x:v>
      </x:c>
      <x:c r="D53" s="89" t="n">
        <x:v>29</x:v>
      </x:c>
      <x:c r="E53" s="108" t="n">
        <x:v>4050</x:v>
      </x:c>
      <x:c r="F53" s="109" t="n">
        <x:f>IF(C53="입고",D53*E53,-D53*E53)</x:f>
        <x:v>-117450</x:v>
      </x:c>
      <x:c r="G53" s="74" t="str">
        <x:v>B창고</x:v>
      </x:c>
      <x:c r="H53" s="75" t="str"/>
    </x:row>
    <x:row r="54">
      <x:c r="A54" s="101" t="n">
        <x:v>46119</x:v>
      </x:c>
      <x:c r="B54" s="70" t="str">
        <x:v>P004</x:v>
      </x:c>
      <x:c r="C54" s="70" t="str">
        <x:v>입고</x:v>
      </x:c>
      <x:c r="D54" s="89" t="n">
        <x:v>17</x:v>
      </x:c>
      <x:c r="E54" s="108" t="n">
        <x:v>4400</x:v>
      </x:c>
      <x:c r="F54" s="109" t="n">
        <x:f>IF(C54="입고",D54*E54,-D54*E54)</x:f>
        <x:v>74800</x:v>
      </x:c>
      <x:c r="G54" s="74" t="str">
        <x:v>A창고</x:v>
      </x:c>
      <x:c r="H54" s="75" t="str">
        <x:v>정기입고</x:v>
      </x:c>
    </x:row>
    <x:row r="55">
      <x:c r="A55" s="101" t="n">
        <x:v>46121</x:v>
      </x:c>
      <x:c r="B55" s="70" t="str">
        <x:v>P005</x:v>
      </x:c>
      <x:c r="C55" s="70" t="str">
        <x:v>출고</x:v>
      </x:c>
      <x:c r="D55" s="89" t="n">
        <x:v>21</x:v>
      </x:c>
      <x:c r="E55" s="108" t="n">
        <x:v>4750</x:v>
      </x:c>
      <x:c r="F55" s="109"/>
      <x:c r="G55" s="74" t="str">
        <x:v>B창고</x:v>
      </x:c>
      <x:c r="H55" s="75" t="str"/>
    </x:row>
    <x:row r="56">
      <x:c r="A56" s="101" t="n">
        <x:v>46123</x:v>
      </x:c>
      <x:c r="B56" s="70" t="str">
        <x:v>P006</x:v>
      </x:c>
      <x:c r="C56" s="70" t="str">
        <x:v>출고</x:v>
      </x:c>
      <x:c r="D56" s="89" t="n">
        <x:v>24</x:v>
      </x:c>
      <x:c r="E56" s="108" t="n">
        <x:v>5100</x:v>
      </x:c>
      <x:c r="F56" s="109" t="n">
        <x:f>IF(C56="입고",D56*E56,-D56*E56)</x:f>
        <x:v>-122400</x:v>
      </x:c>
      <x:c r="G56" s="74" t="str">
        <x:v>A창고</x:v>
      </x:c>
      <x:c r="H56" s="75" t="str"/>
    </x:row>
    <x:row r="57">
      <x:c r="A57" s="101" t="n">
        <x:v>46125</x:v>
      </x:c>
      <x:c r="B57" s="70" t="str">
        <x:v>P007</x:v>
      </x:c>
      <x:c r="C57" s="70" t="str">
        <x:v>출고</x:v>
      </x:c>
      <x:c r="D57" s="89" t="n">
        <x:v>14</x:v>
      </x:c>
      <x:c r="E57" s="108" t="n">
        <x:v>5450</x:v>
      </x:c>
      <x:c r="F57" s="109" t="n">
        <x:f>IF(C57="입고",D57*E57,-D57*E57)</x:f>
        <x:v>-76300</x:v>
      </x:c>
      <x:c r="G57" s="74" t="str">
        <x:v>B창고</x:v>
      </x:c>
      <x:c r="H57" s="75" t="str"/>
    </x:row>
    <x:row r="58">
      <x:c r="A58" s="101" t="n">
        <x:v>46127</x:v>
      </x:c>
      <x:c r="B58" s="70" t="str">
        <x:v>P008</x:v>
      </x:c>
      <x:c r="C58" s="70" t="str">
        <x:v>입고</x:v>
      </x:c>
      <x:c r="D58" s="89" t="n">
        <x:v>21</x:v>
      </x:c>
      <x:c r="E58" s="108" t="n">
        <x:v>5800</x:v>
      </x:c>
      <x:c r="F58" s="109" t="n">
        <x:f>IF(C58="입고",D58*E58,-D58*E58)</x:f>
        <x:v>121800</x:v>
      </x:c>
      <x:c r="G58" s="74" t="str">
        <x:v>A창고</x:v>
      </x:c>
      <x:c r="H58" s="75" t="str"/>
    </x:row>
    <x:row r="59">
      <x:c r="A59" s="101" t="n">
        <x:v>46129</x:v>
      </x:c>
      <x:c r="B59" s="70" t="str">
        <x:v>P009</x:v>
      </x:c>
      <x:c r="C59" s="70" t="str">
        <x:v>출고</x:v>
      </x:c>
      <x:c r="D59" s="89" t="n">
        <x:v>20</x:v>
      </x:c>
      <x:c r="E59" s="108" t="n">
        <x:v>6150</x:v>
      </x:c>
      <x:c r="F59" s="109" t="n">
        <x:f>IF(C59="입고",D59*E59,-D59*E59)</x:f>
        <x:v>-123000</x:v>
      </x:c>
      <x:c r="G59" s="74" t="str">
        <x:v>B창고</x:v>
      </x:c>
      <x:c r="H59" s="75" t="str"/>
    </x:row>
    <x:row r="60">
      <x:c r="A60" s="101" t="n">
        <x:v>46131</x:v>
      </x:c>
      <x:c r="B60" s="70" t="str">
        <x:v>P010</x:v>
      </x:c>
      <x:c r="C60" s="70" t="str">
        <x:v>출고</x:v>
      </x:c>
      <x:c r="D60" s="89" t="n">
        <x:v>23</x:v>
      </x:c>
      <x:c r="E60" s="108" t="n">
        <x:v>6500</x:v>
      </x:c>
      <x:c r="F60" s="109" t="n">
        <x:f>IF(C60="입고",D60*E60,-D60*E60)</x:f>
        <x:v>-149500</x:v>
      </x:c>
      <x:c r="G60" s="74" t="str">
        <x:v>A창고</x:v>
      </x:c>
      <x:c r="H60" s="75" t="str"/>
    </x:row>
    <x:row r="61">
      <x:c r="A61" s="101" t="n">
        <x:v>46133</x:v>
      </x:c>
      <x:c r="B61" s="70" t="str">
        <x:v>P011</x:v>
      </x:c>
      <x:c r="C61" s="70" t="str">
        <x:v>출고</x:v>
      </x:c>
      <x:c r="D61" s="89" t="n">
        <x:v>31</x:v>
      </x:c>
      <x:c r="E61" s="108" t="n">
        <x:v>6850</x:v>
      </x:c>
      <x:c r="F61" s="109" t="n">
        <x:f>IF(C61="입고",D61*E61,-D61*E61)</x:f>
        <x:v>-212350</x:v>
      </x:c>
      <x:c r="G61" s="74" t="str">
        <x:v>B창고</x:v>
      </x:c>
      <x:c r="H61" s="75" t="str"/>
    </x:row>
    <x:row r="62">
      <x:c r="A62" s="101" t="n">
        <x:v>46135</x:v>
      </x:c>
      <x:c r="B62" s="70" t="str">
        <x:v>P012</x:v>
      </x:c>
      <x:c r="C62" s="70" t="str">
        <x:v>입고</x:v>
      </x:c>
      <x:c r="D62" s="89" t="n">
        <x:v>17</x:v>
      </x:c>
      <x:c r="E62" s="108" t="n">
        <x:v>7200</x:v>
      </x:c>
      <x:c r="F62" s="109" t="n">
        <x:f>IF(C62="입고",D62*E62,-D62*E62)</x:f>
        <x:v>122400</x:v>
      </x:c>
      <x:c r="G62" s="74" t="str">
        <x:v>A창고</x:v>
      </x:c>
      <x:c r="H62" s="75" t="str">
        <x:v>정기입고</x:v>
      </x:c>
    </x:row>
    <x:row r="63">
      <x:c r="A63" s="101" t="n">
        <x:v>46137</x:v>
      </x:c>
      <x:c r="B63" s="70" t="str">
        <x:v>P013</x:v>
      </x:c>
      <x:c r="C63" s="70" t="str">
        <x:v>출고</x:v>
      </x:c>
      <x:c r="D63" s="89" t="n">
        <x:v>24</x:v>
      </x:c>
      <x:c r="E63" s="108" t="n">
        <x:v>7550</x:v>
      </x:c>
      <x:c r="F63" s="109" t="n">
        <x:f>IF(C63="입고",D63*E63,-D63*E63)</x:f>
        <x:v>-181200</x:v>
      </x:c>
      <x:c r="G63" s="74" t="str">
        <x:v>B창고</x:v>
      </x:c>
      <x:c r="H63" s="75" t="str"/>
    </x:row>
    <x:row r="64">
      <x:c r="A64" s="101" t="n">
        <x:v>46139</x:v>
      </x:c>
      <x:c r="B64" s="70" t="str">
        <x:v>P014</x:v>
      </x:c>
      <x:c r="C64" s="70" t="str">
        <x:v>출고</x:v>
      </x:c>
      <x:c r="D64" s="89" t="n">
        <x:v>5</x:v>
      </x:c>
      <x:c r="E64" s="108" t="n">
        <x:v>7900</x:v>
      </x:c>
      <x:c r="F64" s="109" t="n">
        <x:f>IF(C64="입고",D64*E64,-D64*E64)</x:f>
        <x:v>-39500</x:v>
      </x:c>
      <x:c r="G64" s="74" t="str">
        <x:v>A창고</x:v>
      </x:c>
      <x:c r="H64" s="75" t="str"/>
    </x:row>
    <x:row r="65">
      <x:c r="A65" s="101" t="n">
        <x:v>46141</x:v>
      </x:c>
      <x:c r="B65" s="70" t="str">
        <x:v>P015</x:v>
      </x:c>
      <x:c r="C65" s="70" t="str">
        <x:v>출고</x:v>
      </x:c>
      <x:c r="D65" s="89" t="n">
        <x:v>14</x:v>
      </x:c>
      <x:c r="E65" s="108" t="n">
        <x:v>8250</x:v>
      </x:c>
      <x:c r="F65" s="109" t="n">
        <x:f>IF(C65="입고",D65*E65,-D65*E65)</x:f>
        <x:v>-115500</x:v>
      </x:c>
      <x:c r="G65" s="74" t="str">
        <x:v>B창고</x:v>
      </x:c>
      <x:c r="H65" s="75" t="str"/>
    </x:row>
    <x:row r="66">
      <x:c r="A66" s="101" t="n">
        <x:v>46143</x:v>
      </x:c>
      <x:c r="B66" s="70" t="str">
        <x:v>P001</x:v>
      </x:c>
      <x:c r="C66" s="70" t="str">
        <x:v>입고</x:v>
      </x:c>
      <x:c r="D66" s="89" t="n">
        <x:v>26</x:v>
      </x:c>
      <x:c r="E66" s="108" t="n">
        <x:v>3350</x:v>
      </x:c>
      <x:c r="F66" s="109" t="n">
        <x:f>IF(C66="입고",D66*E66,-D66*E66)</x:f>
        <x:v>87100</x:v>
      </x:c>
      <x:c r="G66" s="74" t="str">
        <x:v>A창고</x:v>
      </x:c>
      <x:c r="H66" s="75" t="str"/>
    </x:row>
    <x:row r="67">
      <x:c r="A67" s="101" t="n">
        <x:v>46145</x:v>
      </x:c>
      <x:c r="B67" s="70" t="str">
        <x:v>P002</x:v>
      </x:c>
      <x:c r="C67" s="70" t="str">
        <x:v>출고</x:v>
      </x:c>
      <x:c r="D67" s="89" t="n">
        <x:v>27</x:v>
      </x:c>
      <x:c r="E67" s="108" t="n">
        <x:v>3700</x:v>
      </x:c>
      <x:c r="F67" s="109" t="n">
        <x:f>IF(C67="입고",D67*E67,-D67*E67)</x:f>
        <x:v>-99900</x:v>
      </x:c>
      <x:c r="G67" s="74" t="str">
        <x:v>B창고</x:v>
      </x:c>
      <x:c r="H67" s="75" t="str"/>
    </x:row>
    <x:row r="68">
      <x:c r="A68" s="101" t="n">
        <x:v>46147</x:v>
      </x:c>
      <x:c r="B68" s="70" t="str">
        <x:v>P003</x:v>
      </x:c>
      <x:c r="C68" s="70" t="str">
        <x:v>출고</x:v>
      </x:c>
      <x:c r="D68" s="89" t="n">
        <x:v>35</x:v>
      </x:c>
      <x:c r="E68" s="108" t="n">
        <x:v>4050</x:v>
      </x:c>
      <x:c r="F68" s="109" t="n">
        <x:f>IF(C68="입고",D68*E68,-D68*E68)</x:f>
        <x:v>-141750</x:v>
      </x:c>
      <x:c r="G68" s="74" t="str">
        <x:v>A창고</x:v>
      </x:c>
      <x:c r="H68" s="75" t="str"/>
    </x:row>
    <x:row r="69">
      <x:c r="A69" s="101" t="n">
        <x:v>46149</x:v>
      </x:c>
      <x:c r="B69" s="70" t="str">
        <x:v>P004</x:v>
      </x:c>
      <x:c r="C69" s="70" t="str">
        <x:v>출고</x:v>
      </x:c>
      <x:c r="D69" s="89" t="n">
        <x:v>38</x:v>
      </x:c>
      <x:c r="E69" s="108" t="n">
        <x:v>4400</x:v>
      </x:c>
      <x:c r="F69" s="109" t="n">
        <x:f>IF(C68="입고",D69*E69,-D69*E69)</x:f>
        <x:v>-167200</x:v>
      </x:c>
      <x:c r="G69" s="74" t="str">
        <x:v>B창고</x:v>
      </x:c>
      <x:c r="H69" s="75" t="str"/>
    </x:row>
    <x:row r="70">
      <x:c r="A70" s="101" t="n">
        <x:v>46151</x:v>
      </x:c>
      <x:c r="B70" s="70" t="str">
        <x:v>P005</x:v>
      </x:c>
      <x:c r="C70" s="70" t="str">
        <x:v>입고</x:v>
      </x:c>
      <x:c r="D70" s="89" t="n">
        <x:v>24</x:v>
      </x:c>
      <x:c r="E70" s="108" t="n">
        <x:v>4750</x:v>
      </x:c>
      <x:c r="F70" s="109" t="n">
        <x:f>IF(C70="입고",D70*E70,-D70*E70)</x:f>
        <x:v>114000</x:v>
      </x:c>
      <x:c r="G70" s="74" t="str">
        <x:v>A창고</x:v>
      </x:c>
      <x:c r="H70" s="75" t="str">
        <x:v>정기입고</x:v>
      </x:c>
    </x:row>
    <x:row r="71">
      <x:c r="A71" s="101" t="n">
        <x:v>46153</x:v>
      </x:c>
      <x:c r="B71" s="70" t="str">
        <x:v>P006</x:v>
      </x:c>
      <x:c r="C71" s="70" t="str">
        <x:v>출고</x:v>
      </x:c>
      <x:c r="D71" s="89" t="n">
        <x:v>24</x:v>
      </x:c>
      <x:c r="E71" s="108" t="n">
        <x:v>5100</x:v>
      </x:c>
      <x:c r="F71" s="109" t="n">
        <x:f>IF(C71="입고",D71*E71,-D71*E71)</x:f>
        <x:v>-122400</x:v>
      </x:c>
      <x:c r="G71" s="74" t="str">
        <x:v>B창고</x:v>
      </x:c>
      <x:c r="H71" s="75" t="str"/>
    </x:row>
    <x:row r="72">
      <x:c r="A72" s="101" t="n">
        <x:v>46155</x:v>
      </x:c>
      <x:c r="B72" s="70" t="str">
        <x:v>P007</x:v>
      </x:c>
      <x:c r="C72" s="70" t="str">
        <x:v>출고</x:v>
      </x:c>
      <x:c r="D72" s="89" t="n">
        <x:v>28</x:v>
      </x:c>
      <x:c r="E72" s="108" t="n">
        <x:v>5450</x:v>
      </x:c>
      <x:c r="F72" s="109" t="n">
        <x:f>IF(C72="입고",D72*E72,-D72*E72)</x:f>
        <x:v>-152600</x:v>
      </x:c>
      <x:c r="G72" s="74" t="str">
        <x:v>A창고</x:v>
      </x:c>
      <x:c r="H72" s="75" t="str"/>
    </x:row>
    <x:row r="73">
      <x:c r="A73" s="101" t="n">
        <x:v>46157</x:v>
      </x:c>
      <x:c r="B73" s="70" t="str">
        <x:v>P008</x:v>
      </x:c>
      <x:c r="C73" s="70" t="str">
        <x:v>출고</x:v>
      </x:c>
      <x:c r="D73" s="89" t="n">
        <x:v>12</x:v>
      </x:c>
      <x:c r="E73" s="108" t="n">
        <x:v>5800</x:v>
      </x:c>
      <x:c r="F73" s="109" t="n">
        <x:f>IF(C73="입고",D73*E73,-D73*E73)</x:f>
        <x:v>-69600</x:v>
      </x:c>
      <x:c r="G73" s="74" t="str">
        <x:v>B창고</x:v>
      </x:c>
      <x:c r="H73" s="75" t="str"/>
    </x:row>
    <x:row r="74">
      <x:c r="A74" s="101" t="n">
        <x:v>46159</x:v>
      </x:c>
      <x:c r="B74" s="70" t="str">
        <x:v>P009</x:v>
      </x:c>
      <x:c r="C74" s="70" t="str">
        <x:v>입고</x:v>
      </x:c>
      <x:c r="D74" s="89" t="n">
        <x:v>17</x:v>
      </x:c>
      <x:c r="E74" s="108" t="n">
        <x:v>6150</x:v>
      </x:c>
      <x:c r="F74" s="109" t="n">
        <x:f>IF(C74="입고",D74*E74,-D74*E74)</x:f>
        <x:v>104550</x:v>
      </x:c>
      <x:c r="G74" s="74" t="str">
        <x:v>A창고</x:v>
      </x:c>
      <x:c r="H74" s="75" t="str"/>
    </x:row>
    <x:row r="75">
      <x:c r="A75" s="101" t="n">
        <x:v>46161</x:v>
      </x:c>
      <x:c r="B75" s="70" t="str">
        <x:v>P010</x:v>
      </x:c>
      <x:c r="C75" s="70" t="str">
        <x:v>출고</x:v>
      </x:c>
      <x:c r="D75" s="89" t="n">
        <x:v>37</x:v>
      </x:c>
      <x:c r="E75" s="108" t="n">
        <x:v>6500</x:v>
      </x:c>
      <x:c r="F75" s="109" t="n">
        <x:f>IF(C75="입고",D75*E75,-D75*E75)</x:f>
        <x:v>-240500</x:v>
      </x:c>
      <x:c r="G75" s="74" t="str">
        <x:v>B창고</x:v>
      </x:c>
      <x:c r="H75" s="75" t="str"/>
    </x:row>
    <x:row r="76">
      <x:c r="A76" s="101" t="n">
        <x:v>46163</x:v>
      </x:c>
      <x:c r="B76" s="70" t="str">
        <x:v>P011</x:v>
      </x:c>
      <x:c r="C76" s="70" t="str">
        <x:v>출고</x:v>
      </x:c>
      <x:c r="D76" s="89" t="n">
        <x:v>24</x:v>
      </x:c>
      <x:c r="E76" s="108" t="n">
        <x:v>6850</x:v>
      </x:c>
      <x:c r="F76" s="109" t="n">
        <x:f>IF(C76="입고",D76*E76,-D76*E76)</x:f>
        <x:v>-164400</x:v>
      </x:c>
      <x:c r="G76" s="74" t="str">
        <x:v>A창고</x:v>
      </x:c>
      <x:c r="H76" s="75" t="str"/>
    </x:row>
    <x:row r="77">
      <x:c r="A77" s="101" t="n">
        <x:v>46165</x:v>
      </x:c>
      <x:c r="B77" s="70" t="str">
        <x:v>P012</x:v>
      </x:c>
      <x:c r="C77" s="70" t="str">
        <x:v>출고</x:v>
      </x:c>
      <x:c r="D77" s="89" t="n">
        <x:v>24</x:v>
      </x:c>
      <x:c r="E77" s="108" t="n">
        <x:v>7200</x:v>
      </x:c>
      <x:c r="F77" s="109" t="n">
        <x:f>IF(C77="입고",D77*E77,-D77*E77)</x:f>
        <x:v>-172800</x:v>
      </x:c>
      <x:c r="G77" s="74" t="str">
        <x:v>B창고</x:v>
      </x:c>
      <x:c r="H77" s="75" t="str"/>
    </x:row>
    <x:row r="78">
      <x:c r="A78" s="101" t="n">
        <x:v>46167</x:v>
      </x:c>
      <x:c r="B78" s="70" t="str">
        <x:v>P013</x:v>
      </x:c>
      <x:c r="C78" s="70" t="str">
        <x:v>입고</x:v>
      </x:c>
      <x:c r="D78" s="89" t="n">
        <x:v>9</x:v>
      </x:c>
      <x:c r="E78" s="108" t="n">
        <x:v>7550</x:v>
      </x:c>
      <x:c r="F78" s="109" t="n">
        <x:f>IF(C78="입고",D78*E78,-D78*E78)</x:f>
        <x:v>67950</x:v>
      </x:c>
      <x:c r="G78" s="74" t="str">
        <x:v>A창고</x:v>
      </x:c>
      <x:c r="H78" s="75" t="str">
        <x:v>정기입고</x:v>
      </x:c>
    </x:row>
    <x:row r="79">
      <x:c r="A79" s="101" t="n">
        <x:v>46169</x:v>
      </x:c>
      <x:c r="B79" s="70" t="str">
        <x:v>P014</x:v>
      </x:c>
      <x:c r="C79" s="70" t="str">
        <x:v>출고</x:v>
      </x:c>
      <x:c r="D79" s="89" t="n">
        <x:v>14</x:v>
      </x:c>
      <x:c r="E79" s="108" t="n">
        <x:v>7900</x:v>
      </x:c>
      <x:c r="F79" s="109" t="n">
        <x:f>IF(C79="입고",D79*E79,-D79*E79)</x:f>
        <x:v>-110600</x:v>
      </x:c>
      <x:c r="G79" s="74" t="str">
        <x:v>B창고</x:v>
      </x:c>
      <x:c r="H79" s="75" t="str"/>
    </x:row>
    <x:row r="80">
      <x:c r="A80" s="101" t="n">
        <x:v>46171</x:v>
      </x:c>
      <x:c r="B80" s="70" t="str">
        <x:v>P015</x:v>
      </x:c>
      <x:c r="C80" s="70" t="str">
        <x:v>출고</x:v>
      </x:c>
      <x:c r="D80" s="89" t="n">
        <x:v>39</x:v>
      </x:c>
      <x:c r="E80" s="108" t="n">
        <x:v>8250</x:v>
      </x:c>
      <x:c r="F80" s="109" t="n">
        <x:f>IF(C80="입고",D80*E80,-D80*E80)</x:f>
        <x:v>-321750</x:v>
      </x:c>
      <x:c r="G80" s="74" t="str">
        <x:v>A창고</x:v>
      </x:c>
      <x:c r="H80" s="75" t="str"/>
    </x:row>
    <x:row r="81">
      <x:c r="A81" s="101" t="n">
        <x:v>46173</x:v>
      </x:c>
      <x:c r="B81" s="70" t="str">
        <x:v>P001</x:v>
      </x:c>
      <x:c r="C81" s="70" t="str">
        <x:v>출고</x:v>
      </x:c>
      <x:c r="D81" s="89" t="n">
        <x:v>22</x:v>
      </x:c>
      <x:c r="E81" s="108" t="n">
        <x:v>3350</x:v>
      </x:c>
      <x:c r="F81" s="109" t="n">
        <x:f>IF(C81="입고",D81*E81,-D81*E81)</x:f>
        <x:v>-73700</x:v>
      </x:c>
      <x:c r="G81" s="74" t="str">
        <x:v>B창고</x:v>
      </x:c>
      <x:c r="H81" s="75" t="str"/>
    </x:row>
    <x:row r="82">
      <x:c r="A82" s="101" t="n">
        <x:v>46175</x:v>
      </x:c>
      <x:c r="B82" s="70" t="str">
        <x:v>P002</x:v>
      </x:c>
      <x:c r="C82" s="70" t="str">
        <x:v>입고</x:v>
      </x:c>
      <x:c r="D82" s="89" t="n">
        <x:v>2</x:v>
      </x:c>
      <x:c r="E82" s="108" t="n">
        <x:v>3700</x:v>
      </x:c>
      <x:c r="F82" s="109" t="n">
        <x:f>IF(C82="입고",D82*E82,-D82*E82)</x:f>
        <x:v>7400</x:v>
      </x:c>
      <x:c r="G82" s="74" t="str">
        <x:v>A창고</x:v>
      </x:c>
      <x:c r="H82" s="75" t="str"/>
    </x:row>
    <x:row r="83">
      <x:c r="A83" s="101" t="n">
        <x:v>46177</x:v>
      </x:c>
      <x:c r="B83" s="70" t="str">
        <x:v>P003</x:v>
      </x:c>
      <x:c r="C83" s="70" t="str">
        <x:v>출고</x:v>
      </x:c>
      <x:c r="D83" s="89" t="n">
        <x:v>7</x:v>
      </x:c>
      <x:c r="E83" s="108" t="n">
        <x:v>4050</x:v>
      </x:c>
      <x:c r="F83" s="109" t="n">
        <x:f>IF(C83="입고",D83*E83,-D83*E83)</x:f>
        <x:v>-28350</x:v>
      </x:c>
      <x:c r="G83" s="74" t="str">
        <x:v>B창고</x:v>
      </x:c>
      <x:c r="H83" s="75" t="str"/>
    </x:row>
    <x:row r="84">
      <x:c r="A84" s="101" t="n">
        <x:v>46179</x:v>
      </x:c>
      <x:c r="B84" s="70" t="str">
        <x:v>P004</x:v>
      </x:c>
      <x:c r="C84" s="70" t="str">
        <x:v>출고</x:v>
      </x:c>
      <x:c r="D84" s="89" t="n">
        <x:v>34</x:v>
      </x:c>
      <x:c r="E84" s="108" t="n">
        <x:v>4400</x:v>
      </x:c>
      <x:c r="F84" s="109" t="n">
        <x:f>IF(C84="입고",D84*E84,-D84*E84)</x:f>
        <x:v>-149600</x:v>
      </x:c>
      <x:c r="G84" s="74" t="str">
        <x:v>A창고</x:v>
      </x:c>
      <x:c r="H84" s="75" t="str"/>
    </x:row>
    <x:row r="85">
      <x:c r="A85" s="102" t="n">
        <x:v>46181</x:v>
      </x:c>
      <x:c r="B85" s="77" t="str">
        <x:v>P005</x:v>
      </x:c>
      <x:c r="C85" s="77" t="str">
        <x:v>출고</x:v>
      </x:c>
      <x:c r="D85" s="90" t="n">
        <x:v>26</x:v>
      </x:c>
      <x:c r="E85" s="110" t="n">
        <x:v>4750</x:v>
      </x:c>
      <x:c r="F85" s="111" t="n">
        <x:f>IF(C85="입고",D85*E85,-D85*E85)</x:f>
        <x:v>-123500</x:v>
      </x:c>
      <x:c r="G85" s="76" t="str">
        <x:v>B창고</x:v>
      </x:c>
      <x:c r="H85" s="78" t="str"/>
    </x:row>
    <x:row r="86">
      <x:c r="A86" s="124" t="str">
        <x:v>소계</x:v>
      </x:c>
      <x:c r="B86" s="125" t="str"/>
      <x:c r="C86" s="125" t="str"/>
      <x:c r="D86" s="126" t="str"/>
      <x:c r="E86" s="126" t="str"/>
      <x:c r="F86" s="126" t="n">
        <x:f>SUM(F6:F85)</x:f>
        <x:v>-5503478</x:v>
      </x:c>
      <x:c r="G86" s="125" t="str"/>
      <x:c r="H86" s="127" t="str">
        <x:v>전체 이동금액</x:v>
      </x:c>
    </x:row>
    <x:row r="87">
      <x:c r="A87" s="140" t="str">
        <x:v>조정</x:v>
      </x:c>
      <x:c r="B87" s="141" t="str"/>
      <x:c r="C87" s="141" t="str"/>
      <x:c r="D87" s="142" t="str"/>
      <x:c r="E87" s="142" t="str"/>
      <x:c r="F87" s="142" t="n">
        <x:v>-15000</x:v>
      </x:c>
      <x:c r="G87" s="141" t="str"/>
      <x:c r="H87" s="143" t="str">
        <x:v>재고실사 차이 조정</x:v>
      </x:c>
    </x:row>
    <x:row r="88">
      <x:c r="A88" s="124" t="str">
        <x:v>합계</x:v>
      </x:c>
      <x:c r="B88" s="125" t="str"/>
      <x:c r="C88" s="125" t="str"/>
      <x:c r="D88" s="126" t="str"/>
      <x:c r="E88" s="126" t="str"/>
      <x:c r="F88" s="126" t="n">
        <x:f>F86+F87</x:f>
        <x:v>-5518478</x:v>
      </x:c>
      <x:c r="G88" s="125" t="str"/>
      <x:c r="H88" s="127" t="str">
        <x:v>소계+조정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</x:cols>
  <x:sheetData>
    <x:row r="1" ht="30" customHeight="1">
      <x:c r="A1" s="5" t="str">
        <x:v>품목별 재고현황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입출고 내역을 집계해 현재고와 안전재고 상태를 확인합니다.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품목코드</x:v>
      </x:c>
      <x:c r="B5" s="65" t="str">
        <x:v>품목명</x:v>
      </x:c>
      <x:c r="C5" s="65" t="str">
        <x:v>기초재고</x:v>
      </x:c>
      <x:c r="D5" s="65" t="str">
        <x:v>입고수량</x:v>
      </x:c>
      <x:c r="E5" s="65" t="str">
        <x:v>출고수량</x:v>
      </x:c>
      <x:c r="F5" s="65" t="str">
        <x:v>현재고</x:v>
      </x:c>
      <x:c r="G5" s="65" t="str">
        <x:v>안전재고</x:v>
      </x:c>
      <x:c r="H5" s="31" t="str">
        <x:v>상태</x:v>
      </x:c>
    </x:row>
    <x:row r="6">
      <x:c r="A6" s="71" t="str">
        <x:v>P001</x:v>
      </x:c>
      <x:c r="B6" s="72" t="str">
        <x:v>품목01</x:v>
      </x:c>
      <x:c r="C6" s="106" t="n">
        <x:v>60</x:v>
      </x:c>
      <x:c r="D6" s="174" t="n">
        <x:f>SUMIFS('입출고'!$D$6:$D$85,'입출고'!$B$6:$B$85,A6,'입출고'!$C$6:$C$85,"입고")</x:f>
        <x:v>52</x:v>
      </x:c>
      <x:c r="E6" s="175" t="n">
        <x:f>SUMIFS('입출고'!$D$6:$D$85,'입출고'!$B$6:$B$85,A6,'입출고'!$C$6:$C$85,"출고")</x:f>
        <x:v>104</x:v>
      </x:c>
      <x:c r="F6" s="176" t="n">
        <x:f>C6+D6-E6</x:f>
        <x:v>8</x:v>
      </x:c>
      <x:c r="G6" s="209" t="n">
        <x:v>30</x:v>
      </x:c>
      <x:c r="H6" s="212" t="str">
        <x:f>IF(F6&lt;G6,"발주 필요","정상")</x:f>
        <x:v>발주 필요</x:v>
      </x:c>
    </x:row>
    <x:row r="7">
      <x:c r="A7" s="74" t="str">
        <x:v>P002</x:v>
      </x:c>
      <x:c r="B7" s="70" t="str">
        <x:v>품목02</x:v>
      </x:c>
      <x:c r="C7" s="108" t="n">
        <x:v>70</x:v>
      </x:c>
      <x:c r="D7" s="178" t="n">
        <x:f>SUMIFS('입출고'!$D$6:$D$85,'입출고'!$B$6:$B$85,A7,'입출고'!$C$6:$C$85,"입고")</x:f>
        <x:v>37</x:v>
      </x:c>
      <x:c r="E7" s="179" t="n">
        <x:f>SUMIFS('입출고'!$D$6:$D$85,'입출고'!$B$6:$B$85,A7,'입출고'!$C$6:$C$85,"출고")</x:f>
        <x:v>92</x:v>
      </x:c>
      <x:c r="F7" s="180" t="n">
        <x:f>C7+D7-E7</x:f>
        <x:v>15</x:v>
      </x:c>
      <x:c r="G7" s="210" t="n">
        <x:v>40</x:v>
      </x:c>
      <x:c r="H7" s="213" t="str">
        <x:f>IF(F7&lt;G7,"발주 필요","정상")</x:f>
        <x:v>발주 필요</x:v>
      </x:c>
    </x:row>
    <x:row r="8">
      <x:c r="A8" s="74" t="str">
        <x:v>P003</x:v>
      </x:c>
      <x:c r="B8" s="70" t="str">
        <x:v>품목03</x:v>
      </x:c>
      <x:c r="C8" s="108" t="n">
        <x:v>80</x:v>
      </x:c>
      <x:c r="D8" s="178" t="n">
        <x:f>SUMIFS('입출고'!$D$6:$D$85,'입출고'!$B$6:$B$85,A8,'입출고'!$C$6:$C$85,"입고")</x:f>
        <x:v>4</x:v>
      </x:c>
      <x:c r="E8" s="179" t="n">
        <x:f>SUMIFS('입출고'!$D$6:$D$85,'입출고'!$B$6:$B$85,A8,'입출고'!$C$6:$C$85,"출고")</x:f>
        <x:v>113</x:v>
      </x:c>
      <x:c r="F8" s="180" t="n">
        <x:f>C8+D8-E8</x:f>
        <x:v>-29</x:v>
      </x:c>
      <x:c r="G8" s="210" t="n">
        <x:v>50</x:v>
      </x:c>
      <x:c r="H8" s="213" t="str">
        <x:f>IF(F8&lt;G8,"발주 필요","정상")</x:f>
        <x:v>발주 필요</x:v>
      </x:c>
    </x:row>
    <x:row r="9">
      <x:c r="A9" s="74" t="str">
        <x:v>P004</x:v>
      </x:c>
      <x:c r="B9" s="70" t="str">
        <x:v>품목04</x:v>
      </x:c>
      <x:c r="C9" s="108" t="n">
        <x:v>50</x:v>
      </x:c>
      <x:c r="D9" s="178" t="n">
        <x:f>SUMIFS('입출고'!$D$6:$D$85,'입출고'!$B$6:$B$85,A9,'입출고'!$C$6:$C$85,"입고")</x:f>
        <x:v>17</x:v>
      </x:c>
      <x:c r="E9" s="179" t="n">
        <x:f>SUMIFS('입출고'!$D$6:$D$85,'입출고'!$B$6:$B$85,A9,'입출고'!$C$6:$C$85,"출고")</x:f>
        <x:v>126</x:v>
      </x:c>
      <x:c r="F9" s="180" t="n">
        <x:f>C9+D9-E9</x:f>
        <x:v>-59</x:v>
      </x:c>
      <x:c r="G9" s="210" t="n">
        <x:v>60</x:v>
      </x:c>
      <x:c r="H9" s="213" t="str">
        <x:f>IF(F9&lt;G9,"발주 필요","정상")</x:f>
        <x:v>발주 필요</x:v>
      </x:c>
    </x:row>
    <x:row r="10">
      <x:c r="A10" s="74" t="str">
        <x:v>P005</x:v>
      </x:c>
      <x:c r="B10" s="70" t="str">
        <x:v>품목05</x:v>
      </x:c>
      <x:c r="C10" s="108" t="n">
        <x:v>60</x:v>
      </x:c>
      <x:c r="D10" s="178" t="n">
        <x:f>SUMIFS('입출고'!$D$6:$D$85,'입출고'!$B$6:$B$85,A10,'입출고'!$C$6:$C$85,"입고")</x:f>
        <x:v>38</x:v>
      </x:c>
      <x:c r="E10" s="179" t="n">
        <x:f>SUMIFS('입출고'!$D$6:$D$85,'입출고'!$B$6:$B$85,A10,'입출고'!$C$6:$C$85,"출고")</x:f>
        <x:v>77</x:v>
      </x:c>
      <x:c r="F10" s="180" t="n">
        <x:f>C10+D10-E10</x:f>
        <x:v>21</x:v>
      </x:c>
      <x:c r="G10" s="210" t="n">
        <x:v>20</x:v>
      </x:c>
      <x:c r="H10" s="213" t="str">
        <x:f>IF(F10&lt;G10,"발주 필요","정상")</x:f>
        <x:v>정상</x:v>
      </x:c>
    </x:row>
    <x:row r="11">
      <x:c r="A11" s="74" t="str">
        <x:v>P006</x:v>
      </x:c>
      <x:c r="B11" s="70" t="str">
        <x:v>품목06</x:v>
      </x:c>
      <x:c r="C11" s="108" t="n">
        <x:v>70</x:v>
      </x:c>
      <x:c r="D11" s="178" t="n">
        <x:f>SUMIFS('입출고'!$D$6:$D$85,'입출고'!$B$6:$B$85,A11,'입출고'!$C$6:$C$85,"입고")</x:f>
        <x:v>32</x:v>
      </x:c>
      <x:c r="E11" s="179" t="n">
        <x:f>SUMIFS('입출고'!$D$6:$D$85,'입출고'!$B$6:$B$85,A11,'입출고'!$C$6:$C$85,"출고")</x:f>
        <x:v>79</x:v>
      </x:c>
      <x:c r="F11" s="180" t="n">
        <x:f>C11+D11-E11</x:f>
        <x:v>23</x:v>
      </x:c>
      <x:c r="G11" s="210" t="n">
        <x:v>30</x:v>
      </x:c>
      <x:c r="H11" s="213" t="str">
        <x:f>IF(F11&lt;G11,"발주 필요","정상")</x:f>
        <x:v>발주 필요</x:v>
      </x:c>
    </x:row>
    <x:row r="12">
      <x:c r="A12" s="74" t="str">
        <x:v>P007</x:v>
      </x:c>
      <x:c r="B12" s="70" t="str">
        <x:v>품목07</x:v>
      </x:c>
      <x:c r="C12" s="108" t="n">
        <x:v>80</x:v>
      </x:c>
      <x:c r="D12" s="178" t="n">
        <x:f>SUMIFS('입출고'!$D$6:$D$85,'입출고'!$B$6:$B$85,A12,'입출고'!$C$6:$C$85,"입고")</x:f>
        <x:v>26</x:v>
      </x:c>
      <x:c r="E12" s="179" t="n">
        <x:f>SUMIFS('입출고'!$D$6:$D$85,'입출고'!$B$6:$B$85,A12,'입출고'!$C$6:$C$85,"출고")</x:f>
        <x:v>57</x:v>
      </x:c>
      <x:c r="F12" s="180" t="n">
        <x:f>C12+D12-E12</x:f>
        <x:v>49</x:v>
      </x:c>
      <x:c r="G12" s="210" t="n">
        <x:v>40</x:v>
      </x:c>
      <x:c r="H12" s="213" t="str">
        <x:f>IF(F12&lt;G12,"발주 필요","정상")</x:f>
        <x:v>정상</x:v>
      </x:c>
    </x:row>
    <x:row r="13">
      <x:c r="A13" s="74" t="str">
        <x:v>P008</x:v>
      </x:c>
      <x:c r="B13" s="70" t="str">
        <x:v>품목08</x:v>
      </x:c>
      <x:c r="C13" s="108" t="n">
        <x:v>50</x:v>
      </x:c>
      <x:c r="D13" s="178" t="n">
        <x:f>SUMIFS('입출고'!$D$6:$D$85,'입출고'!$B$6:$B$85,A13,'입출고'!$C$6:$C$85,"입고")</x:f>
        <x:v>21</x:v>
      </x:c>
      <x:c r="E13" s="179" t="n">
        <x:f>SUMIFS('입출고'!$D$6:$D$85,'입출고'!$B$6:$B$85,A13,'입출고'!$C$6:$C$85,"출고")</x:f>
        <x:v>88</x:v>
      </x:c>
      <x:c r="F13" s="180" t="n">
        <x:f>C13+D13-E13</x:f>
        <x:v>-17</x:v>
      </x:c>
      <x:c r="G13" s="210" t="n">
        <x:v>50</x:v>
      </x:c>
      <x:c r="H13" s="213" t="str">
        <x:f>IF(F13&lt;G13,"발주 필요","정상")</x:f>
        <x:v>발주 필요</x:v>
      </x:c>
    </x:row>
    <x:row r="14">
      <x:c r="A14" s="74" t="str">
        <x:v>P009</x:v>
      </x:c>
      <x:c r="B14" s="70" t="str">
        <x:v>품목09</x:v>
      </x:c>
      <x:c r="C14" s="108" t="n">
        <x:v>60</x:v>
      </x:c>
      <x:c r="D14" s="178" t="n">
        <x:f>SUMIFS('입출고'!$D$6:$D$85,'입출고'!$B$6:$B$85,A14,'입출고'!$C$6:$C$85,"입고")</x:f>
        <x:v>47</x:v>
      </x:c>
      <x:c r="E14" s="179" t="n">
        <x:f>SUMIFS('입출고'!$D$6:$D$85,'입출고'!$B$6:$B$85,A14,'입출고'!$C$6:$C$85,"출고")</x:f>
        <x:v>53</x:v>
      </x:c>
      <x:c r="F14" s="180" t="n">
        <x:f>C14+D14-E14</x:f>
        <x:v>54</x:v>
      </x:c>
      <x:c r="G14" s="210" t="n">
        <x:v>60</x:v>
      </x:c>
      <x:c r="H14" s="213" t="str">
        <x:f>IF(F14&lt;G14,"발주 필요","정상")</x:f>
        <x:v>발주 필요</x:v>
      </x:c>
    </x:row>
    <x:row r="15">
      <x:c r="A15" s="74" t="str">
        <x:v>P010</x:v>
      </x:c>
      <x:c r="B15" s="70" t="str">
        <x:v>품목10</x:v>
      </x:c>
      <x:c r="C15" s="108" t="n">
        <x:v>70</x:v>
      </x:c>
      <x:c r="D15" s="178" t="n">
        <x:f>SUMIFS('입출고'!$D$6:$D$85,'입출고'!$B$6:$B$85,A15,'입출고'!$C$6:$C$85,"입고")</x:f>
        <x:v>4</x:v>
      </x:c>
      <x:c r="E15" s="179" t="n">
        <x:f>SUMIFS('입출고'!$D$6:$D$85,'입출고'!$B$6:$B$85,A15,'입출고'!$C$6:$C$85,"출고")</x:f>
        <x:v>103</x:v>
      </x:c>
      <x:c r="F15" s="180" t="n">
        <x:f>C15+D15-E15</x:f>
        <x:v>-29</x:v>
      </x:c>
      <x:c r="G15" s="210" t="n">
        <x:v>20</x:v>
      </x:c>
      <x:c r="H15" s="213" t="str">
        <x:f>IF(F15&lt;G15,"발주 필요","정상")</x:f>
        <x:v>발주 필요</x:v>
      </x:c>
    </x:row>
    <x:row r="16">
      <x:c r="A16" s="74" t="str">
        <x:v>P011</x:v>
      </x:c>
      <x:c r="B16" s="70" t="str">
        <x:v>품목11</x:v>
      </x:c>
      <x:c r="C16" s="108" t="n">
        <x:v>80</x:v>
      </x:c>
      <x:c r="D16" s="178" t="n">
        <x:f>SUMIFS('입출고'!$D$6:$D$85,'입출고'!$B$6:$B$85,A16,'입출고'!$C$6:$C$85,"입고")</x:f>
        <x:v>15</x:v>
      </x:c>
      <x:c r="E16" s="179" t="n">
        <x:f>SUMIFS('입출고'!$D$6:$D$85,'입출고'!$B$6:$B$85,A16,'입출고'!$C$6:$C$85,"출고")</x:f>
        <x:v>94</x:v>
      </x:c>
      <x:c r="F16" s="180" t="n">
        <x:f>C16+D16-E16</x:f>
        <x:v>1</x:v>
      </x:c>
      <x:c r="G16" s="210" t="n">
        <x:v>30</x:v>
      </x:c>
      <x:c r="H16" s="213" t="str">
        <x:f>IF(F16&lt;G16,"발주 필요","정상")</x:f>
        <x:v>발주 필요</x:v>
      </x:c>
    </x:row>
    <x:row r="17">
      <x:c r="A17" s="74" t="str">
        <x:v>P012</x:v>
      </x:c>
      <x:c r="B17" s="70" t="str">
        <x:v>품목12</x:v>
      </x:c>
      <x:c r="C17" s="108" t="n">
        <x:v>50</x:v>
      </x:c>
      <x:c r="D17" s="178" t="n">
        <x:f>SUMIFS('입출고'!$D$6:$D$85,'입출고'!$B$6:$B$85,A17,'입출고'!$C$6:$C$85,"입고")</x:f>
        <x:v>17</x:v>
      </x:c>
      <x:c r="E17" s="179" t="n">
        <x:f>SUMIFS('입출고'!$D$6:$D$85,'입출고'!$B$6:$B$85,A17,'입출고'!$C$6:$C$85,"출고")</x:f>
        <x:v>90</x:v>
      </x:c>
      <x:c r="F17" s="180" t="n">
        <x:f>C17+D17-E17</x:f>
        <x:v>-23</x:v>
      </x:c>
      <x:c r="G17" s="210" t="n">
        <x:v>40</x:v>
      </x:c>
      <x:c r="H17" s="213" t="str">
        <x:f>IF(F17&lt;G17,"발주 필요","정상")</x:f>
        <x:v>발주 필요</x:v>
      </x:c>
    </x:row>
    <x:row r="18">
      <x:c r="A18" s="74" t="str">
        <x:v>P013</x:v>
      </x:c>
      <x:c r="B18" s="70" t="str">
        <x:v>품목13</x:v>
      </x:c>
      <x:c r="C18" s="108" t="n">
        <x:v>60</x:v>
      </x:c>
      <x:c r="D18" s="178" t="n">
        <x:f>SUMIFS('입출고'!$D$6:$D$85,'입출고'!$B$6:$B$85,A18,'입출고'!$C$6:$C$85,"입고")</x:f>
        <x:v>31</x:v>
      </x:c>
      <x:c r="E18" s="179" t="n">
        <x:f>SUMIFS('입출고'!$D$6:$D$85,'입출고'!$B$6:$B$85,A18,'입출고'!$C$6:$C$85,"출고")</x:f>
        <x:v>51</x:v>
      </x:c>
      <x:c r="F18" s="180" t="n">
        <x:f>C18+D18-E18</x:f>
        <x:v>40</x:v>
      </x:c>
      <x:c r="G18" s="210" t="n">
        <x:v>50</x:v>
      </x:c>
      <x:c r="H18" s="213" t="str">
        <x:f>IF(F18&lt;G18,"발주 필요","정상")</x:f>
        <x:v>발주 필요</x:v>
      </x:c>
    </x:row>
    <x:row r="19">
      <x:c r="A19" s="74" t="str">
        <x:v>P014</x:v>
      </x:c>
      <x:c r="B19" s="70" t="str">
        <x:v>품목14</x:v>
      </x:c>
      <x:c r="C19" s="108" t="n">
        <x:v>70</x:v>
      </x:c>
      <x:c r="D19" s="178" t="n">
        <x:f>SUMIFS('입출고'!$D$6:$D$85,'입출고'!$B$6:$B$85,A19,'입출고'!$C$6:$C$85,"입고")</x:f>
        <x:v>30</x:v>
      </x:c>
      <x:c r="E19" s="179" t="n">
        <x:f>SUMIFS('입출고'!$D$6:$D$85,'입출고'!$B$6:$B$85,A19,'입출고'!$C$6:$C$85,"출고")</x:f>
        <x:v>57</x:v>
      </x:c>
      <x:c r="F19" s="180" t="n">
        <x:f>C19+D19-E19</x:f>
        <x:v>43</x:v>
      </x:c>
      <x:c r="G19" s="210" t="n">
        <x:v>60</x:v>
      </x:c>
      <x:c r="H19" s="213" t="str">
        <x:f>IF(F19&lt;G19,"발주 필요","정상")</x:f>
        <x:v>발주 필요</x:v>
      </x:c>
    </x:row>
    <x:row r="20">
      <x:c r="A20" s="76" t="str">
        <x:v>P015</x:v>
      </x:c>
      <x:c r="B20" s="77" t="str">
        <x:v>품목15</x:v>
      </x:c>
      <x:c r="C20" s="110" t="n">
        <x:v>80</x:v>
      </x:c>
      <x:c r="D20" s="182" t="n">
        <x:f>SUMIFS('입출고'!$D$6:$D$85,'입출고'!$B$6:$B$85,A20,'입출고'!$C$6:$C$85,"입고")</x:f>
        <x:v>10</x:v>
      </x:c>
      <x:c r="E20" s="183" t="n">
        <x:f>SUMIFS('입출고'!$D$6:$D$85,'입출고'!$B$6:$B$85,A20,'입출고'!$C$6:$C$85,"출고")</x:f>
        <x:v>102</x:v>
      </x:c>
      <x:c r="F20" s="184" t="n">
        <x:f>C20+D20-E20</x:f>
        <x:v>-12</x:v>
      </x:c>
      <x:c r="G20" s="211" t="n">
        <x:v>20</x:v>
      </x:c>
      <x:c r="H20" s="214" t="str">
        <x:f>IF(F20&lt;G20,"발주 필요","정상")</x:f>
        <x:v>발주 필요</x:v>
      </x:c>
    </x:row>
  </x:sheetData>
  <x:mergeCells>
    <x:mergeCell ref="A1:H1"/>
    <x:mergeCell ref="A2:H2"/>
    <x:mergeCell ref="A3:H3"/>
  </x:mergeCells>
  <x:conditionalFormatting sqref="H6:H20">
    <x:cfRule type="expression" dxfId="1" priority="1">
      <x:formula>H6="발주 필요"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재고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품목별 현재고와 발주 필요 상태를 요약합니다.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99" t="str">
        <x:v>총 현재고</x:v>
      </x:c>
      <x:c r="B5" s="199"/>
      <x:c r="C5" s="199" t="str">
        <x:v>발주 필요 품목</x:v>
      </x:c>
      <x:c r="D5" s="199"/>
      <x:c r="E5" s="199" t="str">
        <x:v>입고 합계</x:v>
      </x:c>
      <x:c r="F5" s="199"/>
      <x:c r="G5" s="199" t="str">
        <x:v>출고 합계</x:v>
      </x:c>
      <x:c r="H5" s="199"/>
    </x:row>
    <x:row r="6">
      <x:c r="A6" s="204" t="n">
        <x:f>SUM('재고현황'!F6:F20)</x:f>
        <x:v>85</x:v>
      </x:c>
      <x:c r="B6" s="204"/>
      <x:c r="C6" s="204" t="n">
        <x:f>COUNTIF('재고현황'!H6:H20,"발주 필요")</x:f>
        <x:v>13</x:v>
      </x:c>
      <x:c r="D6" s="204"/>
      <x:c r="E6" s="204" t="n">
        <x:f>SUM('재고현황'!D6:D20)</x:f>
        <x:v>381</x:v>
      </x:c>
      <x:c r="F6" s="204"/>
      <x:c r="G6" s="204" t="n">
        <x:f>SUM('재고현황'!E6:E20)</x:f>
        <x:v>1286</x:v>
      </x:c>
      <x:c r="H6" s="204"/>
    </x:row>
    <x:row r="7">
      <x:c r="A7" s="204"/>
      <x:c r="B7" s="204"/>
      <x:c r="C7" s="204"/>
      <x:c r="D7" s="204"/>
      <x:c r="E7" s="204"/>
      <x:c r="F7" s="204"/>
      <x:c r="G7" s="204"/>
      <x:c r="H7" s="204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