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17f33c321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3ca5586f6ff4379"/>
    <x:sheet xmlns:r="http://schemas.openxmlformats.org/officeDocument/2006/relationships" name="설정" sheetId="2" r:id="R182ea3e4187043ad"/>
    <x:sheet xmlns:r="http://schemas.openxmlformats.org/officeDocument/2006/relationships" name="입금내역" sheetId="3" r:id="Rc6806a87f3274f4f"/>
    <x:sheet xmlns:r="http://schemas.openxmlformats.org/officeDocument/2006/relationships" name="매출채권" sheetId="4" r:id="Rd25cc930869641be"/>
    <x:sheet xmlns:r="http://schemas.openxmlformats.org/officeDocument/2006/relationships" name="연령분석" sheetId="5" r:id="Rdfb4152b7b86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4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  <x:bottom style="hair">
        <x:color rgb="FFD9D9D9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6" xfId="0" applyNumberFormat="1" applyFont="1" applyFill="1" applyBorder="1"/>
    <x:xf numFmtId="0" fontId="0" fillId="9" borderId="1" xfId="0" applyNumberFormat="1" applyFont="1" applyFill="1" applyBorder="1"/>
    <x:xf numFmtId="0" fontId="0" fillId="9" borderId="7" xfId="0" applyNumberFormat="1" applyFont="1" applyFill="1" applyBorder="1"/>
    <x:xf numFmtId="200" fontId="0" fillId="9" borderId="6" xfId="0" applyNumberFormat="1" applyFont="1" applyFill="1" applyBorder="1"/>
    <x:xf numFmtId="200" fontId="0" fillId="9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0" fontId="0" fillId="9" borderId="24" xfId="0" applyNumberFormat="1" applyFont="1" applyFill="1" applyBorder="1"/>
    <x:xf numFmtId="0" fontId="0" fillId="9" borderId="25" xfId="0" applyNumberFormat="1" applyFont="1" applyFill="1" applyBorder="1"/>
    <x:xf numFmtId="200" fontId="0" fillId="9" borderId="10" xfId="0" applyNumberFormat="1" applyFont="1" applyFill="1" applyBorder="1"/>
    <x:xf numFmtId="200" fontId="0" fillId="9" borderId="13" xfId="0" applyNumberFormat="1" applyFont="1" applyFill="1" applyBorder="1"/>
    <x:xf numFmtId="200" fontId="0" fillId="9" borderId="15" xfId="0" applyNumberFormat="1" applyFont="1" applyFill="1" applyBorder="1"/>
    <x:xf numFmtId="200" fontId="0" fillId="9" borderId="18" xfId="0" applyNumberFormat="1" applyFont="1" applyFill="1" applyBorder="1"/>
    <x:xf numFmtId="200" fontId="0" fillId="9" borderId="21" xfId="0" applyNumberFormat="1" applyFont="1" applyFill="1" applyBorder="1"/>
    <x:xf numFmtId="200" fontId="0" fillId="9" borderId="23" xfId="0" applyNumberFormat="1" applyFont="1" applyFill="1" applyBorder="1"/>
    <x:xf numFmtId="201" fontId="0" fillId="9" borderId="11" xfId="0" applyNumberFormat="1" applyFont="1" applyFill="1" applyBorder="1"/>
    <x:xf numFmtId="201" fontId="0" fillId="9" borderId="0" xfId="0" applyNumberFormat="1" applyFont="1" applyFill="1" applyBorder="1"/>
    <x:xf numFmtId="201" fontId="0" fillId="9" borderId="16" xfId="0" applyNumberFormat="1" applyFont="1" applyFill="1" applyBorder="1"/>
    <x:xf numFmtId="201" fontId="0" fillId="9" borderId="19" xfId="0" applyNumberFormat="1" applyFont="1" applyFill="1" applyBorder="1"/>
    <x:xf numFmtId="201" fontId="0" fillId="9" borderId="1" xfId="0" applyNumberFormat="1" applyFont="1" applyFill="1" applyBorder="1"/>
    <x:xf numFmtId="201" fontId="0" fillId="9" borderId="24" xfId="0" applyNumberFormat="1" applyFont="1" applyFill="1" applyBorder="1"/>
    <x:xf numFmtId="0" fontId="0" fillId="9" borderId="26" xfId="0" applyNumberFormat="1" applyFont="1" applyFill="1" applyBorder="1"/>
    <x:xf numFmtId="0" fontId="0" fillId="9" borderId="27" xfId="0" applyNumberFormat="1" applyFont="1" applyFill="1" applyBorder="1"/>
    <x:xf numFmtId="0" fontId="0" fillId="9" borderId="28" xfId="0" applyNumberFormat="1" applyFont="1" applyFill="1" applyBorder="1"/>
    <x:xf numFmtId="0" fontId="0" fillId="9" borderId="29" xfId="0" applyNumberFormat="1" applyFont="1" applyFill="1" applyBorder="1"/>
    <x:xf numFmtId="0" fontId="0" fillId="9" borderId="30" xfId="0" applyNumberFormat="1" applyFont="1" applyFill="1" applyBorder="1"/>
    <x:xf numFmtId="0" fontId="0" fillId="9" borderId="31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200" fontId="0" fillId="9" borderId="11" xfId="0" applyNumberFormat="1" applyFont="1" applyFill="1" applyBorder="1"/>
    <x:xf numFmtId="200" fontId="0" fillId="9" borderId="0" xfId="0" applyNumberFormat="1" applyFont="1" applyFill="1" applyBorder="1"/>
    <x:xf numFmtId="200" fontId="0" fillId="9" borderId="16" xfId="0" applyNumberFormat="1" applyFont="1" applyFill="1" applyBorder="1"/>
    <x:xf numFmtId="200" fontId="0" fillId="9" borderId="19" xfId="0" applyNumberFormat="1" applyFont="1" applyFill="1" applyBorder="1"/>
    <x:xf numFmtId="200" fontId="0" fillId="9" borderId="1" xfId="0" applyNumberFormat="1" applyFont="1" applyFill="1" applyBorder="1"/>
    <x:xf numFmtId="200" fontId="0" fillId="9" borderId="24" xfId="0" applyNumberFormat="1" applyFont="1" applyFill="1" applyBorder="1"/>
    <x:xf numFmtId="200" fontId="0" fillId="9" borderId="12" xfId="0" applyNumberFormat="1" applyFont="1" applyFill="1" applyBorder="1"/>
    <x:xf numFmtId="200" fontId="0" fillId="9" borderId="14" xfId="0" applyNumberFormat="1" applyFont="1" applyFill="1" applyBorder="1"/>
    <x:xf numFmtId="200" fontId="0" fillId="9" borderId="17" xfId="0" applyNumberFormat="1" applyFont="1" applyFill="1" applyBorder="1"/>
    <x:xf numFmtId="200" fontId="0" fillId="9" borderId="20" xfId="0" applyNumberFormat="1" applyFont="1" applyFill="1" applyBorder="1"/>
    <x:xf numFmtId="200" fontId="0" fillId="9" borderId="22" xfId="0" applyNumberFormat="1" applyFont="1" applyFill="1" applyBorder="1"/>
    <x:xf numFmtId="200" fontId="0" fillId="9" borderId="25" xfId="0" applyNumberFormat="1" applyFont="1" applyFill="1" applyBorder="1"/>
    <x:xf numFmtId="201" fontId="0" fillId="9" borderId="12" xfId="0" applyNumberFormat="1" applyFont="1" applyFill="1" applyBorder="1"/>
    <x:xf numFmtId="201" fontId="0" fillId="8" borderId="10" xfId="0" applyNumberFormat="1" applyFont="1" applyFill="1" applyBorder="1"/>
    <x:xf numFmtId="201" fontId="0" fillId="8" borderId="11" xfId="0" applyNumberFormat="1" applyFont="1" applyFill="1" applyBorder="1"/>
    <x:xf numFmtId="201" fontId="0" fillId="9" borderId="14" xfId="0" applyNumberFormat="1" applyFont="1" applyFill="1" applyBorder="1"/>
    <x:xf numFmtId="201" fontId="0" fillId="8" borderId="13" xfId="0" applyNumberFormat="1" applyFont="1" applyFill="1" applyBorder="1"/>
    <x:xf numFmtId="201" fontId="0" fillId="8" borderId="0" xfId="0" applyNumberFormat="1" applyFont="1" applyFill="1" applyBorder="1"/>
    <x:xf numFmtId="201" fontId="0" fillId="9" borderId="17" xfId="0" applyNumberFormat="1" applyFont="1" applyFill="1" applyBorder="1"/>
    <x:xf numFmtId="201" fontId="0" fillId="8" borderId="15" xfId="0" applyNumberFormat="1" applyFont="1" applyFill="1" applyBorder="1"/>
    <x:xf numFmtId="201" fontId="0" fillId="8" borderId="16" xfId="0" applyNumberFormat="1" applyFont="1" applyFill="1" applyBorder="1"/>
    <x:xf numFmtId="201" fontId="0" fillId="0" borderId="0" xfId="0" applyNumberFormat="1" applyFont="1" applyFill="1" applyBorder="1"/>
    <x:xf numFmtId="201" fontId="0" fillId="9" borderId="20" xfId="0" applyNumberFormat="1" applyFont="1" applyFill="1" applyBorder="1"/>
    <x:xf numFmtId="201" fontId="0" fillId="8" borderId="18" xfId="0" applyNumberFormat="1" applyFont="1" applyFill="1" applyBorder="1"/>
    <x:xf numFmtId="201" fontId="0" fillId="8" borderId="19" xfId="0" applyNumberFormat="1" applyFont="1" applyFill="1" applyBorder="1"/>
    <x:xf numFmtId="201" fontId="0" fillId="9" borderId="22" xfId="0" applyNumberFormat="1" applyFont="1" applyFill="1" applyBorder="1"/>
    <x:xf numFmtId="201" fontId="0" fillId="8" borderId="21" xfId="0" applyNumberFormat="1" applyFont="1" applyFill="1" applyBorder="1"/>
    <x:xf numFmtId="201" fontId="0" fillId="8" borderId="1" xfId="0" applyNumberFormat="1" applyFont="1" applyFill="1" applyBorder="1"/>
    <x:xf numFmtId="201" fontId="0" fillId="9" borderId="25" xfId="0" applyNumberFormat="1" applyFont="1" applyFill="1" applyBorder="1"/>
    <x:xf numFmtId="201" fontId="0" fillId="8" borderId="23" xfId="0" applyNumberFormat="1" applyFont="1" applyFill="1" applyBorder="1"/>
    <x:xf numFmtId="201" fontId="0" fillId="8" borderId="24" xfId="0" applyNumberFormat="1" applyFont="1" applyFill="1" applyBorder="1"/>
    <x:xf numFmtId="201" fontId="0" fillId="0" borderId="1" xfId="0" applyNumberFormat="1" applyFont="1" applyFill="1" applyBorder="1"/>
    <x:xf numFmtId="202" fontId="0" fillId="8" borderId="11" xfId="0" applyNumberFormat="1" applyFont="1" applyFill="1" applyBorder="1"/>
    <x:xf numFmtId="202" fontId="0" fillId="8" borderId="0" xfId="0" applyNumberFormat="1" applyFont="1" applyFill="1" applyBorder="1"/>
    <x:xf numFmtId="202" fontId="0" fillId="8" borderId="16" xfId="0" applyNumberFormat="1" applyFont="1" applyFill="1" applyBorder="1"/>
    <x:xf numFmtId="202" fontId="0" fillId="8" borderId="19" xfId="0" applyNumberFormat="1" applyFont="1" applyFill="1" applyBorder="1"/>
    <x:xf numFmtId="202" fontId="0" fillId="8" borderId="1" xfId="0" applyNumberFormat="1" applyFont="1" applyFill="1" applyBorder="1"/>
    <x:xf numFmtId="202" fontId="0" fillId="8" borderId="24" xfId="0" applyNumberFormat="1" applyFont="1" applyFill="1" applyBorder="1"/>
    <x:xf numFmtId="0" fontId="0" fillId="10" borderId="0" xfId="0" applyNumberFormat="1" applyFont="1" applyFill="1" applyBorder="1"/>
    <x:xf numFmtId="201" fontId="0" fillId="10" borderId="0" xfId="0" applyNumberFormat="1" applyFont="1" applyFill="1" applyBorder="1"/>
    <x:xf numFmtId="0" fontId="4" fillId="10" borderId="0" xfId="0" applyNumberFormat="1" applyFont="1" applyFill="1" applyBorder="1"/>
    <x:xf numFmtId="201" fontId="4" fillId="10" borderId="0" xfId="0" applyNumberFormat="1" applyFont="1" applyFill="1" applyBorder="1"/>
    <x:xf numFmtId="0" fontId="4" fillId="10" borderId="32" xfId="0" applyNumberFormat="1" applyFont="1" applyFill="1" applyBorder="1"/>
    <x:xf numFmtId="0" fontId="4" fillId="10" borderId="33" xfId="0" applyNumberFormat="1" applyFont="1" applyFill="1" applyBorder="1"/>
    <x:xf numFmtId="201" fontId="4" fillId="10" borderId="33" xfId="0" applyNumberFormat="1" applyFont="1" applyFill="1" applyBorder="1"/>
    <x:xf numFmtId="0" fontId="4" fillId="10" borderId="34" xfId="0" applyNumberFormat="1" applyFont="1" applyFill="1" applyBorder="1"/>
    <x:xf numFmtId="0" fontId="0" fillId="10" borderId="1" xfId="0" applyNumberFormat="1" applyFont="1" applyFill="1" applyBorder="1"/>
    <x:xf numFmtId="201" fontId="0" fillId="10" borderId="1" xfId="0" applyNumberFormat="1" applyFont="1" applyFill="1" applyBorder="1"/>
    <x:xf numFmtId="0" fontId="4" fillId="10" borderId="1" xfId="0" applyNumberFormat="1" applyFont="1" applyFill="1" applyBorder="1"/>
    <x:xf numFmtId="201" fontId="4" fillId="10" borderId="1" xfId="0" applyNumberFormat="1" applyFont="1" applyFill="1" applyBorder="1"/>
    <x:xf numFmtId="0" fontId="4" fillId="10" borderId="35" xfId="0" applyNumberFormat="1" applyFont="1" applyFill="1" applyBorder="1"/>
    <x:xf numFmtId="0" fontId="4" fillId="10" borderId="36" xfId="0" applyNumberFormat="1" applyFont="1" applyFill="1" applyBorder="1"/>
    <x:xf numFmtId="201" fontId="4" fillId="10" borderId="36" xfId="0" applyNumberFormat="1" applyFont="1" applyFill="1" applyBorder="1"/>
    <x:xf numFmtId="0" fontId="4" fillId="10" borderId="37" xfId="0" applyNumberFormat="1" applyFont="1" applyFill="1" applyBorder="1"/>
    <x:xf numFmtId="0" fontId="0" fillId="11" borderId="0" xfId="0" applyNumberFormat="1" applyFont="1" applyFill="1" applyBorder="1"/>
    <x:xf numFmtId="201" fontId="0" fillId="11" borderId="0" xfId="0" applyNumberFormat="1" applyFont="1" applyFill="1" applyBorder="1"/>
    <x:xf numFmtId="0" fontId="6" fillId="11" borderId="0" xfId="0" applyNumberFormat="1" applyFont="1" applyFill="1" applyBorder="1"/>
    <x:xf numFmtId="201" fontId="6" fillId="11" borderId="0" xfId="0" applyNumberFormat="1" applyFont="1" applyFill="1" applyBorder="1"/>
    <x:xf numFmtId="0" fontId="6" fillId="11" borderId="38" xfId="0" applyNumberFormat="1" applyFont="1" applyFill="1" applyBorder="1"/>
    <x:xf numFmtId="0" fontId="6" fillId="11" borderId="39" xfId="0" applyNumberFormat="1" applyFont="1" applyFill="1" applyBorder="1"/>
    <x:xf numFmtId="201" fontId="6" fillId="11" borderId="39" xfId="0" applyNumberFormat="1" applyFont="1" applyFill="1" applyBorder="1"/>
    <x:xf numFmtId="0" fontId="6" fillId="11" borderId="40" xfId="0" applyNumberFormat="1" applyFont="1" applyFill="1" applyBorder="1"/>
    <x:xf numFmtId="0" fontId="0" fillId="11" borderId="1" xfId="0" applyNumberFormat="1" applyFont="1" applyFill="1" applyBorder="1"/>
    <x:xf numFmtId="201" fontId="0" fillId="11" borderId="1" xfId="0" applyNumberFormat="1" applyFont="1" applyFill="1" applyBorder="1"/>
    <x:xf numFmtId="0" fontId="6" fillId="11" borderId="1" xfId="0" applyNumberFormat="1" applyFont="1" applyFill="1" applyBorder="1"/>
    <x:xf numFmtId="201" fontId="6" fillId="11" borderId="1" xfId="0" applyNumberFormat="1" applyFont="1" applyFill="1" applyBorder="1"/>
    <x:xf numFmtId="0" fontId="6" fillId="11" borderId="41" xfId="0" applyNumberFormat="1" applyFont="1" applyFill="1" applyBorder="1"/>
    <x:xf numFmtId="0" fontId="6" fillId="11" borderId="42" xfId="0" applyNumberFormat="1" applyFont="1" applyFill="1" applyBorder="1"/>
    <x:xf numFmtId="201" fontId="6" fillId="11" borderId="42" xfId="0" applyNumberFormat="1" applyFont="1" applyFill="1" applyBorder="1"/>
    <x:xf numFmtId="0" fontId="6" fillId="11" borderId="43" xfId="0" applyNumberFormat="1" applyFont="1" applyFill="1" applyBorder="1"/>
    <x:xf numFmtId="201" fontId="0" fillId="8" borderId="12" xfId="0" applyNumberFormat="1" applyFont="1" applyFill="1" applyBorder="1"/>
    <x:xf numFmtId="201" fontId="0" fillId="8" borderId="14" xfId="0" applyNumberFormat="1" applyFont="1" applyFill="1" applyBorder="1"/>
    <x:xf numFmtId="201" fontId="0" fillId="8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22b14e5c741dc" /><Relationship Type="http://schemas.openxmlformats.org/officeDocument/2006/relationships/theme" Target="/xl/theme/theme1.xml" Id="R803dc8f24d354f93" /><Relationship Type="http://schemas.openxmlformats.org/officeDocument/2006/relationships/sharedStrings" Target="/xl/sharedStrings.xml" Id="R8535c78310244f36" /><Relationship Type="http://schemas.openxmlformats.org/officeDocument/2006/relationships/worksheet" Target="/xl/worksheets/sheet1.xml" Id="R13ca5586f6ff4379" /><Relationship Type="http://schemas.openxmlformats.org/officeDocument/2006/relationships/worksheet" Target="/xl/worksheets/sheet2.xml" Id="R182ea3e4187043ad" /><Relationship Type="http://schemas.openxmlformats.org/officeDocument/2006/relationships/worksheet" Target="/xl/worksheets/sheet3.xml" Id="Rc6806a87f3274f4f" /><Relationship Type="http://schemas.openxmlformats.org/officeDocument/2006/relationships/worksheet" Target="/xl/worksheets/sheet4.xml" Id="Rd25cc930869641be" /><Relationship Type="http://schemas.openxmlformats.org/officeDocument/2006/relationships/worksheet" Target="/xl/worksheets/sheet5.xml" Id="Rdfb4152b7b8642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미수금·채권 연령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매출채권과 입금내역을 연결해 잔액·연체일수·연령구간을 계산하는 합성 실무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SUMIF 기준행 이탈, 잔액 상수 덮어쓰기, 연체일수 누락, 연령분류 함수 패턴 이탈과 정상 소계·충당금 조정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설정</x:v>
      </x:c>
      <x:c r="B13" s="60" t="str">
        <x:v>기준일</x:v>
      </x:c>
    </x:row>
    <x:row r="14">
      <x:c r="A14" s="57" t="str">
        <x:v>입금내역</x:v>
      </x:c>
      <x:c r="B14" s="60" t="str">
        <x:v>수납 입력</x:v>
      </x:c>
    </x:row>
    <x:row r="15">
      <x:c r="A15" s="57" t="str">
        <x:v>매출채권</x:v>
      </x:c>
      <x:c r="B15" s="60" t="str">
        <x:v>청구별 입금·잔액·연령 계산</x:v>
      </x:c>
    </x:row>
    <x:row r="16">
      <x:c r="A16" s="57" t="str">
        <x:v>연령분석</x:v>
      </x:c>
      <x:c r="B16" s="60" t="str">
        <x:v>거래처별 채권 구간 집계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</x:cols>
  <x:sheetData>
    <x:row r="1" ht="30" customHeight="1">
      <x:c r="A1" s="5" t="str">
        <x:v>채권 관리 설정</x:v>
      </x:c>
      <x:c r="B1" s="5"/>
      <x:c r="C1" s="5"/>
      <x:c r="D1" s="5"/>
    </x:row>
    <x:row r="2" ht="24" customHeight="1">
      <x:c r="A2" s="12" t="str">
        <x:v>연체일수 계산에 사용하는 기준일</x:v>
      </x:c>
      <x:c r="B2" s="12"/>
      <x:c r="C2" s="12"/>
      <x:c r="D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</x:row>
    <x:row r="5" ht="28" customHeight="1">
      <x:c r="A5" s="30" t="str">
        <x:v>항목</x:v>
      </x:c>
      <x:c r="B5" s="31" t="str">
        <x:v>값</x:v>
      </x:c>
    </x:row>
    <x:row r="6">
      <x:c r="A6" s="63" t="str">
        <x:v>기준일</x:v>
      </x:c>
      <x:c r="B6" s="66" t="n">
        <x:v>46265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15" hidden="0" customWidth="1"/>
    <x:col min="5" max="5" width="18" hidden="0" customWidth="1"/>
  </x:cols>
  <x:sheetData>
    <x:row r="1" ht="30" customHeight="1">
      <x:c r="A1" s="5" t="str">
        <x:v>입금내역</x:v>
      </x:c>
      <x:c r="B1" s="5"/>
      <x:c r="C1" s="5"/>
      <x:c r="D1" s="5"/>
      <x:c r="E1" s="5"/>
    </x:row>
    <x:row r="2" ht="24" customHeight="1">
      <x:c r="A2" s="12" t="str">
        <x:v>합성 수납 데이터</x:v>
      </x:c>
      <x:c r="B2" s="12"/>
      <x:c r="C2" s="12"/>
      <x:c r="D2" s="12"/>
      <x:c r="E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입금일</x:v>
      </x:c>
      <x:c r="B5" s="71" t="str">
        <x:v>청구번호</x:v>
      </x:c>
      <x:c r="C5" s="71" t="str">
        <x:v>거래처</x:v>
      </x:c>
      <x:c r="D5" s="71" t="str">
        <x:v>입금액</x:v>
      </x:c>
      <x:c r="E5" s="31" t="str">
        <x:v>비고</x:v>
      </x:c>
    </x:row>
    <x:row r="6">
      <x:c r="A6" s="92" t="n">
        <x:v>46054</x:v>
      </x:c>
      <x:c r="B6" s="77" t="str">
        <x:v>INV-0001</x:v>
      </x:c>
      <x:c r="C6" s="77" t="str">
        <x:v>거래처02</x:v>
      </x:c>
      <x:c r="D6" s="98" t="n">
        <x:v>140000</x:v>
      </x:c>
      <x:c r="E6" s="78" t="str">
        <x:v>분할입금</x:v>
      </x:c>
    </x:row>
    <x:row r="7">
      <x:c r="A7" s="93" t="n">
        <x:v>46057</x:v>
      </x:c>
      <x:c r="B7" s="62" t="str">
        <x:v>INV-0002</x:v>
      </x:c>
      <x:c r="C7" s="62" t="str">
        <x:v>거래처03</x:v>
      </x:c>
      <x:c r="D7" s="99" t="n">
        <x:v>400000</x:v>
      </x:c>
      <x:c r="E7" s="80" t="str"/>
    </x:row>
    <x:row r="8">
      <x:c r="A8" s="93" t="n">
        <x:v>46060</x:v>
      </x:c>
      <x:c r="B8" s="62" t="str">
        <x:v>INV-0003</x:v>
      </x:c>
      <x:c r="C8" s="62" t="str">
        <x:v>거래처04</x:v>
      </x:c>
      <x:c r="D8" s="99" t="n">
        <x:v>340000</x:v>
      </x:c>
      <x:c r="E8" s="80" t="str"/>
    </x:row>
    <x:row r="9">
      <x:c r="A9" s="93" t="n">
        <x:v>46063</x:v>
      </x:c>
      <x:c r="B9" s="62" t="str">
        <x:v>INV-0004</x:v>
      </x:c>
      <x:c r="C9" s="62" t="str">
        <x:v>거래처05</x:v>
      </x:c>
      <x:c r="D9" s="99" t="n">
        <x:v>210000</x:v>
      </x:c>
      <x:c r="E9" s="80" t="str"/>
    </x:row>
    <x:row r="10">
      <x:c r="A10" s="93" t="n">
        <x:v>46066</x:v>
      </x:c>
      <x:c r="B10" s="62" t="str">
        <x:v>INV-0005</x:v>
      </x:c>
      <x:c r="C10" s="62" t="str">
        <x:v>거래처06</x:v>
      </x:c>
      <x:c r="D10" s="99" t="n">
        <x:v>430000</x:v>
      </x:c>
      <x:c r="E10" s="80" t="str"/>
    </x:row>
    <x:row r="11">
      <x:c r="A11" s="93" t="n">
        <x:v>46069</x:v>
      </x:c>
      <x:c r="B11" s="62" t="str">
        <x:v>INV-0006</x:v>
      </x:c>
      <x:c r="C11" s="62" t="str">
        <x:v>거래처07</x:v>
      </x:c>
      <x:c r="D11" s="99" t="n">
        <x:v>760000</x:v>
      </x:c>
      <x:c r="E11" s="80" t="str">
        <x:v>분할입금</x:v>
      </x:c>
    </x:row>
    <x:row r="12">
      <x:c r="A12" s="93" t="n">
        <x:v>46072</x:v>
      </x:c>
      <x:c r="B12" s="62" t="str">
        <x:v>INV-0007</x:v>
      </x:c>
      <x:c r="C12" s="62" t="str">
        <x:v>거래처08</x:v>
      </x:c>
      <x:c r="D12" s="99" t="n">
        <x:v>600000</x:v>
      </x:c>
      <x:c r="E12" s="80" t="str"/>
    </x:row>
    <x:row r="13">
      <x:c r="A13" s="93" t="n">
        <x:v>46075</x:v>
      </x:c>
      <x:c r="B13" s="62" t="str">
        <x:v>INV-0008</x:v>
      </x:c>
      <x:c r="C13" s="62" t="str">
        <x:v>거래처09</x:v>
      </x:c>
      <x:c r="D13" s="99" t="n">
        <x:v>300000</x:v>
      </x:c>
      <x:c r="E13" s="80" t="str"/>
    </x:row>
    <x:row r="14">
      <x:c r="A14" s="93" t="n">
        <x:v>46078</x:v>
      </x:c>
      <x:c r="B14" s="62" t="str">
        <x:v>INV-0009</x:v>
      </x:c>
      <x:c r="C14" s="62" t="str">
        <x:v>거래처10</x:v>
      </x:c>
      <x:c r="D14" s="99" t="n">
        <x:v>620000</x:v>
      </x:c>
      <x:c r="E14" s="80" t="str"/>
    </x:row>
    <x:row r="15">
      <x:c r="A15" s="93" t="n">
        <x:v>46081</x:v>
      </x:c>
      <x:c r="B15" s="62" t="str">
        <x:v>INV-0010</x:v>
      </x:c>
      <x:c r="C15" s="62" t="str">
        <x:v>거래처11</x:v>
      </x:c>
      <x:c r="D15" s="99" t="n">
        <x:v>700000</x:v>
      </x:c>
      <x:c r="E15" s="80" t="str"/>
    </x:row>
    <x:row r="16">
      <x:c r="A16" s="93" t="n">
        <x:v>46084</x:v>
      </x:c>
      <x:c r="B16" s="62" t="str">
        <x:v>INV-0011</x:v>
      </x:c>
      <x:c r="C16" s="62" t="str">
        <x:v>거래처12</x:v>
      </x:c>
      <x:c r="D16" s="99" t="n">
        <x:v>210000</x:v>
      </x:c>
      <x:c r="E16" s="80" t="str">
        <x:v>분할입금</x:v>
      </x:c>
    </x:row>
    <x:row r="17">
      <x:c r="A17" s="93" t="n">
        <x:v>46087</x:v>
      </x:c>
      <x:c r="B17" s="62" t="str">
        <x:v>INV-0012</x:v>
      </x:c>
      <x:c r="C17" s="62" t="str">
        <x:v>거래처01</x:v>
      </x:c>
      <x:c r="D17" s="99" t="n">
        <x:v>420000</x:v>
      </x:c>
      <x:c r="E17" s="80" t="str"/>
    </x:row>
    <x:row r="18">
      <x:c r="A18" s="93" t="n">
        <x:v>46090</x:v>
      </x:c>
      <x:c r="B18" s="62" t="str">
        <x:v>INV-0013</x:v>
      </x:c>
      <x:c r="C18" s="62" t="str">
        <x:v>거래처02</x:v>
      </x:c>
      <x:c r="D18" s="99" t="n">
        <x:v>770000</x:v>
      </x:c>
      <x:c r="E18" s="80" t="str"/>
    </x:row>
    <x:row r="19">
      <x:c r="A19" s="93" t="n">
        <x:v>46093</x:v>
      </x:c>
      <x:c r="B19" s="62" t="str">
        <x:v>INV-0014</x:v>
      </x:c>
      <x:c r="C19" s="62" t="str">
        <x:v>거래처03</x:v>
      </x:c>
      <x:c r="D19" s="99" t="n">
        <x:v>790000</x:v>
      </x:c>
      <x:c r="E19" s="80" t="str"/>
    </x:row>
    <x:row r="20">
      <x:c r="A20" s="93" t="n">
        <x:v>46096</x:v>
      </x:c>
      <x:c r="B20" s="62" t="str">
        <x:v>INV-0015</x:v>
      </x:c>
      <x:c r="C20" s="62" t="str">
        <x:v>거래처04</x:v>
      </x:c>
      <x:c r="D20" s="99" t="n">
        <x:v>140000</x:v>
      </x:c>
      <x:c r="E20" s="80" t="str"/>
    </x:row>
    <x:row r="21">
      <x:c r="A21" s="93" t="n">
        <x:v>46099</x:v>
      </x:c>
      <x:c r="B21" s="62" t="str">
        <x:v>INV-0016</x:v>
      </x:c>
      <x:c r="C21" s="62" t="str">
        <x:v>거래처05</x:v>
      </x:c>
      <x:c r="D21" s="99" t="n">
        <x:v>250000</x:v>
      </x:c>
      <x:c r="E21" s="80" t="str">
        <x:v>분할입금</x:v>
      </x:c>
    </x:row>
    <x:row r="22">
      <x:c r="A22" s="93" t="n">
        <x:v>46102</x:v>
      </x:c>
      <x:c r="B22" s="62" t="str">
        <x:v>INV-0017</x:v>
      </x:c>
      <x:c r="C22" s="62" t="str">
        <x:v>거래처06</x:v>
      </x:c>
      <x:c r="D22" s="99" t="n">
        <x:v>600000</x:v>
      </x:c>
      <x:c r="E22" s="80" t="str"/>
    </x:row>
    <x:row r="23">
      <x:c r="A23" s="93" t="n">
        <x:v>46105</x:v>
      </x:c>
      <x:c r="B23" s="62" t="str">
        <x:v>INV-0018</x:v>
      </x:c>
      <x:c r="C23" s="62" t="str">
        <x:v>거래처07</x:v>
      </x:c>
      <x:c r="D23" s="99" t="n">
        <x:v>270000</x:v>
      </x:c>
      <x:c r="E23" s="80" t="str"/>
    </x:row>
    <x:row r="24">
      <x:c r="A24" s="93" t="n">
        <x:v>46108</x:v>
      </x:c>
      <x:c r="B24" s="62" t="str">
        <x:v>INV-0019</x:v>
      </x:c>
      <x:c r="C24" s="62" t="str">
        <x:v>거래처08</x:v>
      </x:c>
      <x:c r="D24" s="99" t="n">
        <x:v>730000</x:v>
      </x:c>
      <x:c r="E24" s="80" t="str"/>
    </x:row>
    <x:row r="25">
      <x:c r="A25" s="93" t="n">
        <x:v>46111</x:v>
      </x:c>
      <x:c r="B25" s="62" t="str">
        <x:v>INV-0020</x:v>
      </x:c>
      <x:c r="C25" s="62" t="str">
        <x:v>거래처09</x:v>
      </x:c>
      <x:c r="D25" s="99" t="n">
        <x:v>470000</x:v>
      </x:c>
      <x:c r="E25" s="80" t="str"/>
    </x:row>
    <x:row r="26">
      <x:c r="A26" s="93" t="n">
        <x:v>46114</x:v>
      </x:c>
      <x:c r="B26" s="62" t="str">
        <x:v>INV-0021</x:v>
      </x:c>
      <x:c r="C26" s="62" t="str">
        <x:v>거래처10</x:v>
      </x:c>
      <x:c r="D26" s="99" t="n">
        <x:v>100000</x:v>
      </x:c>
      <x:c r="E26" s="80" t="str">
        <x:v>분할입금</x:v>
      </x:c>
    </x:row>
    <x:row r="27">
      <x:c r="A27" s="93" t="n">
        <x:v>46117</x:v>
      </x:c>
      <x:c r="B27" s="62" t="str">
        <x:v>INV-0022</x:v>
      </x:c>
      <x:c r="C27" s="62" t="str">
        <x:v>거래처11</x:v>
      </x:c>
      <x:c r="D27" s="99" t="n">
        <x:v>620000</x:v>
      </x:c>
      <x:c r="E27" s="80" t="str"/>
    </x:row>
    <x:row r="28">
      <x:c r="A28" s="93" t="n">
        <x:v>46120</x:v>
      </x:c>
      <x:c r="B28" s="62" t="str">
        <x:v>INV-0023</x:v>
      </x:c>
      <x:c r="C28" s="62" t="str">
        <x:v>거래처12</x:v>
      </x:c>
      <x:c r="D28" s="99" t="n">
        <x:v>450000</x:v>
      </x:c>
      <x:c r="E28" s="80" t="str"/>
    </x:row>
    <x:row r="29">
      <x:c r="A29" s="93" t="n">
        <x:v>46123</x:v>
      </x:c>
      <x:c r="B29" s="62" t="str">
        <x:v>INV-0024</x:v>
      </x:c>
      <x:c r="C29" s="62" t="str">
        <x:v>거래처01</x:v>
      </x:c>
      <x:c r="D29" s="99" t="n">
        <x:v>140000</x:v>
      </x:c>
      <x:c r="E29" s="80" t="str"/>
    </x:row>
    <x:row r="30">
      <x:c r="A30" s="93" t="n">
        <x:v>46126</x:v>
      </x:c>
      <x:c r="B30" s="62" t="str">
        <x:v>INV-0025</x:v>
      </x:c>
      <x:c r="C30" s="62" t="str">
        <x:v>거래처02</x:v>
      </x:c>
      <x:c r="D30" s="99" t="n">
        <x:v>390000</x:v>
      </x:c>
      <x:c r="E30" s="80" t="str"/>
    </x:row>
    <x:row r="31">
      <x:c r="A31" s="93" t="n">
        <x:v>46129</x:v>
      </x:c>
      <x:c r="B31" s="62" t="str">
        <x:v>INV-0026</x:v>
      </x:c>
      <x:c r="C31" s="62" t="str">
        <x:v>거래처03</x:v>
      </x:c>
      <x:c r="D31" s="99" t="n">
        <x:v>370000</x:v>
      </x:c>
      <x:c r="E31" s="80" t="str">
        <x:v>분할입금</x:v>
      </x:c>
    </x:row>
    <x:row r="32">
      <x:c r="A32" s="93" t="n">
        <x:v>46132</x:v>
      </x:c>
      <x:c r="B32" s="62" t="str">
        <x:v>INV-0027</x:v>
      </x:c>
      <x:c r="C32" s="62" t="str">
        <x:v>거래처04</x:v>
      </x:c>
      <x:c r="D32" s="99" t="n">
        <x:v>530000</x:v>
      </x:c>
      <x:c r="E32" s="80" t="str"/>
    </x:row>
    <x:row r="33">
      <x:c r="A33" s="93" t="n">
        <x:v>46135</x:v>
      </x:c>
      <x:c r="B33" s="62" t="str">
        <x:v>INV-0028</x:v>
      </x:c>
      <x:c r="C33" s="62" t="str">
        <x:v>거래처05</x:v>
      </x:c>
      <x:c r="D33" s="99" t="n">
        <x:v>290000</x:v>
      </x:c>
      <x:c r="E33" s="80" t="str"/>
    </x:row>
    <x:row r="34">
      <x:c r="A34" s="93" t="n">
        <x:v>46138</x:v>
      </x:c>
      <x:c r="B34" s="62" t="str">
        <x:v>INV-0029</x:v>
      </x:c>
      <x:c r="C34" s="62" t="str">
        <x:v>거래처06</x:v>
      </x:c>
      <x:c r="D34" s="99" t="n">
        <x:v>300000</x:v>
      </x:c>
      <x:c r="E34" s="80" t="str"/>
    </x:row>
    <x:row r="35">
      <x:c r="A35" s="93" t="n">
        <x:v>46141</x:v>
      </x:c>
      <x:c r="B35" s="62" t="str">
        <x:v>INV-0030</x:v>
      </x:c>
      <x:c r="C35" s="62" t="str">
        <x:v>거래처07</x:v>
      </x:c>
      <x:c r="D35" s="99" t="n">
        <x:v>360000</x:v>
      </x:c>
      <x:c r="E35" s="80" t="str"/>
    </x:row>
    <x:row r="36">
      <x:c r="A36" s="93" t="n">
        <x:v>46144</x:v>
      </x:c>
      <x:c r="B36" s="62" t="str">
        <x:v>INV-0031</x:v>
      </x:c>
      <x:c r="C36" s="62" t="str">
        <x:v>거래처08</x:v>
      </x:c>
      <x:c r="D36" s="99" t="n">
        <x:v>470000</x:v>
      </x:c>
      <x:c r="E36" s="80" t="str">
        <x:v>분할입금</x:v>
      </x:c>
    </x:row>
    <x:row r="37">
      <x:c r="A37" s="93" t="n">
        <x:v>46147</x:v>
      </x:c>
      <x:c r="B37" s="62" t="str">
        <x:v>INV-0032</x:v>
      </x:c>
      <x:c r="C37" s="62" t="str">
        <x:v>거래처09</x:v>
      </x:c>
      <x:c r="D37" s="99" t="n">
        <x:v>230000</x:v>
      </x:c>
      <x:c r="E37" s="80" t="str"/>
    </x:row>
    <x:row r="38">
      <x:c r="A38" s="93" t="n">
        <x:v>46150</x:v>
      </x:c>
      <x:c r="B38" s="62" t="str">
        <x:v>INV-0033</x:v>
      </x:c>
      <x:c r="C38" s="62" t="str">
        <x:v>거래처10</x:v>
      </x:c>
      <x:c r="D38" s="99" t="n">
        <x:v>410000</x:v>
      </x:c>
      <x:c r="E38" s="80" t="str"/>
    </x:row>
    <x:row r="39">
      <x:c r="A39" s="93" t="n">
        <x:v>46153</x:v>
      </x:c>
      <x:c r="B39" s="62" t="str">
        <x:v>INV-0034</x:v>
      </x:c>
      <x:c r="C39" s="62" t="str">
        <x:v>거래처11</x:v>
      </x:c>
      <x:c r="D39" s="99" t="n">
        <x:v>770000</x:v>
      </x:c>
      <x:c r="E39" s="80" t="str"/>
    </x:row>
    <x:row r="40">
      <x:c r="A40" s="93" t="n">
        <x:v>46156</x:v>
      </x:c>
      <x:c r="B40" s="62" t="str">
        <x:v>INV-0035</x:v>
      </x:c>
      <x:c r="C40" s="62" t="str">
        <x:v>거래처12</x:v>
      </x:c>
      <x:c r="D40" s="99" t="n">
        <x:v>420000</x:v>
      </x:c>
      <x:c r="E40" s="80" t="str"/>
    </x:row>
    <x:row r="41">
      <x:c r="A41" s="93" t="n">
        <x:v>46159</x:v>
      </x:c>
      <x:c r="B41" s="62" t="str">
        <x:v>INV-0036</x:v>
      </x:c>
      <x:c r="C41" s="62" t="str">
        <x:v>거래처01</x:v>
      </x:c>
      <x:c r="D41" s="99" t="n">
        <x:v>770000</x:v>
      </x:c>
      <x:c r="E41" s="80" t="str">
        <x:v>분할입금</x:v>
      </x:c>
    </x:row>
    <x:row r="42">
      <x:c r="A42" s="93" t="n">
        <x:v>46162</x:v>
      </x:c>
      <x:c r="B42" s="62" t="str">
        <x:v>INV-0037</x:v>
      </x:c>
      <x:c r="C42" s="62" t="str">
        <x:v>거래처02</x:v>
      </x:c>
      <x:c r="D42" s="99" t="n">
        <x:v>410000</x:v>
      </x:c>
      <x:c r="E42" s="80" t="str"/>
    </x:row>
    <x:row r="43">
      <x:c r="A43" s="93" t="n">
        <x:v>46165</x:v>
      </x:c>
      <x:c r="B43" s="62" t="str">
        <x:v>INV-0038</x:v>
      </x:c>
      <x:c r="C43" s="62" t="str">
        <x:v>거래처03</x:v>
      </x:c>
      <x:c r="D43" s="99" t="n">
        <x:v>120000</x:v>
      </x:c>
      <x:c r="E43" s="80" t="str"/>
    </x:row>
    <x:row r="44">
      <x:c r="A44" s="93" t="n">
        <x:v>46168</x:v>
      </x:c>
      <x:c r="B44" s="62" t="str">
        <x:v>INV-0039</x:v>
      </x:c>
      <x:c r="C44" s="62" t="str">
        <x:v>거래처04</x:v>
      </x:c>
      <x:c r="D44" s="99" t="n">
        <x:v>440000</x:v>
      </x:c>
      <x:c r="E44" s="80" t="str"/>
    </x:row>
    <x:row r="45">
      <x:c r="A45" s="93" t="n">
        <x:v>46171</x:v>
      </x:c>
      <x:c r="B45" s="62" t="str">
        <x:v>INV-0040</x:v>
      </x:c>
      <x:c r="C45" s="62" t="str">
        <x:v>거래처05</x:v>
      </x:c>
      <x:c r="D45" s="99" t="n">
        <x:v>450000</x:v>
      </x:c>
      <x:c r="E45" s="80" t="str"/>
    </x:row>
    <x:row r="46">
      <x:c r="A46" s="93" t="n">
        <x:v>46174</x:v>
      </x:c>
      <x:c r="B46" s="62" t="str">
        <x:v>INV-0041</x:v>
      </x:c>
      <x:c r="C46" s="62" t="str">
        <x:v>거래처06</x:v>
      </x:c>
      <x:c r="D46" s="99" t="n">
        <x:v>260000</x:v>
      </x:c>
      <x:c r="E46" s="80" t="str">
        <x:v>분할입금</x:v>
      </x:c>
    </x:row>
    <x:row r="47">
      <x:c r="A47" s="93" t="n">
        <x:v>46177</x:v>
      </x:c>
      <x:c r="B47" s="62" t="str">
        <x:v>INV-0042</x:v>
      </x:c>
      <x:c r="C47" s="62" t="str">
        <x:v>거래처07</x:v>
      </x:c>
      <x:c r="D47" s="99" t="n">
        <x:v>550000</x:v>
      </x:c>
      <x:c r="E47" s="80" t="str"/>
    </x:row>
    <x:row r="48">
      <x:c r="A48" s="93" t="n">
        <x:v>46180</x:v>
      </x:c>
      <x:c r="B48" s="62" t="str">
        <x:v>INV-0043</x:v>
      </x:c>
      <x:c r="C48" s="62" t="str">
        <x:v>거래처08</x:v>
      </x:c>
      <x:c r="D48" s="99" t="n">
        <x:v>190000</x:v>
      </x:c>
      <x:c r="E48" s="80" t="str"/>
    </x:row>
    <x:row r="49">
      <x:c r="A49" s="93" t="n">
        <x:v>46183</x:v>
      </x:c>
      <x:c r="B49" s="62" t="str">
        <x:v>INV-0044</x:v>
      </x:c>
      <x:c r="C49" s="62" t="str">
        <x:v>거래처09</x:v>
      </x:c>
      <x:c r="D49" s="99" t="n">
        <x:v>730000</x:v>
      </x:c>
      <x:c r="E49" s="80" t="str"/>
    </x:row>
    <x:row r="50">
      <x:c r="A50" s="93" t="n">
        <x:v>46186</x:v>
      </x:c>
      <x:c r="B50" s="62" t="str">
        <x:v>INV-0045</x:v>
      </x:c>
      <x:c r="C50" s="62" t="str">
        <x:v>거래처10</x:v>
      </x:c>
      <x:c r="D50" s="99" t="n">
        <x:v>310000</x:v>
      </x:c>
      <x:c r="E50" s="80" t="str"/>
    </x:row>
    <x:row r="51">
      <x:c r="A51" s="93" t="n">
        <x:v>46189</x:v>
      </x:c>
      <x:c r="B51" s="62" t="str">
        <x:v>INV-0046</x:v>
      </x:c>
      <x:c r="C51" s="62" t="str">
        <x:v>거래처11</x:v>
      </x:c>
      <x:c r="D51" s="99" t="n">
        <x:v>440000</x:v>
      </x:c>
      <x:c r="E51" s="80" t="str">
        <x:v>분할입금</x:v>
      </x:c>
    </x:row>
    <x:row r="52">
      <x:c r="A52" s="93" t="n">
        <x:v>46192</x:v>
      </x:c>
      <x:c r="B52" s="62" t="str">
        <x:v>INV-0047</x:v>
      </x:c>
      <x:c r="C52" s="62" t="str">
        <x:v>거래처12</x:v>
      </x:c>
      <x:c r="D52" s="99" t="n">
        <x:v>800000</x:v>
      </x:c>
      <x:c r="E52" s="80" t="str"/>
    </x:row>
    <x:row r="53">
      <x:c r="A53" s="93" t="n">
        <x:v>46195</x:v>
      </x:c>
      <x:c r="B53" s="62" t="str">
        <x:v>INV-0048</x:v>
      </x:c>
      <x:c r="C53" s="62" t="str">
        <x:v>거래처01</x:v>
      </x:c>
      <x:c r="D53" s="99" t="n">
        <x:v>270000</x:v>
      </x:c>
      <x:c r="E53" s="80" t="str"/>
    </x:row>
    <x:row r="54">
      <x:c r="A54" s="93" t="n">
        <x:v>46198</x:v>
      </x:c>
      <x:c r="B54" s="62" t="str">
        <x:v>INV-0049</x:v>
      </x:c>
      <x:c r="C54" s="62" t="str">
        <x:v>거래처02</x:v>
      </x:c>
      <x:c r="D54" s="99" t="n">
        <x:v>250000</x:v>
      </x:c>
      <x:c r="E54" s="80" t="str"/>
    </x:row>
    <x:row r="55">
      <x:c r="A55" s="93" t="n">
        <x:v>46201</x:v>
      </x:c>
      <x:c r="B55" s="62" t="str">
        <x:v>INV-0050</x:v>
      </x:c>
      <x:c r="C55" s="62" t="str">
        <x:v>거래처03</x:v>
      </x:c>
      <x:c r="D55" s="99" t="n">
        <x:v>320000</x:v>
      </x:c>
      <x:c r="E55" s="80" t="str"/>
    </x:row>
    <x:row r="56">
      <x:c r="A56" s="93" t="n">
        <x:v>46204</x:v>
      </x:c>
      <x:c r="B56" s="62" t="str">
        <x:v>INV-0001</x:v>
      </x:c>
      <x:c r="C56" s="62" t="str">
        <x:v>거래처02</x:v>
      </x:c>
      <x:c r="D56" s="99" t="n">
        <x:v>720000</x:v>
      </x:c>
      <x:c r="E56" s="80" t="str">
        <x:v>분할입금</x:v>
      </x:c>
    </x:row>
    <x:row r="57">
      <x:c r="A57" s="93" t="n">
        <x:v>46207</x:v>
      </x:c>
      <x:c r="B57" s="62" t="str">
        <x:v>INV-0002</x:v>
      </x:c>
      <x:c r="C57" s="62" t="str">
        <x:v>거래처03</x:v>
      </x:c>
      <x:c r="D57" s="99" t="n">
        <x:v>210000</x:v>
      </x:c>
      <x:c r="E57" s="80" t="str"/>
    </x:row>
    <x:row r="58">
      <x:c r="A58" s="93" t="n">
        <x:v>46210</x:v>
      </x:c>
      <x:c r="B58" s="62" t="str">
        <x:v>INV-0003</x:v>
      </x:c>
      <x:c r="C58" s="62" t="str">
        <x:v>거래처04</x:v>
      </x:c>
      <x:c r="D58" s="99" t="n">
        <x:v>330000</x:v>
      </x:c>
      <x:c r="E58" s="80" t="str"/>
    </x:row>
    <x:row r="59">
      <x:c r="A59" s="93" t="n">
        <x:v>46213</x:v>
      </x:c>
      <x:c r="B59" s="62" t="str">
        <x:v>INV-0004</x:v>
      </x:c>
      <x:c r="C59" s="62" t="str">
        <x:v>거래처05</x:v>
      </x:c>
      <x:c r="D59" s="99" t="n">
        <x:v>580000</x:v>
      </x:c>
      <x:c r="E59" s="80" t="str"/>
    </x:row>
    <x:row r="60">
      <x:c r="A60" s="93" t="n">
        <x:v>46216</x:v>
      </x:c>
      <x:c r="B60" s="62" t="str">
        <x:v>INV-0005</x:v>
      </x:c>
      <x:c r="C60" s="62" t="str">
        <x:v>거래처06</x:v>
      </x:c>
      <x:c r="D60" s="99" t="n">
        <x:v>140000</x:v>
      </x:c>
      <x:c r="E60" s="80" t="str"/>
    </x:row>
    <x:row r="61">
      <x:c r="A61" s="93" t="n">
        <x:v>46219</x:v>
      </x:c>
      <x:c r="B61" s="62" t="str">
        <x:v>INV-0006</x:v>
      </x:c>
      <x:c r="C61" s="62" t="str">
        <x:v>거래처07</x:v>
      </x:c>
      <x:c r="D61" s="99" t="n">
        <x:v>510000</x:v>
      </x:c>
      <x:c r="E61" s="80" t="str">
        <x:v>분할입금</x:v>
      </x:c>
    </x:row>
    <x:row r="62">
      <x:c r="A62" s="93" t="n">
        <x:v>46222</x:v>
      </x:c>
      <x:c r="B62" s="62" t="str">
        <x:v>INV-0007</x:v>
      </x:c>
      <x:c r="C62" s="62" t="str">
        <x:v>거래처08</x:v>
      </x:c>
      <x:c r="D62" s="99" t="n">
        <x:v>400000</x:v>
      </x:c>
      <x:c r="E62" s="80" t="str"/>
    </x:row>
    <x:row r="63">
      <x:c r="A63" s="93" t="n">
        <x:v>46225</x:v>
      </x:c>
      <x:c r="B63" s="62" t="str">
        <x:v>INV-0008</x:v>
      </x:c>
      <x:c r="C63" s="62" t="str">
        <x:v>거래처09</x:v>
      </x:c>
      <x:c r="D63" s="99" t="n">
        <x:v>310000</x:v>
      </x:c>
      <x:c r="E63" s="80" t="str"/>
    </x:row>
    <x:row r="64">
      <x:c r="A64" s="93" t="n">
        <x:v>46228</x:v>
      </x:c>
      <x:c r="B64" s="62" t="str">
        <x:v>INV-0009</x:v>
      </x:c>
      <x:c r="C64" s="62" t="str">
        <x:v>거래처10</x:v>
      </x:c>
      <x:c r="D64" s="99" t="n">
        <x:v>190000</x:v>
      </x:c>
      <x:c r="E64" s="80" t="str"/>
    </x:row>
    <x:row r="65">
      <x:c r="A65" s="93" t="n">
        <x:v>46231</x:v>
      </x:c>
      <x:c r="B65" s="62" t="str">
        <x:v>INV-0010</x:v>
      </x:c>
      <x:c r="C65" s="62" t="str">
        <x:v>거래처11</x:v>
      </x:c>
      <x:c r="D65" s="99" t="n">
        <x:v>650000</x:v>
      </x:c>
      <x:c r="E65" s="80" t="str"/>
    </x:row>
    <x:row r="66">
      <x:c r="A66" s="93" t="n">
        <x:v>46234</x:v>
      </x:c>
      <x:c r="B66" s="62" t="str">
        <x:v>INV-0011</x:v>
      </x:c>
      <x:c r="C66" s="62" t="str">
        <x:v>거래처12</x:v>
      </x:c>
      <x:c r="D66" s="99" t="n">
        <x:v>100000</x:v>
      </x:c>
      <x:c r="E66" s="80" t="str">
        <x:v>분할입금</x:v>
      </x:c>
    </x:row>
    <x:row r="67">
      <x:c r="A67" s="93" t="n">
        <x:v>46237</x:v>
      </x:c>
      <x:c r="B67" s="62" t="str">
        <x:v>INV-0012</x:v>
      </x:c>
      <x:c r="C67" s="62" t="str">
        <x:v>거래처01</x:v>
      </x:c>
      <x:c r="D67" s="99" t="n">
        <x:v>230000</x:v>
      </x:c>
      <x:c r="E67" s="80" t="str"/>
    </x:row>
    <x:row r="68">
      <x:c r="A68" s="93" t="n">
        <x:v>46240</x:v>
      </x:c>
      <x:c r="B68" s="62" t="str">
        <x:v>INV-0013</x:v>
      </x:c>
      <x:c r="C68" s="62" t="str">
        <x:v>거래처02</x:v>
      </x:c>
      <x:c r="D68" s="99" t="n">
        <x:v>510000</x:v>
      </x:c>
      <x:c r="E68" s="80" t="str"/>
    </x:row>
    <x:row r="69">
      <x:c r="A69" s="93" t="n">
        <x:v>46243</x:v>
      </x:c>
      <x:c r="B69" s="62" t="str">
        <x:v>INV-0014</x:v>
      </x:c>
      <x:c r="C69" s="62" t="str">
        <x:v>거래처03</x:v>
      </x:c>
      <x:c r="D69" s="99" t="n">
        <x:v>270000</x:v>
      </x:c>
      <x:c r="E69" s="80" t="str"/>
    </x:row>
    <x:row r="70">
      <x:c r="A70" s="93" t="n">
        <x:v>46246</x:v>
      </x:c>
      <x:c r="B70" s="62" t="str">
        <x:v>INV-0015</x:v>
      </x:c>
      <x:c r="C70" s="62" t="str">
        <x:v>거래처04</x:v>
      </x:c>
      <x:c r="D70" s="99" t="n">
        <x:v>310000</x:v>
      </x:c>
      <x:c r="E70" s="80" t="str"/>
    </x:row>
    <x:row r="71">
      <x:c r="A71" s="93" t="n">
        <x:v>46249</x:v>
      </x:c>
      <x:c r="B71" s="62" t="str">
        <x:v>INV-0016</x:v>
      </x:c>
      <x:c r="C71" s="62" t="str">
        <x:v>거래처05</x:v>
      </x:c>
      <x:c r="D71" s="99" t="n">
        <x:v>420000</x:v>
      </x:c>
      <x:c r="E71" s="80" t="str">
        <x:v>분할입금</x:v>
      </x:c>
    </x:row>
    <x:row r="72">
      <x:c r="A72" s="93" t="n">
        <x:v>46252</x:v>
      </x:c>
      <x:c r="B72" s="62" t="str">
        <x:v>INV-0017</x:v>
      </x:c>
      <x:c r="C72" s="62" t="str">
        <x:v>거래처06</x:v>
      </x:c>
      <x:c r="D72" s="99" t="n">
        <x:v>340000</x:v>
      </x:c>
      <x:c r="E72" s="80" t="str"/>
    </x:row>
    <x:row r="73">
      <x:c r="A73" s="93" t="n">
        <x:v>46255</x:v>
      </x:c>
      <x:c r="B73" s="62" t="str">
        <x:v>INV-0018</x:v>
      </x:c>
      <x:c r="C73" s="62" t="str">
        <x:v>거래처07</x:v>
      </x:c>
      <x:c r="D73" s="99" t="n">
        <x:v>130000</x:v>
      </x:c>
      <x:c r="E73" s="80" t="str"/>
    </x:row>
    <x:row r="74">
      <x:c r="A74" s="93" t="n">
        <x:v>46258</x:v>
      </x:c>
      <x:c r="B74" s="62" t="str">
        <x:v>INV-0019</x:v>
      </x:c>
      <x:c r="C74" s="62" t="str">
        <x:v>거래처08</x:v>
      </x:c>
      <x:c r="D74" s="99" t="n">
        <x:v>750000</x:v>
      </x:c>
      <x:c r="E74" s="80" t="str"/>
    </x:row>
    <x:row r="75">
      <x:c r="A75" s="93" t="n">
        <x:v>46261</x:v>
      </x:c>
      <x:c r="B75" s="62" t="str">
        <x:v>INV-0020</x:v>
      </x:c>
      <x:c r="C75" s="62" t="str">
        <x:v>거래처09</x:v>
      </x:c>
      <x:c r="D75" s="99" t="n">
        <x:v>100000</x:v>
      </x:c>
      <x:c r="E75" s="80" t="str"/>
    </x:row>
    <x:row r="76">
      <x:c r="A76" s="93" t="n">
        <x:v>46264</x:v>
      </x:c>
      <x:c r="B76" s="62" t="str">
        <x:v>INV-0021</x:v>
      </x:c>
      <x:c r="C76" s="62" t="str">
        <x:v>거래처10</x:v>
      </x:c>
      <x:c r="D76" s="99" t="n">
        <x:v>430000</x:v>
      </x:c>
      <x:c r="E76" s="80" t="str">
        <x:v>분할입금</x:v>
      </x:c>
    </x:row>
    <x:row r="77">
      <x:c r="A77" s="93" t="n">
        <x:v>46267</x:v>
      </x:c>
      <x:c r="B77" s="62" t="str">
        <x:v>INV-0022</x:v>
      </x:c>
      <x:c r="C77" s="62" t="str">
        <x:v>거래처11</x:v>
      </x:c>
      <x:c r="D77" s="99" t="n">
        <x:v>780000</x:v>
      </x:c>
      <x:c r="E77" s="80" t="str"/>
    </x:row>
    <x:row r="78">
      <x:c r="A78" s="93" t="n">
        <x:v>46270</x:v>
      </x:c>
      <x:c r="B78" s="62" t="str">
        <x:v>INV-0023</x:v>
      </x:c>
      <x:c r="C78" s="62" t="str">
        <x:v>거래처12</x:v>
      </x:c>
      <x:c r="D78" s="99" t="n">
        <x:v>130000</x:v>
      </x:c>
      <x:c r="E78" s="80" t="str"/>
    </x:row>
    <x:row r="79">
      <x:c r="A79" s="93" t="n">
        <x:v>46273</x:v>
      </x:c>
      <x:c r="B79" s="62" t="str">
        <x:v>INV-0024</x:v>
      </x:c>
      <x:c r="C79" s="62" t="str">
        <x:v>거래처01</x:v>
      </x:c>
      <x:c r="D79" s="99" t="n">
        <x:v>180000</x:v>
      </x:c>
      <x:c r="E79" s="80" t="str"/>
    </x:row>
    <x:row r="80">
      <x:c r="A80" s="93" t="n">
        <x:v>46276</x:v>
      </x:c>
      <x:c r="B80" s="62" t="str">
        <x:v>INV-0025</x:v>
      </x:c>
      <x:c r="C80" s="62" t="str">
        <x:v>거래처02</x:v>
      </x:c>
      <x:c r="D80" s="99" t="n">
        <x:v>420000</x:v>
      </x:c>
      <x:c r="E80" s="80" t="str"/>
    </x:row>
    <x:row r="81">
      <x:c r="A81" s="93" t="n">
        <x:v>46279</x:v>
      </x:c>
      <x:c r="B81" s="62" t="str">
        <x:v>INV-0026</x:v>
      </x:c>
      <x:c r="C81" s="62" t="str">
        <x:v>거래처03</x:v>
      </x:c>
      <x:c r="D81" s="99" t="n">
        <x:v>340000</x:v>
      </x:c>
      <x:c r="E81" s="80" t="str">
        <x:v>분할입금</x:v>
      </x:c>
    </x:row>
    <x:row r="82">
      <x:c r="A82" s="93" t="n">
        <x:v>46282</x:v>
      </x:c>
      <x:c r="B82" s="62" t="str">
        <x:v>INV-0027</x:v>
      </x:c>
      <x:c r="C82" s="62" t="str">
        <x:v>거래처04</x:v>
      </x:c>
      <x:c r="D82" s="99" t="n">
        <x:v>740000</x:v>
      </x:c>
      <x:c r="E82" s="80" t="str"/>
    </x:row>
    <x:row r="83">
      <x:c r="A83" s="93" t="n">
        <x:v>46285</x:v>
      </x:c>
      <x:c r="B83" s="62" t="str">
        <x:v>INV-0028</x:v>
      </x:c>
      <x:c r="C83" s="62" t="str">
        <x:v>거래처05</x:v>
      </x:c>
      <x:c r="D83" s="99" t="n">
        <x:v>330000</x:v>
      </x:c>
      <x:c r="E83" s="80" t="str"/>
    </x:row>
    <x:row r="84">
      <x:c r="A84" s="93" t="n">
        <x:v>46288</x:v>
      </x:c>
      <x:c r="B84" s="62" t="str">
        <x:v>INV-0029</x:v>
      </x:c>
      <x:c r="C84" s="62" t="str">
        <x:v>거래처06</x:v>
      </x:c>
      <x:c r="D84" s="99" t="n">
        <x:v>580000</x:v>
      </x:c>
      <x:c r="E84" s="80" t="str"/>
    </x:row>
    <x:row r="85">
      <x:c r="A85" s="94" t="n">
        <x:v>46291</x:v>
      </x:c>
      <x:c r="B85" s="82" t="str">
        <x:v>INV-0030</x:v>
      </x:c>
      <x:c r="C85" s="82" t="str">
        <x:v>거래처07</x:v>
      </x:c>
      <x:c r="D85" s="100" t="n">
        <x:v>150000</x:v>
      </x:c>
      <x:c r="E85" s="83" t="str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5" hidden="0" customWidth="1"/>
    <x:col min="5" max="5" width="13" hidden="0" customWidth="1"/>
    <x:col min="6" max="6" width="15" hidden="0" customWidth="1"/>
    <x:col min="7" max="7" width="15" hidden="0" customWidth="1"/>
    <x:col min="8" max="8" width="11" hidden="0" customWidth="1"/>
    <x:col min="9" max="9" width="14" hidden="0" customWidth="1"/>
    <x:col min="10" max="10" width="22" hidden="0" customWidth="1"/>
  </x:cols>
  <x:sheetData>
    <x:row r="1" ht="30" customHeight="1">
      <x:c r="A1" s="5" t="str">
        <x:v>매출채권 원장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청구금액과 입금내역을 연결해 잔액과 연령구간을 계산합니다.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5" ht="28" customHeight="1">
      <x:c r="A5" s="30" t="str">
        <x:v>청구번호</x:v>
      </x:c>
      <x:c r="B5" s="71" t="str">
        <x:v>청구일</x:v>
      </x:c>
      <x:c r="C5" s="71" t="str">
        <x:v>거래처</x:v>
      </x:c>
      <x:c r="D5" s="71" t="str">
        <x:v>청구금액</x:v>
      </x:c>
      <x:c r="E5" s="71" t="str">
        <x:v>만기일</x:v>
      </x:c>
      <x:c r="F5" s="71" t="str">
        <x:v>입금액</x:v>
      </x:c>
      <x:c r="G5" s="71" t="str">
        <x:v>잔액</x:v>
      </x:c>
      <x:c r="H5" s="71" t="str">
        <x:v>연체일수</x:v>
      </x:c>
      <x:c r="I5" s="71" t="str">
        <x:v>연령구간</x:v>
      </x:c>
      <x:c r="J5" s="31" t="str">
        <x:v>비고</x:v>
      </x:c>
    </x:row>
    <x:row r="6">
      <x:c r="A6" s="76" t="str">
        <x:v>INV-0001</x:v>
      </x:c>
      <x:c r="B6" s="126" t="n">
        <x:v>46029</x:v>
      </x:c>
      <x:c r="C6" s="77" t="str">
        <x:v>거래처02</x:v>
      </x:c>
      <x:c r="D6" s="98" t="n">
        <x:v>1480000</x:v>
      </x:c>
      <x:c r="E6" s="138" t="n">
        <x:v>46074</x:v>
      </x:c>
      <x:c r="F6" s="139" t="n">
        <x:f>SUMIF('입금내역'!$B$6:$B$85,A6,'입금내역'!$D$6:$D$85)</x:f>
        <x:v>860000</x:v>
      </x:c>
      <x:c r="G6" s="140" t="n">
        <x:f>D6-F6</x:f>
        <x:v>620000</x:v>
      </x:c>
      <x:c r="H6" s="158" t="n">
        <x:f>MAX(0,'설정'!$B$6-E6)</x:f>
        <x:v>191</x:v>
      </x:c>
      <x:c r="I6" s="112" t="str">
        <x:f>IF(G6=0,"회수완료",IF(H6=0,"정상",IF(H6&lt;=30,"1~30일",IF(H6&lt;=60,"31~60일",IF(H6&lt;=90,"61~90일","90일 초과")))))</x:f>
        <x:v>90일 초과</x:v>
      </x:c>
      <x:c r="J6" s="104" t="str"/>
    </x:row>
    <x:row r="7">
      <x:c r="A7" s="79" t="str">
        <x:v>INV-0002</x:v>
      </x:c>
      <x:c r="B7" s="127" t="n">
        <x:v>46033</x:v>
      </x:c>
      <x:c r="C7" s="62" t="str">
        <x:v>거래처03</x:v>
      </x:c>
      <x:c r="D7" s="99" t="n">
        <x:v>1860000</x:v>
      </x:c>
      <x:c r="E7" s="141" t="n">
        <x:v>46093</x:v>
      </x:c>
      <x:c r="F7" s="142" t="n">
        <x:f>SUMIF('입금내역'!$B$6:$B$85,A7,'입금내역'!$D$6:$D$85)</x:f>
        <x:v>610000</x:v>
      </x:c>
      <x:c r="G7" s="143" t="n">
        <x:f>D7-F7</x:f>
        <x:v>1250000</x:v>
      </x:c>
      <x:c r="H7" s="159" t="n">
        <x:f>MAX(0,'설정'!$B$6-E7)</x:f>
        <x:v>172</x:v>
      </x:c>
      <x:c r="I7" s="114" t="str">
        <x:f>IF(G7=0,"회수완료",IF(H7=0,"정상",IF(H7&lt;=30,"1~30일",IF(H7&lt;=60,"31~60일",IF(H7&lt;=90,"61~90일","90일 초과")))))</x:f>
        <x:v>90일 초과</x:v>
      </x:c>
      <x:c r="J7" s="105" t="str"/>
    </x:row>
    <x:row r="8">
      <x:c r="A8" s="79" t="str">
        <x:v>INV-0003</x:v>
      </x:c>
      <x:c r="B8" s="127" t="n">
        <x:v>46037</x:v>
      </x:c>
      <x:c r="C8" s="62" t="str">
        <x:v>거래처04</x:v>
      </x:c>
      <x:c r="D8" s="99" t="n">
        <x:v>2980000</x:v>
      </x:c>
      <x:c r="E8" s="141" t="n">
        <x:v>46067</x:v>
      </x:c>
      <x:c r="F8" s="142" t="n">
        <x:f>SUMIF('입금내역'!$B$6:$B$85,A8,'입금내역'!$D$6:$D$85)</x:f>
        <x:v>670000</x:v>
      </x:c>
      <x:c r="G8" s="143" t="n">
        <x:f>D8-F8</x:f>
        <x:v>2310000</x:v>
      </x:c>
      <x:c r="H8" s="159" t="n">
        <x:f>MAX(0,'설정'!$B$6-E8)</x:f>
        <x:v>198</x:v>
      </x:c>
      <x:c r="I8" s="114" t="str">
        <x:f>IF(G8=0,"회수완료",IF(H8=0,"정상",IF(H8&lt;=30,"1~30일",IF(H8&lt;=60,"31~60일",IF(H8&lt;=90,"61~90일","90일 초과")))))</x:f>
        <x:v>90일 초과</x:v>
      </x:c>
      <x:c r="J8" s="105" t="str"/>
    </x:row>
    <x:row r="9">
      <x:c r="A9" s="79" t="str">
        <x:v>INV-0004</x:v>
      </x:c>
      <x:c r="B9" s="127" t="n">
        <x:v>46041</x:v>
      </x:c>
      <x:c r="C9" s="62" t="str">
        <x:v>거래처05</x:v>
      </x:c>
      <x:c r="D9" s="99" t="n">
        <x:v>3370000</x:v>
      </x:c>
      <x:c r="E9" s="141" t="n">
        <x:v>46086</x:v>
      </x:c>
      <x:c r="F9" s="142" t="n">
        <x:f>SUMIF('입금내역'!$B$6:$B$85,A9,'입금내역'!$D$6:$D$85)</x:f>
        <x:v>790000</x:v>
      </x:c>
      <x:c r="G9" s="143" t="n">
        <x:f>D9-F9</x:f>
        <x:v>2580000</x:v>
      </x:c>
      <x:c r="H9" s="159" t="n">
        <x:f>MAX(0,'설정'!$B$6-E9)</x:f>
        <x:v>179</x:v>
      </x:c>
      <x:c r="I9" s="114" t="str">
        <x:f>IF(G9=0,"회수완료",IF(H9=0,"정상",IF(H9&lt;=30,"1~30일",IF(H9&lt;=60,"31~60일",IF(H9&lt;=90,"61~90일","90일 초과")))))</x:f>
        <x:v>90일 초과</x:v>
      </x:c>
      <x:c r="J9" s="105" t="str"/>
    </x:row>
    <x:row r="10">
      <x:c r="A10" s="79" t="str">
        <x:v>INV-0005</x:v>
      </x:c>
      <x:c r="B10" s="127" t="n">
        <x:v>46045</x:v>
      </x:c>
      <x:c r="C10" s="62" t="str">
        <x:v>거래처06</x:v>
      </x:c>
      <x:c r="D10" s="99" t="n">
        <x:v>3110000</x:v>
      </x:c>
      <x:c r="E10" s="141" t="n">
        <x:v>46105</x:v>
      </x:c>
      <x:c r="F10" s="142" t="n">
        <x:f>SUMIF('입금내역'!$B$6:$B$85,A10,'입금내역'!$D$6:$D$85)</x:f>
        <x:v>570000</x:v>
      </x:c>
      <x:c r="G10" s="143" t="n">
        <x:f>D10-F10</x:f>
        <x:v>2540000</x:v>
      </x:c>
      <x:c r="H10" s="159" t="n">
        <x:f>MAX(0,'설정'!$B$6-E10)</x:f>
        <x:v>160</x:v>
      </x:c>
      <x:c r="I10" s="114" t="str">
        <x:f>IF(G10=0,"회수완료",IF(H10=0,"정상",IF(H10&lt;=30,"1~30일",IF(H10&lt;=60,"31~60일",IF(H10&lt;=90,"61~90일","90일 초과")))))</x:f>
        <x:v>90일 초과</x:v>
      </x:c>
      <x:c r="J10" s="105" t="str"/>
    </x:row>
    <x:row r="11">
      <x:c r="A11" s="79" t="str">
        <x:v>INV-0006</x:v>
      </x:c>
      <x:c r="B11" s="127" t="n">
        <x:v>46049</x:v>
      </x:c>
      <x:c r="C11" s="62" t="str">
        <x:v>거래처07</x:v>
      </x:c>
      <x:c r="D11" s="99" t="n">
        <x:v>1080000</x:v>
      </x:c>
      <x:c r="E11" s="141" t="n">
        <x:v>46079</x:v>
      </x:c>
      <x:c r="F11" s="142" t="n">
        <x:f>SUMIF('입금내역'!$B$6:$B$85,A11,'입금내역'!$D$6:$D$85)</x:f>
        <x:v>1270000</x:v>
      </x:c>
      <x:c r="G11" s="143" t="n">
        <x:f>D11-F11</x:f>
        <x:v>-190000</x:v>
      </x:c>
      <x:c r="H11" s="159" t="n">
        <x:f>MAX(0,'설정'!$B$6-E11)</x:f>
        <x:v>186</x:v>
      </x:c>
      <x:c r="I11" s="114" t="str">
        <x:f>IF(G11=0,"회수완료",IF(H11=0,"정상",IF(H11&lt;=30,"1~30일",IF(H11&lt;=60,"31~60일",IF(H11&lt;=90,"61~90일","90일 초과")))))</x:f>
        <x:v>90일 초과</x:v>
      </x:c>
      <x:c r="J11" s="105" t="str"/>
    </x:row>
    <x:row r="12">
      <x:c r="A12" s="79" t="str">
        <x:v>INV-0007</x:v>
      </x:c>
      <x:c r="B12" s="127" t="n">
        <x:v>46053</x:v>
      </x:c>
      <x:c r="C12" s="62" t="str">
        <x:v>거래처08</x:v>
      </x:c>
      <x:c r="D12" s="99" t="n">
        <x:v>1990000</x:v>
      </x:c>
      <x:c r="E12" s="141" t="n">
        <x:v>46098</x:v>
      </x:c>
      <x:c r="F12" s="142" t="n">
        <x:f>SUMIF('입금내역'!$B$6:$B$85,A12,'입금내역'!$D$6:$D$85)</x:f>
        <x:v>1000000</x:v>
      </x:c>
      <x:c r="G12" s="143" t="n">
        <x:f>D12-F12</x:f>
        <x:v>990000</x:v>
      </x:c>
      <x:c r="H12" s="159" t="n">
        <x:f>MAX(0,'설정'!$B$6-E12)</x:f>
        <x:v>167</x:v>
      </x:c>
      <x:c r="I12" s="114" t="str">
        <x:f>IF(G12=0,"회수완료",IF(H12=0,"정상",IF(H12&lt;=30,"1~30일",IF(H12&lt;=60,"31~60일",IF(H12&lt;=90,"61~90일","90일 초과")))))</x:f>
        <x:v>90일 초과</x:v>
      </x:c>
      <x:c r="J12" s="105" t="str"/>
    </x:row>
    <x:row r="13">
      <x:c r="A13" s="79" t="str">
        <x:v>INV-0008</x:v>
      </x:c>
      <x:c r="B13" s="127" t="n">
        <x:v>46057</x:v>
      </x:c>
      <x:c r="C13" s="62" t="str">
        <x:v>거래처09</x:v>
      </x:c>
      <x:c r="D13" s="99" t="n">
        <x:v>2360000</x:v>
      </x:c>
      <x:c r="E13" s="141" t="n">
        <x:v>46117</x:v>
      </x:c>
      <x:c r="F13" s="142" t="n">
        <x:f>SUMIF('입금내역'!$B$6:$B$85,A13,'입금내역'!$D$6:$D$85)</x:f>
        <x:v>610000</x:v>
      </x:c>
      <x:c r="G13" s="143" t="n">
        <x:f>D13-F13</x:f>
        <x:v>1750000</x:v>
      </x:c>
      <x:c r="H13" s="159" t="n">
        <x:f>MAX(0,'설정'!$B$6-E13)</x:f>
        <x:v>148</x:v>
      </x:c>
      <x:c r="I13" s="114" t="str">
        <x:f>IF(G13=0,"회수완료",IF(H13=0,"정상",IF(H13&lt;=30,"1~30일",IF(H13&lt;=60,"31~60일",IF(H13&lt;=90,"61~90일","90일 초과")))))</x:f>
        <x:v>90일 초과</x:v>
      </x:c>
      <x:c r="J13" s="105" t="str"/>
    </x:row>
    <x:row r="14">
      <x:c r="A14" s="79" t="str">
        <x:v>INV-0009</x:v>
      </x:c>
      <x:c r="B14" s="127" t="n">
        <x:v>46061</x:v>
      </x:c>
      <x:c r="C14" s="62" t="str">
        <x:v>거래처10</x:v>
      </x:c>
      <x:c r="D14" s="99" t="n">
        <x:v>2050000</x:v>
      </x:c>
      <x:c r="E14" s="141" t="n">
        <x:v>46091</x:v>
      </x:c>
      <x:c r="F14" s="142" t="n">
        <x:f>SUMIF('입금내역'!$B$6:$B$85,A14,'입금내역'!$D$6:$D$85)</x:f>
        <x:v>810000</x:v>
      </x:c>
      <x:c r="G14" s="143" t="n">
        <x:f>D14-F14</x:f>
        <x:v>1240000</x:v>
      </x:c>
      <x:c r="H14" s="159" t="n">
        <x:f>MAX(0,'설정'!$B$6-E14)</x:f>
        <x:v>174</x:v>
      </x:c>
      <x:c r="I14" s="114" t="str">
        <x:f>IF(G14=0,"회수완료",IF(H14=0,"정상",IF(H14&lt;=30,"1~30일",IF(H14&lt;=60,"31~60일",IF(H14&lt;=90,"61~90일","90일 초과")))))</x:f>
        <x:v>90일 초과</x:v>
      </x:c>
      <x:c r="J14" s="105" t="str"/>
    </x:row>
    <x:row r="15">
      <x:c r="A15" s="79" t="str">
        <x:v>INV-0010</x:v>
      </x:c>
      <x:c r="B15" s="127" t="n">
        <x:v>46065</x:v>
      </x:c>
      <x:c r="C15" s="62" t="str">
        <x:v>거래처11</x:v>
      </x:c>
      <x:c r="D15" s="99" t="n">
        <x:v>1970000</x:v>
      </x:c>
      <x:c r="E15" s="141" t="n">
        <x:v>46110</x:v>
      </x:c>
      <x:c r="F15" s="142" t="n">
        <x:f>SUMIF('입금내역'!$B$6:$B$85,A15,'입금내역'!$D$6:$D$85)</x:f>
        <x:v>1350000</x:v>
      </x:c>
      <x:c r="G15" s="143" t="n">
        <x:f>D15-F15</x:f>
        <x:v>620000</x:v>
      </x:c>
      <x:c r="H15" s="159" t="n">
        <x:f>MAX(0,'설정'!$B$6-E15)</x:f>
        <x:v>155</x:v>
      </x:c>
      <x:c r="I15" s="114" t="str">
        <x:f>IF(G15=0,"회수완료",IF(H15=0,"정상",IF(H15&lt;=30,"1~30일",IF(H15&lt;=60,"31~60일",IF(H15&lt;=90,"61~90일","90일 초과")))))</x:f>
        <x:v>90일 초과</x:v>
      </x:c>
      <x:c r="J15" s="105" t="str"/>
    </x:row>
    <x:row r="16">
      <x:c r="A16" s="79" t="str">
        <x:v>INV-0011</x:v>
      </x:c>
      <x:c r="B16" s="127" t="n">
        <x:v>46069</x:v>
      </x:c>
      <x:c r="C16" s="62" t="str">
        <x:v>거래처12</x:v>
      </x:c>
      <x:c r="D16" s="99" t="n">
        <x:v>1050000</x:v>
      </x:c>
      <x:c r="E16" s="141" t="n">
        <x:v>46129</x:v>
      </x:c>
      <x:c r="F16" s="142" t="n">
        <x:f>SUMIF('입금내역'!$B$6:$B$85,A16,'입금내역'!$D$6:$D$85)</x:f>
        <x:v>310000</x:v>
      </x:c>
      <x:c r="G16" s="143" t="n">
        <x:f>D16-F16</x:f>
        <x:v>740000</x:v>
      </x:c>
      <x:c r="H16" s="159" t="n">
        <x:f>MAX(0,'설정'!$B$6-E16)</x:f>
        <x:v>136</x:v>
      </x:c>
      <x:c r="I16" s="114" t="str">
        <x:f>IF(G16=0,"회수완료",IF(H16=0,"정상",IF(H16&lt;=30,"1~30일",IF(H16&lt;=60,"31~60일",IF(H16&lt;=90,"61~90일","90일 초과")))))</x:f>
        <x:v>90일 초과</x:v>
      </x:c>
      <x:c r="J16" s="105" t="str"/>
    </x:row>
    <x:row r="17">
      <x:c r="A17" s="79" t="str">
        <x:v>INV-0012</x:v>
      </x:c>
      <x:c r="B17" s="127" t="n">
        <x:v>46073</x:v>
      </x:c>
      <x:c r="C17" s="62" t="str">
        <x:v>거래처01</x:v>
      </x:c>
      <x:c r="D17" s="99" t="n">
        <x:v>1060000</x:v>
      </x:c>
      <x:c r="E17" s="141" t="n">
        <x:v>46103</x:v>
      </x:c>
      <x:c r="F17" s="142" t="n">
        <x:f>SUMIF('입금내역'!$B$6:$B$85,A16,'입금내역'!$D$6:$D$85)</x:f>
        <x:v>310000</x:v>
      </x:c>
      <x:c r="G17" s="143" t="n">
        <x:f>D17-F17</x:f>
        <x:v>750000</x:v>
      </x:c>
      <x:c r="H17" s="159" t="n">
        <x:f>MAX(0,'설정'!$B$6-E17)</x:f>
        <x:v>162</x:v>
      </x:c>
      <x:c r="I17" s="114" t="str">
        <x:f>IF(G17=0,"회수완료",IF(H17=0,"정상",IF(H17&lt;=30,"1~30일",IF(H17&lt;=60,"31~60일",IF(H17&lt;=90,"61~90일","90일 초과")))))</x:f>
        <x:v>90일 초과</x:v>
      </x:c>
      <x:c r="J17" s="105" t="str"/>
    </x:row>
    <x:row r="18">
      <x:c r="A18" s="79" t="str">
        <x:v>INV-0013</x:v>
      </x:c>
      <x:c r="B18" s="127" t="n">
        <x:v>46077</x:v>
      </x:c>
      <x:c r="C18" s="62" t="str">
        <x:v>거래처02</x:v>
      </x:c>
      <x:c r="D18" s="99" t="n">
        <x:v>2280000</x:v>
      </x:c>
      <x:c r="E18" s="141" t="n">
        <x:v>46122</x:v>
      </x:c>
      <x:c r="F18" s="142" t="n">
        <x:f>SUMIF('입금내역'!$B$6:$B$85,A18,'입금내역'!$D$6:$D$85)</x:f>
        <x:v>1280000</x:v>
      </x:c>
      <x:c r="G18" s="143" t="n">
        <x:f>D18-F18</x:f>
        <x:v>1000000</x:v>
      </x:c>
      <x:c r="H18" s="159" t="n">
        <x:f>MAX(0,'설정'!$B$6-E18)</x:f>
        <x:v>143</x:v>
      </x:c>
      <x:c r="I18" s="114" t="str">
        <x:f>IF(G18=0,"회수완료",IF(H18=0,"정상",IF(H18&lt;=30,"1~30일",IF(H18&lt;=60,"31~60일",IF(H18&lt;=90,"61~90일","90일 초과")))))</x:f>
        <x:v>90일 초과</x:v>
      </x:c>
      <x:c r="J18" s="105" t="str"/>
    </x:row>
    <x:row r="19">
      <x:c r="A19" s="79" t="str">
        <x:v>INV-0014</x:v>
      </x:c>
      <x:c r="B19" s="127" t="n">
        <x:v>46081</x:v>
      </x:c>
      <x:c r="C19" s="62" t="str">
        <x:v>거래처03</x:v>
      </x:c>
      <x:c r="D19" s="99" t="n">
        <x:v>2150000</x:v>
      </x:c>
      <x:c r="E19" s="141" t="n">
        <x:v>46141</x:v>
      </x:c>
      <x:c r="F19" s="142" t="n">
        <x:f>SUMIF('입금내역'!$B$6:$B$85,A19,'입금내역'!$D$6:$D$85)</x:f>
        <x:v>1060000</x:v>
      </x:c>
      <x:c r="G19" s="143" t="n">
        <x:f>D19-F19</x:f>
        <x:v>1090000</x:v>
      </x:c>
      <x:c r="H19" s="159" t="n">
        <x:f>MAX(0,'설정'!$B$6-E19)</x:f>
        <x:v>124</x:v>
      </x:c>
      <x:c r="I19" s="114" t="str">
        <x:f>IF(G19=0,"회수완료",IF(H19=0,"정상",IF(H19&lt;=30,"1~30일",IF(H19&lt;=60,"31~60일",IF(H19&lt;=90,"61~90일","90일 초과")))))</x:f>
        <x:v>90일 초과</x:v>
      </x:c>
      <x:c r="J19" s="105" t="str"/>
    </x:row>
    <x:row r="20">
      <x:c r="A20" s="79" t="str">
        <x:v>INV-0015</x:v>
      </x:c>
      <x:c r="B20" s="127" t="n">
        <x:v>46085</x:v>
      </x:c>
      <x:c r="C20" s="62" t="str">
        <x:v>거래처04</x:v>
      </x:c>
      <x:c r="D20" s="99" t="n">
        <x:v>1240000</x:v>
      </x:c>
      <x:c r="E20" s="141" t="n">
        <x:v>46115</x:v>
      </x:c>
      <x:c r="F20" s="142" t="n">
        <x:f>SUMIF('입금내역'!$B$6:$B$85,A20,'입금내역'!$D$6:$D$85)</x:f>
        <x:v>450000</x:v>
      </x:c>
      <x:c r="G20" s="143" t="n">
        <x:f>D20-F20</x:f>
        <x:v>790000</x:v>
      </x:c>
      <x:c r="H20" s="159" t="n">
        <x:f>MAX(0,'설정'!$B$6-E20)</x:f>
        <x:v>150</x:v>
      </x:c>
      <x:c r="I20" s="114" t="str">
        <x:f>IF(G20=0,"회수완료",IF(H20=0,"정상",IF(H20&lt;=30,"1~30일",IF(H20&lt;=60,"31~60일",IF(H20&lt;=90,"61~90일","90일 초과")))))</x:f>
        <x:v>90일 초과</x:v>
      </x:c>
      <x:c r="J20" s="105" t="str"/>
    </x:row>
    <x:row r="21">
      <x:c r="A21" s="79" t="str">
        <x:v>INV-0016</x:v>
      </x:c>
      <x:c r="B21" s="127" t="n">
        <x:v>46089</x:v>
      </x:c>
      <x:c r="C21" s="62" t="str">
        <x:v>거래처05</x:v>
      </x:c>
      <x:c r="D21" s="99" t="n">
        <x:v>2330000</x:v>
      </x:c>
      <x:c r="E21" s="141" t="n">
        <x:v>46134</x:v>
      </x:c>
      <x:c r="F21" s="142" t="n">
        <x:f>SUMIF('입금내역'!$B$6:$B$85,A21,'입금내역'!$D$6:$D$85)</x:f>
        <x:v>670000</x:v>
      </x:c>
      <x:c r="G21" s="143" t="n">
        <x:f>D21-F21</x:f>
        <x:v>1660000</x:v>
      </x:c>
      <x:c r="H21" s="159" t="n">
        <x:f>MAX(0,'설정'!$B$6-E21)</x:f>
        <x:v>131</x:v>
      </x:c>
      <x:c r="I21" s="114" t="str">
        <x:f>IF(G21=0,"회수완료",IF(H21=0,"정상",IF(H21&lt;=30,"1~30일",IF(H21&lt;=60,"31~60일",IF(H21&lt;=90,"61~90일","90일 초과")))))</x:f>
        <x:v>90일 초과</x:v>
      </x:c>
      <x:c r="J21" s="105" t="str"/>
    </x:row>
    <x:row r="22">
      <x:c r="A22" s="79" t="str">
        <x:v>INV-0017</x:v>
      </x:c>
      <x:c r="B22" s="127" t="n">
        <x:v>46093</x:v>
      </x:c>
      <x:c r="C22" s="62" t="str">
        <x:v>거래처06</x:v>
      </x:c>
      <x:c r="D22" s="99" t="n">
        <x:v>2790000</x:v>
      </x:c>
      <x:c r="E22" s="141" t="n">
        <x:v>46153</x:v>
      </x:c>
      <x:c r="F22" s="142" t="n">
        <x:f>SUMIF('입금내역'!$B$6:$B$85,A22,'입금내역'!$D$6:$D$85)</x:f>
        <x:v>940000</x:v>
      </x:c>
      <x:c r="G22" s="143" t="n">
        <x:f>D22-F22</x:f>
        <x:v>1850000</x:v>
      </x:c>
      <x:c r="H22" s="159" t="n">
        <x:f>MAX(0,'설정'!$B$6-E22)</x:f>
        <x:v>112</x:v>
      </x:c>
      <x:c r="I22" s="114" t="str">
        <x:f>IF(G22=0,"회수완료",IF(H22=0,"정상",IF(H22&lt;=30,"1~30일",IF(H22&lt;=60,"31~60일",IF(H22&lt;=90,"61~90일","90일 초과")))))</x:f>
        <x:v>90일 초과</x:v>
      </x:c>
      <x:c r="J22" s="105" t="str"/>
    </x:row>
    <x:row r="23">
      <x:c r="A23" s="79" t="str">
        <x:v>INV-0018</x:v>
      </x:c>
      <x:c r="B23" s="127" t="n">
        <x:v>46097</x:v>
      </x:c>
      <x:c r="C23" s="62" t="str">
        <x:v>거래처07</x:v>
      </x:c>
      <x:c r="D23" s="99" t="n">
        <x:v>1510000</x:v>
      </x:c>
      <x:c r="E23" s="141" t="n">
        <x:v>46127</x:v>
      </x:c>
      <x:c r="F23" s="142" t="n">
        <x:f>SUMIF('입금내역'!$B$6:$B$85,A23,'입금내역'!$D$6:$D$85)</x:f>
        <x:v>400000</x:v>
      </x:c>
      <x:c r="G23" s="143" t="n">
        <x:f>D23-F23</x:f>
        <x:v>1110000</x:v>
      </x:c>
      <x:c r="H23" s="159" t="n">
        <x:f>MAX(0,'설정'!$B$6-E23)</x:f>
        <x:v>138</x:v>
      </x:c>
      <x:c r="I23" s="114" t="str">
        <x:f>IF(G23=0,"회수완료",IF(H23=0,"정상",IF(H23&lt;=30,"1~30일",IF(H23&lt;=60,"31~60일",IF(H23&lt;=90,"61~90일","90일 초과")))))</x:f>
        <x:v>90일 초과</x:v>
      </x:c>
      <x:c r="J23" s="105" t="str"/>
    </x:row>
    <x:row r="24">
      <x:c r="A24" s="79" t="str">
        <x:v>INV-0019</x:v>
      </x:c>
      <x:c r="B24" s="127" t="n">
        <x:v>46101</x:v>
      </x:c>
      <x:c r="C24" s="62" t="str">
        <x:v>거래처08</x:v>
      </x:c>
      <x:c r="D24" s="99" t="n">
        <x:v>1750000</x:v>
      </x:c>
      <x:c r="E24" s="141" t="n">
        <x:v>46146</x:v>
      </x:c>
      <x:c r="F24" s="142" t="n">
        <x:f>SUMIF('입금내역'!$B$6:$B$85,A24,'입금내역'!$D$6:$D$85)</x:f>
        <x:v>1480000</x:v>
      </x:c>
      <x:c r="G24" s="143" t="n">
        <x:f>D24-F24</x:f>
        <x:v>270000</x:v>
      </x:c>
      <x:c r="H24" s="159" t="n">
        <x:f>MAX(0,'설정'!$B$6-E24)</x:f>
        <x:v>119</x:v>
      </x:c>
      <x:c r="I24" s="114" t="str">
        <x:f>IF(G24=0,"회수완료",IF(H24=0,"정상",IF(H24&lt;=30,"1~30일",IF(H24&lt;=60,"31~60일",IF(H24&lt;=90,"61~90일","90일 초과")))))</x:f>
        <x:v>90일 초과</x:v>
      </x:c>
      <x:c r="J24" s="105" t="str"/>
    </x:row>
    <x:row r="25">
      <x:c r="A25" s="79" t="str">
        <x:v>INV-0020</x:v>
      </x:c>
      <x:c r="B25" s="127" t="n">
        <x:v>46105</x:v>
      </x:c>
      <x:c r="C25" s="62" t="str">
        <x:v>거래처09</x:v>
      </x:c>
      <x:c r="D25" s="99" t="n">
        <x:v>2750000</x:v>
      </x:c>
      <x:c r="E25" s="141" t="n">
        <x:v>46165</x:v>
      </x:c>
      <x:c r="F25" s="142" t="n">
        <x:f>SUMIF('입금내역'!$B$6:$B$85,A25,'입금내역'!$D$6:$D$85)</x:f>
        <x:v>570000</x:v>
      </x:c>
      <x:c r="G25" s="143" t="n">
        <x:f>D25-F25</x:f>
        <x:v>2180000</x:v>
      </x:c>
      <x:c r="H25" s="159" t="n">
        <x:f>MAX(0,'설정'!$B$6-E25)</x:f>
        <x:v>100</x:v>
      </x:c>
      <x:c r="I25" s="114" t="str">
        <x:f>IF(G25=0,"회수완료",IF(H25=0,"정상",IF(H25&lt;=30,"1~30일",IF(H25&lt;=60,"31~60일",IF(H25&lt;=90,"61~90일","90일 초과")))))</x:f>
        <x:v>90일 초과</x:v>
      </x:c>
      <x:c r="J25" s="105" t="str"/>
    </x:row>
    <x:row r="26">
      <x:c r="A26" s="79" t="str">
        <x:v>INV-0021</x:v>
      </x:c>
      <x:c r="B26" s="127" t="n">
        <x:v>46109</x:v>
      </x:c>
      <x:c r="C26" s="62" t="str">
        <x:v>거래처10</x:v>
      </x:c>
      <x:c r="D26" s="99" t="n">
        <x:v>3140000</x:v>
      </x:c>
      <x:c r="E26" s="141" t="n">
        <x:v>46139</x:v>
      </x:c>
      <x:c r="F26" s="142" t="n">
        <x:f>SUMIF('입금내역'!$B$6:$B$85,A26,'입금내역'!$D$6:$D$85)</x:f>
        <x:v>530000</x:v>
      </x:c>
      <x:c r="G26" s="143" t="n">
        <x:f>D26-F26</x:f>
        <x:v>2610000</x:v>
      </x:c>
      <x:c r="H26" s="159" t="n">
        <x:f>MAX(0,'설정'!$B$6-E26)</x:f>
        <x:v>126</x:v>
      </x:c>
      <x:c r="I26" s="114" t="str">
        <x:f>IF(G26=0,"회수완료",IF(H26=0,"정상",IF(H26&lt;=30,"1~30일",IF(H26&lt;=60,"31~60일",IF(H26&lt;=90,"61~90일","90일 초과")))))</x:f>
        <x:v>90일 초과</x:v>
      </x:c>
      <x:c r="J26" s="105" t="str"/>
    </x:row>
    <x:row r="27">
      <x:c r="A27" s="79" t="str">
        <x:v>INV-0022</x:v>
      </x:c>
      <x:c r="B27" s="127" t="n">
        <x:v>46113</x:v>
      </x:c>
      <x:c r="C27" s="62" t="str">
        <x:v>거래처11</x:v>
      </x:c>
      <x:c r="D27" s="99" t="n">
        <x:v>2710000</x:v>
      </x:c>
      <x:c r="E27" s="141" t="n">
        <x:v>46158</x:v>
      </x:c>
      <x:c r="F27" s="142" t="n">
        <x:f>SUMIF('입금내역'!$B$6:$B$85,A27,'입금내역'!$D$6:$D$85)</x:f>
        <x:v>1400000</x:v>
      </x:c>
      <x:c r="G27" s="143" t="n">
        <x:f>D27-F27</x:f>
        <x:v>1310000</x:v>
      </x:c>
      <x:c r="H27" s="159" t="n">
        <x:f>MAX(0,'설정'!$B$6-E27)</x:f>
        <x:v>107</x:v>
      </x:c>
      <x:c r="I27" s="114" t="str">
        <x:f>IF(G27=0,"회수완료",IF(H27=0,"정상",IF(H27&lt;=30,"1~30일",IF(H27&lt;=60,"31~60일",IF(H27&lt;=90,"61~90일","90일 초과")))))</x:f>
        <x:v>90일 초과</x:v>
      </x:c>
      <x:c r="J27" s="105" t="str"/>
    </x:row>
    <x:row r="28">
      <x:c r="A28" s="79" t="str">
        <x:v>INV-0023</x:v>
      </x:c>
      <x:c r="B28" s="127" t="n">
        <x:v>46117</x:v>
      </x:c>
      <x:c r="C28" s="62" t="str">
        <x:v>거래처12</x:v>
      </x:c>
      <x:c r="D28" s="99" t="n">
        <x:v>1860000</x:v>
      </x:c>
      <x:c r="E28" s="141" t="n">
        <x:v>46177</x:v>
      </x:c>
      <x:c r="F28" s="142" t="n">
        <x:f>SUMIF('입금내역'!$B$6:$B$85,A28,'입금내역'!$D$6:$D$85)</x:f>
        <x:v>580000</x:v>
      </x:c>
      <x:c r="G28" s="143" t="n">
        <x:f>D28-F28</x:f>
        <x:v>1280000</x:v>
      </x:c>
      <x:c r="H28" s="159" t="n">
        <x:f>MAX(0,'설정'!$B$6-E28)</x:f>
        <x:v>88</x:v>
      </x:c>
      <x:c r="I28" s="114" t="str">
        <x:f>IF(G28=0,"회수완료",IF(H28=0,"정상",IF(H28&lt;=30,"1~30일",IF(H28&lt;=60,"31~60일",IF(H28&lt;=90,"61~90일","90일 초과")))))</x:f>
        <x:v>61~90일</x:v>
      </x:c>
      <x:c r="J28" s="105" t="str"/>
    </x:row>
    <x:row r="29">
      <x:c r="A29" s="79" t="str">
        <x:v>INV-0024</x:v>
      </x:c>
      <x:c r="B29" s="127" t="n">
        <x:v>46121</x:v>
      </x:c>
      <x:c r="C29" s="62" t="str">
        <x:v>거래처01</x:v>
      </x:c>
      <x:c r="D29" s="99" t="n">
        <x:v>2380000</x:v>
      </x:c>
      <x:c r="E29" s="141" t="n">
        <x:v>46151</x:v>
      </x:c>
      <x:c r="F29" s="142" t="n">
        <x:f>SUMIF('입금내역'!$B$6:$B$85,A29,'입금내역'!$D$6:$D$85)</x:f>
        <x:v>320000</x:v>
      </x:c>
      <x:c r="G29" s="143" t="n">
        <x:v>1250000</x:v>
      </x:c>
      <x:c r="H29" s="159" t="n">
        <x:f>MAX(0,'설정'!$B$6-E29)</x:f>
        <x:v>114</x:v>
      </x:c>
      <x:c r="I29" s="114" t="str">
        <x:f>IF(G29=0,"회수완료",IF(H29=0,"정상",IF(H29&lt;=30,"1~30일",IF(H29&lt;=60,"31~60일",IF(H29&lt;=90,"61~90일","90일 초과")))))</x:f>
        <x:v>90일 초과</x:v>
      </x:c>
      <x:c r="J29" s="105" t="str"/>
    </x:row>
    <x:row r="30">
      <x:c r="A30" s="79" t="str">
        <x:v>INV-0025</x:v>
      </x:c>
      <x:c r="B30" s="127" t="n">
        <x:v>46125</x:v>
      </x:c>
      <x:c r="C30" s="62" t="str">
        <x:v>거래처02</x:v>
      </x:c>
      <x:c r="D30" s="99" t="n">
        <x:v>3140000</x:v>
      </x:c>
      <x:c r="E30" s="141" t="n">
        <x:v>46170</x:v>
      </x:c>
      <x:c r="F30" s="142" t="n">
        <x:f>SUMIF('입금내역'!$B$6:$B$85,A30,'입금내역'!$D$6:$D$85)</x:f>
        <x:v>810000</x:v>
      </x:c>
      <x:c r="G30" s="143" t="n">
        <x:f>D30-F30</x:f>
        <x:v>2330000</x:v>
      </x:c>
      <x:c r="H30" s="159" t="n">
        <x:f>MAX(0,'설정'!$B$6-E30)</x:f>
        <x:v>95</x:v>
      </x:c>
      <x:c r="I30" s="114" t="str">
        <x:f>IF(G30=0,"회수완료",IF(H30=0,"정상",IF(H30&lt;=30,"1~30일",IF(H30&lt;=60,"31~60일",IF(H30&lt;=90,"61~90일","90일 초과")))))</x:f>
        <x:v>90일 초과</x:v>
      </x:c>
      <x:c r="J30" s="105" t="str"/>
    </x:row>
    <x:row r="31">
      <x:c r="A31" s="79" t="str">
        <x:v>INV-0026</x:v>
      </x:c>
      <x:c r="B31" s="127" t="n">
        <x:v>46129</x:v>
      </x:c>
      <x:c r="C31" s="62" t="str">
        <x:v>거래처03</x:v>
      </x:c>
      <x:c r="D31" s="99" t="n">
        <x:v>2440000</x:v>
      </x:c>
      <x:c r="E31" s="141" t="n">
        <x:v>46189</x:v>
      </x:c>
      <x:c r="F31" s="142" t="n">
        <x:f>SUMIF('입금내역'!$B$6:$B$85,A31,'입금내역'!$D$6:$D$85)</x:f>
        <x:v>710000</x:v>
      </x:c>
      <x:c r="G31" s="143" t="n">
        <x:f>D31-F31</x:f>
        <x:v>1730000</x:v>
      </x:c>
      <x:c r="H31" s="159" t="n">
        <x:f>MAX(0,'설정'!$B$6-E31)</x:f>
        <x:v>76</x:v>
      </x:c>
      <x:c r="I31" s="114" t="str">
        <x:f>IF(G31=0,"회수완료",IF(H31=0,"정상",IF(H31&lt;=30,"1~30일",IF(H31&lt;=60,"31~60일",IF(H31&lt;=90,"61~90일","90일 초과")))))</x:f>
        <x:v>61~90일</x:v>
      </x:c>
      <x:c r="J31" s="105" t="str"/>
    </x:row>
    <x:row r="32">
      <x:c r="A32" s="79" t="str">
        <x:v>INV-0027</x:v>
      </x:c>
      <x:c r="B32" s="127" t="n">
        <x:v>46133</x:v>
      </x:c>
      <x:c r="C32" s="62" t="str">
        <x:v>거래처04</x:v>
      </x:c>
      <x:c r="D32" s="99" t="n">
        <x:v>1310000</x:v>
      </x:c>
      <x:c r="E32" s="141" t="n">
        <x:v>46163</x:v>
      </x:c>
      <x:c r="F32" s="142" t="n">
        <x:f>SUMIF('입금내역'!$B$6:$B$85,A32,'입금내역'!$D$6:$D$85)</x:f>
        <x:v>1270000</x:v>
      </x:c>
      <x:c r="G32" s="143" t="n">
        <x:f>D32-F32</x:f>
        <x:v>40000</x:v>
      </x:c>
      <x:c r="H32" s="159" t="n">
        <x:f>MAX(0,'설정'!$B$6-E32)</x:f>
        <x:v>102</x:v>
      </x:c>
      <x:c r="I32" s="114" t="str">
        <x:f>IF(G32=0,"회수완료",IF(H32=0,"정상",IF(H32&lt;=30,"1~30일",IF(H32&lt;=60,"31~60일",IF(H32&lt;=90,"61~90일","90일 초과")))))</x:f>
        <x:v>90일 초과</x:v>
      </x:c>
      <x:c r="J32" s="105" t="str"/>
    </x:row>
    <x:row r="33">
      <x:c r="A33" s="79" t="str">
        <x:v>INV-0028</x:v>
      </x:c>
      <x:c r="B33" s="127" t="n">
        <x:v>46137</x:v>
      </x:c>
      <x:c r="C33" s="62" t="str">
        <x:v>거래처05</x:v>
      </x:c>
      <x:c r="D33" s="99" t="n">
        <x:v>1640000</x:v>
      </x:c>
      <x:c r="E33" s="141" t="n">
        <x:v>46182</x:v>
      </x:c>
      <x:c r="F33" s="142" t="n">
        <x:f>SUMIF('입금내역'!$B$6:$B$85,A33,'입금내역'!$D$6:$D$85)</x:f>
        <x:v>620000</x:v>
      </x:c>
      <x:c r="G33" s="143" t="n">
        <x:f>D33-F33</x:f>
        <x:v>1020000</x:v>
      </x:c>
      <x:c r="H33" s="159" t="n">
        <x:f>MAX(0,'설정'!$B$6-E33)</x:f>
        <x:v>83</x:v>
      </x:c>
      <x:c r="I33" s="114" t="str">
        <x:f>IF(G33=0,"회수완료",IF(H33=0,"정상",IF(H33&lt;=30,"1~30일",IF(H33&lt;=60,"31~60일",IF(H33&lt;=90,"61~90일","90일 초과")))))</x:f>
        <x:v>61~90일</x:v>
      </x:c>
      <x:c r="J33" s="105" t="str"/>
    </x:row>
    <x:row r="34">
      <x:c r="A34" s="79" t="str">
        <x:v>INV-0029</x:v>
      </x:c>
      <x:c r="B34" s="127" t="n">
        <x:v>46141</x:v>
      </x:c>
      <x:c r="C34" s="62" t="str">
        <x:v>거래처06</x:v>
      </x:c>
      <x:c r="D34" s="99" t="n">
        <x:v>2170000</x:v>
      </x:c>
      <x:c r="E34" s="141" t="n">
        <x:v>46201</x:v>
      </x:c>
      <x:c r="F34" s="142" t="n">
        <x:f>SUMIF('입금내역'!$B$6:$B$85,A34,'입금내역'!$D$6:$D$85)</x:f>
        <x:v>880000</x:v>
      </x:c>
      <x:c r="G34" s="143" t="n">
        <x:f>D34-F34</x:f>
        <x:v>1290000</x:v>
      </x:c>
      <x:c r="H34" s="159" t="n">
        <x:f>MAX(0,'설정'!$B$6-E34)</x:f>
        <x:v>64</x:v>
      </x:c>
      <x:c r="I34" s="114" t="str">
        <x:f>IF(G34=0,"회수완료",IF(H34=0,"정상",IF(H34&lt;=30,"1~30일",IF(H34&lt;=60,"31~60일",IF(H34&lt;=90,"61~90일","90일 초과")))))</x:f>
        <x:v>61~90일</x:v>
      </x:c>
      <x:c r="J34" s="105" t="str"/>
    </x:row>
    <x:row r="35">
      <x:c r="A35" s="79" t="str">
        <x:v>INV-0030</x:v>
      </x:c>
      <x:c r="B35" s="127" t="n">
        <x:v>46145</x:v>
      </x:c>
      <x:c r="C35" s="62" t="str">
        <x:v>거래처07</x:v>
      </x:c>
      <x:c r="D35" s="99" t="n">
        <x:v>2420000</x:v>
      </x:c>
      <x:c r="E35" s="141" t="n">
        <x:v>46175</x:v>
      </x:c>
      <x:c r="F35" s="142" t="n">
        <x:f>SUMIF('입금내역'!$B$6:$B$85,A35,'입금내역'!$D$6:$D$85)</x:f>
        <x:v>510000</x:v>
      </x:c>
      <x:c r="G35" s="143" t="n">
        <x:f>D35-F35</x:f>
        <x:v>1910000</x:v>
      </x:c>
      <x:c r="H35" s="159" t="n">
        <x:f>MAX(0,'설정'!$B$6-E35)</x:f>
        <x:v>90</x:v>
      </x:c>
      <x:c r="I35" s="114" t="str">
        <x:f>IF(G35=0,"회수완료",IF(H35=0,"정상",IF(H35&lt;=30,"1~30일",IF(H35&lt;=60,"31~60일",IF(H35&lt;=90,"61~90일","90일 초과")))))</x:f>
        <x:v>61~90일</x:v>
      </x:c>
      <x:c r="J35" s="105" t="str"/>
    </x:row>
    <x:row r="36">
      <x:c r="A36" s="79" t="str">
        <x:v>INV-0031</x:v>
      </x:c>
      <x:c r="B36" s="127" t="n">
        <x:v>46149</x:v>
      </x:c>
      <x:c r="C36" s="62" t="str">
        <x:v>거래처08</x:v>
      </x:c>
      <x:c r="D36" s="99" t="n">
        <x:v>3450000</x:v>
      </x:c>
      <x:c r="E36" s="141" t="n">
        <x:v>46194</x:v>
      </x:c>
      <x:c r="F36" s="142" t="n">
        <x:f>SUMIF('입금내역'!$B$6:$B$85,A36,'입금내역'!$D$6:$D$85)</x:f>
        <x:v>470000</x:v>
      </x:c>
      <x:c r="G36" s="143" t="n">
        <x:f>D36-F36</x:f>
        <x:v>2980000</x:v>
      </x:c>
      <x:c r="H36" s="159" t="n">
        <x:f>MAX(0,'설정'!$B$6-E36)</x:f>
        <x:v>71</x:v>
      </x:c>
      <x:c r="I36" s="114" t="str">
        <x:f>IF(H36&gt;90,"90일 초과","정상")</x:f>
        <x:v>정상</x:v>
      </x:c>
      <x:c r="J36" s="105" t="str"/>
    </x:row>
    <x:row r="37">
      <x:c r="A37" s="79" t="str">
        <x:v>INV-0032</x:v>
      </x:c>
      <x:c r="B37" s="127" t="n">
        <x:v>46153</x:v>
      </x:c>
      <x:c r="C37" s="62" t="str">
        <x:v>거래처09</x:v>
      </x:c>
      <x:c r="D37" s="99" t="n">
        <x:v>2830000</x:v>
      </x:c>
      <x:c r="E37" s="141" t="n">
        <x:v>46213</x:v>
      </x:c>
      <x:c r="F37" s="142" t="n">
        <x:f>SUMIF('입금내역'!$B$6:$B$85,A37,'입금내역'!$D$6:$D$85)</x:f>
        <x:v>230000</x:v>
      </x:c>
      <x:c r="G37" s="143" t="n">
        <x:f>D37-F37</x:f>
        <x:v>2600000</x:v>
      </x:c>
      <x:c r="H37" s="159" t="n">
        <x:f>MAX(0,'설정'!$B$6-E37)</x:f>
        <x:v>52</x:v>
      </x:c>
      <x:c r="I37" s="114" t="str">
        <x:f>IF(G37=0,"회수완료",IF(H37=0,"정상",IF(H37&lt;=30,"1~30일",IF(H37&lt;=60,"31~60일",IF(H37&lt;=90,"61~90일","90일 초과")))))</x:f>
        <x:v>31~60일</x:v>
      </x:c>
      <x:c r="J37" s="105" t="str"/>
    </x:row>
    <x:row r="38">
      <x:c r="A38" s="79" t="str">
        <x:v>INV-0033</x:v>
      </x:c>
      <x:c r="B38" s="127" t="n">
        <x:v>46157</x:v>
      </x:c>
      <x:c r="C38" s="62" t="str">
        <x:v>거래처10</x:v>
      </x:c>
      <x:c r="D38" s="99" t="n">
        <x:v>3060000</x:v>
      </x:c>
      <x:c r="E38" s="141" t="n">
        <x:v>46187</x:v>
      </x:c>
      <x:c r="F38" s="142" t="n">
        <x:f>SUMIF('입금내역'!$B$6:$B$85,A38,'입금내역'!$D$6:$D$85)</x:f>
        <x:v>410000</x:v>
      </x:c>
      <x:c r="G38" s="143" t="n">
        <x:f>D38-F38</x:f>
        <x:v>2650000</x:v>
      </x:c>
      <x:c r="H38" s="159" t="n">
        <x:f>MAX(0,'설정'!$B$6-E38)</x:f>
        <x:v>78</x:v>
      </x:c>
      <x:c r="I38" s="114" t="str">
        <x:f>IF(G38=0,"회수완료",IF(H38=0,"정상",IF(H38&lt;=30,"1~30일",IF(H38&lt;=60,"31~60일",IF(H38&lt;=90,"61~90일","90일 초과")))))</x:f>
        <x:v>61~90일</x:v>
      </x:c>
      <x:c r="J38" s="105" t="str"/>
    </x:row>
    <x:row r="39">
      <x:c r="A39" s="79" t="str">
        <x:v>INV-0034</x:v>
      </x:c>
      <x:c r="B39" s="127" t="n">
        <x:v>46161</x:v>
      </x:c>
      <x:c r="C39" s="62" t="str">
        <x:v>거래처11</x:v>
      </x:c>
      <x:c r="D39" s="99" t="n">
        <x:v>1280000</x:v>
      </x:c>
      <x:c r="E39" s="141" t="n">
        <x:v>46206</x:v>
      </x:c>
      <x:c r="F39" s="142" t="n">
        <x:f>SUMIF('입금내역'!$B$6:$B$85,A39,'입금내역'!$D$6:$D$85)</x:f>
        <x:v>770000</x:v>
      </x:c>
      <x:c r="G39" s="143" t="n">
        <x:f>D39-F39</x:f>
        <x:v>510000</x:v>
      </x:c>
      <x:c r="H39" s="159" t="n">
        <x:f>MAX(0,'설정'!$B$6-E39)</x:f>
        <x:v>59</x:v>
      </x:c>
      <x:c r="I39" s="114" t="str">
        <x:f>IF(G39=0,"회수완료",IF(H39=0,"정상",IF(H39&lt;=30,"1~30일",IF(H39&lt;=60,"31~60일",IF(H39&lt;=90,"61~90일","90일 초과")))))</x:f>
        <x:v>31~60일</x:v>
      </x:c>
      <x:c r="J39" s="105" t="str"/>
    </x:row>
    <x:row r="40">
      <x:c r="A40" s="79" t="str">
        <x:v>INV-0035</x:v>
      </x:c>
      <x:c r="B40" s="127" t="n">
        <x:v>46165</x:v>
      </x:c>
      <x:c r="C40" s="62" t="str">
        <x:v>거래처12</x:v>
      </x:c>
      <x:c r="D40" s="99" t="n">
        <x:v>2600000</x:v>
      </x:c>
      <x:c r="E40" s="141" t="n">
        <x:v>46225</x:v>
      </x:c>
      <x:c r="F40" s="142" t="n">
        <x:f>SUMIF('입금내역'!$B$6:$B$85,A40,'입금내역'!$D$6:$D$85)</x:f>
        <x:v>420000</x:v>
      </x:c>
      <x:c r="G40" s="143" t="n">
        <x:f>D40-F40</x:f>
        <x:v>2180000</x:v>
      </x:c>
      <x:c r="H40" s="159" t="n">
        <x:f>MAX(0,'설정'!$B$6-E40)</x:f>
        <x:v>40</x:v>
      </x:c>
      <x:c r="I40" s="114" t="str">
        <x:f>IF(G40=0,"회수완료",IF(H40=0,"정상",IF(H40&lt;=30,"1~30일",IF(H40&lt;=60,"31~60일",IF(H40&lt;=90,"61~90일","90일 초과")))))</x:f>
        <x:v>31~60일</x:v>
      </x:c>
      <x:c r="J40" s="105" t="str"/>
    </x:row>
    <x:row r="41">
      <x:c r="A41" s="79" t="str">
        <x:v>INV-0036</x:v>
      </x:c>
      <x:c r="B41" s="127" t="n">
        <x:v>46169</x:v>
      </x:c>
      <x:c r="C41" s="62" t="str">
        <x:v>거래처01</x:v>
      </x:c>
      <x:c r="D41" s="99" t="n">
        <x:v>1860000</x:v>
      </x:c>
      <x:c r="E41" s="141" t="n">
        <x:v>46199</x:v>
      </x:c>
      <x:c r="F41" s="142" t="n">
        <x:f>SUMIF('입금내역'!$B$6:$B$85,A41,'입금내역'!$D$6:$D$85)</x:f>
        <x:v>770000</x:v>
      </x:c>
      <x:c r="G41" s="143" t="n">
        <x:f>D41-F41</x:f>
        <x:v>1090000</x:v>
      </x:c>
      <x:c r="H41" s="159"/>
      <x:c r="I41" s="114" t="str">
        <x:f>IF(G41=0,"회수완료",IF(H41=0,"정상",IF(H41&lt;=30,"1~30일",IF(H41&lt;=60,"31~60일",IF(H41&lt;=90,"61~90일","90일 초과")))))</x:f>
        <x:v>정상</x:v>
      </x:c>
      <x:c r="J41" s="105" t="str"/>
    </x:row>
    <x:row r="42">
      <x:c r="A42" s="79" t="str">
        <x:v>INV-0037</x:v>
      </x:c>
      <x:c r="B42" s="127" t="n">
        <x:v>46173</x:v>
      </x:c>
      <x:c r="C42" s="62" t="str">
        <x:v>거래처02</x:v>
      </x:c>
      <x:c r="D42" s="99" t="n">
        <x:v>2290000</x:v>
      </x:c>
      <x:c r="E42" s="141" t="n">
        <x:v>46218</x:v>
      </x:c>
      <x:c r="F42" s="142" t="n">
        <x:f>SUMIF('입금내역'!$B$6:$B$85,A42,'입금내역'!$D$6:$D$85)</x:f>
        <x:v>410000</x:v>
      </x:c>
      <x:c r="G42" s="143" t="n">
        <x:f>D42-F42</x:f>
        <x:v>1880000</x:v>
      </x:c>
      <x:c r="H42" s="159" t="n">
        <x:f>MAX(0,'설정'!$B$6-E42)</x:f>
        <x:v>47</x:v>
      </x:c>
      <x:c r="I42" s="114" t="str">
        <x:f>IF(G42=0,"회수완료",IF(H42=0,"정상",IF(H42&lt;=30,"1~30일",IF(H42&lt;=60,"31~60일",IF(H42&lt;=90,"61~90일","90일 초과")))))</x:f>
        <x:v>31~60일</x:v>
      </x:c>
      <x:c r="J42" s="105" t="str"/>
    </x:row>
    <x:row r="43">
      <x:c r="A43" s="79" t="str">
        <x:v>INV-0038</x:v>
      </x:c>
      <x:c r="B43" s="127" t="n">
        <x:v>46177</x:v>
      </x:c>
      <x:c r="C43" s="62" t="str">
        <x:v>거래처03</x:v>
      </x:c>
      <x:c r="D43" s="99" t="n">
        <x:v>1700000</x:v>
      </x:c>
      <x:c r="E43" s="141" t="n">
        <x:v>46237</x:v>
      </x:c>
      <x:c r="F43" s="142" t="n">
        <x:f>SUMIF('입금내역'!$B$6:$B$85,A43,'입금내역'!$D$6:$D$85)</x:f>
        <x:v>120000</x:v>
      </x:c>
      <x:c r="G43" s="143" t="n">
        <x:f>D43-F43</x:f>
        <x:v>1580000</x:v>
      </x:c>
      <x:c r="H43" s="159" t="n">
        <x:f>MAX(0,'설정'!$B$6-E43)</x:f>
        <x:v>28</x:v>
      </x:c>
      <x:c r="I43" s="114" t="str">
        <x:f>IF(G43=0,"회수완료",IF(H43=0,"정상",IF(H43&lt;=30,"1~30일",IF(H43&lt;=60,"31~60일",IF(H43&lt;=90,"61~90일","90일 초과")))))</x:f>
        <x:v>1~30일</x:v>
      </x:c>
      <x:c r="J43" s="105" t="str"/>
    </x:row>
    <x:row r="44">
      <x:c r="A44" s="79" t="str">
        <x:v>INV-0039</x:v>
      </x:c>
      <x:c r="B44" s="127" t="n">
        <x:v>46181</x:v>
      </x:c>
      <x:c r="C44" s="62" t="str">
        <x:v>거래처04</x:v>
      </x:c>
      <x:c r="D44" s="99" t="n">
        <x:v>2130000</x:v>
      </x:c>
      <x:c r="E44" s="141" t="n">
        <x:v>46211</x:v>
      </x:c>
      <x:c r="F44" s="142" t="n">
        <x:f>SUMIF('입금내역'!$B$6:$B$85,A44,'입금내역'!$D$6:$D$85)</x:f>
        <x:v>440000</x:v>
      </x:c>
      <x:c r="G44" s="143" t="n">
        <x:f>D44-F44</x:f>
        <x:v>1690000</x:v>
      </x:c>
      <x:c r="H44" s="159" t="n">
        <x:f>MAX(0,'설정'!$B$6-E44)</x:f>
        <x:v>54</x:v>
      </x:c>
      <x:c r="I44" s="114" t="str">
        <x:f>IF(G44=0,"회수완료",IF(H44=0,"정상",IF(H44&lt;=30,"1~30일",IF(H44&lt;=60,"31~60일",IF(H44&lt;=90,"61~90일","90일 초과")))))</x:f>
        <x:v>31~60일</x:v>
      </x:c>
      <x:c r="J44" s="105" t="str"/>
    </x:row>
    <x:row r="45">
      <x:c r="A45" s="79" t="str">
        <x:v>INV-0040</x:v>
      </x:c>
      <x:c r="B45" s="127" t="n">
        <x:v>46185</x:v>
      </x:c>
      <x:c r="C45" s="62" t="str">
        <x:v>거래처05</x:v>
      </x:c>
      <x:c r="D45" s="99" t="n">
        <x:v>2740000</x:v>
      </x:c>
      <x:c r="E45" s="141" t="n">
        <x:v>46230</x:v>
      </x:c>
      <x:c r="F45" s="142" t="n">
        <x:f>SUMIF('입금내역'!$B$6:$B$85,A45,'입금내역'!$D$6:$D$85)</x:f>
        <x:v>450000</x:v>
      </x:c>
      <x:c r="G45" s="143" t="n">
        <x:f>D45-F45</x:f>
        <x:v>2290000</x:v>
      </x:c>
      <x:c r="H45" s="159" t="n">
        <x:f>MAX(0,'설정'!$B$6-E45)</x:f>
        <x:v>35</x:v>
      </x:c>
      <x:c r="I45" s="114" t="str">
        <x:f>IF(G45=0,"회수완료",IF(H45=0,"정상",IF(H45&lt;=30,"1~30일",IF(H45&lt;=60,"31~60일",IF(H45&lt;=90,"61~90일","90일 초과")))))</x:f>
        <x:v>31~60일</x:v>
      </x:c>
      <x:c r="J45" s="105" t="str"/>
    </x:row>
    <x:row r="46">
      <x:c r="A46" s="79" t="str">
        <x:v>INV-0041</x:v>
      </x:c>
      <x:c r="B46" s="127" t="n">
        <x:v>46189</x:v>
      </x:c>
      <x:c r="C46" s="62" t="str">
        <x:v>거래처06</x:v>
      </x:c>
      <x:c r="D46" s="99" t="n">
        <x:v>1140000</x:v>
      </x:c>
      <x:c r="E46" s="141" t="n">
        <x:v>46249</x:v>
      </x:c>
      <x:c r="F46" s="142" t="n">
        <x:f>SUMIF('입금내역'!$B$6:$B$85,A46,'입금내역'!$D$6:$D$85)</x:f>
        <x:v>260000</x:v>
      </x:c>
      <x:c r="G46" s="143" t="n">
        <x:f>D46-F46</x:f>
        <x:v>880000</x:v>
      </x:c>
      <x:c r="H46" s="159" t="n">
        <x:f>MAX(0,'설정'!$B$6-E46)</x:f>
        <x:v>16</x:v>
      </x:c>
      <x:c r="I46" s="114" t="str">
        <x:f>IF(G46=0,"회수완료",IF(H46=0,"정상",IF(H46&lt;=30,"1~30일",IF(H46&lt;=60,"31~60일",IF(H46&lt;=90,"61~90일","90일 초과")))))</x:f>
        <x:v>1~30일</x:v>
      </x:c>
      <x:c r="J46" s="105" t="str"/>
    </x:row>
    <x:row r="47">
      <x:c r="A47" s="79" t="str">
        <x:v>INV-0042</x:v>
      </x:c>
      <x:c r="B47" s="127" t="n">
        <x:v>46193</x:v>
      </x:c>
      <x:c r="C47" s="62" t="str">
        <x:v>거래처07</x:v>
      </x:c>
      <x:c r="D47" s="99" t="n">
        <x:v>1240000</x:v>
      </x:c>
      <x:c r="E47" s="141" t="n">
        <x:v>46223</x:v>
      </x:c>
      <x:c r="F47" s="142" t="n">
        <x:f>SUMIF('입금내역'!$B$6:$B$85,A47,'입금내역'!$D$6:$D$85)</x:f>
        <x:v>550000</x:v>
      </x:c>
      <x:c r="G47" s="143" t="n">
        <x:f>D47-F47</x:f>
        <x:v>690000</x:v>
      </x:c>
      <x:c r="H47" s="159" t="n">
        <x:f>MAX(0,'설정'!$B$6-E47)</x:f>
        <x:v>42</x:v>
      </x:c>
      <x:c r="I47" s="114" t="str">
        <x:f>IF(G47=0,"회수완료",IF(H47=0,"정상",IF(H47&lt;=30,"1~30일",IF(H47&lt;=60,"31~60일",IF(H47&lt;=90,"61~90일","90일 초과")))))</x:f>
        <x:v>31~60일</x:v>
      </x:c>
      <x:c r="J47" s="105" t="str"/>
    </x:row>
    <x:row r="48">
      <x:c r="A48" s="79" t="str">
        <x:v>INV-0043</x:v>
      </x:c>
      <x:c r="B48" s="127" t="n">
        <x:v>46197</x:v>
      </x:c>
      <x:c r="C48" s="62" t="str">
        <x:v>거래처08</x:v>
      </x:c>
      <x:c r="D48" s="99" t="n">
        <x:v>810000</x:v>
      </x:c>
      <x:c r="E48" s="141" t="n">
        <x:v>46242</x:v>
      </x:c>
      <x:c r="F48" s="142" t="n">
        <x:f>SUMIF('입금내역'!$B$6:$B$85,A48,'입금내역'!$D$6:$D$85)</x:f>
        <x:v>190000</x:v>
      </x:c>
      <x:c r="G48" s="143" t="n">
        <x:f>D48-F48</x:f>
        <x:v>620000</x:v>
      </x:c>
      <x:c r="H48" s="159" t="n">
        <x:f>MAX(0,'설정'!$B$6-E48)</x:f>
        <x:v>23</x:v>
      </x:c>
      <x:c r="I48" s="114" t="str">
        <x:f>IF(G48=0,"회수완료",IF(H48=0,"정상",IF(H48&lt;=30,"1~30일",IF(H48&lt;=60,"31~60일",IF(H48&lt;=90,"61~90일","90일 초과")))))</x:f>
        <x:v>1~30일</x:v>
      </x:c>
      <x:c r="J48" s="105" t="str"/>
    </x:row>
    <x:row r="49">
      <x:c r="A49" s="79" t="str">
        <x:v>INV-0044</x:v>
      </x:c>
      <x:c r="B49" s="127" t="n">
        <x:v>46201</x:v>
      </x:c>
      <x:c r="C49" s="62" t="str">
        <x:v>거래처09</x:v>
      </x:c>
      <x:c r="D49" s="99" t="n">
        <x:v>2300000</x:v>
      </x:c>
      <x:c r="E49" s="141" t="n">
        <x:v>46261</x:v>
      </x:c>
      <x:c r="F49" s="142" t="n">
        <x:f>SUMIF('입금내역'!$B$6:$B$85,A49,'입금내역'!$D$6:$D$85)</x:f>
        <x:v>730000</x:v>
      </x:c>
      <x:c r="G49" s="143" t="n">
        <x:f>D49-F49</x:f>
        <x:v>1570000</x:v>
      </x:c>
      <x:c r="H49" s="159" t="n">
        <x:f>MAX(0,'설정'!$B$6-E49)</x:f>
        <x:v>4</x:v>
      </x:c>
      <x:c r="I49" s="114" t="str">
        <x:f>IF(G49=0,"회수완료",IF(H49=0,"정상",IF(H49&lt;=30,"1~30일",IF(H49&lt;=60,"31~60일",IF(H49&lt;=90,"61~90일","90일 초과")))))</x:f>
        <x:v>1~30일</x:v>
      </x:c>
      <x:c r="J49" s="105" t="str"/>
    </x:row>
    <x:row r="50">
      <x:c r="A50" s="79" t="str">
        <x:v>INV-0045</x:v>
      </x:c>
      <x:c r="B50" s="127" t="n">
        <x:v>46205</x:v>
      </x:c>
      <x:c r="C50" s="62" t="str">
        <x:v>거래처10</x:v>
      </x:c>
      <x:c r="D50" s="99" t="n">
        <x:v>3180000</x:v>
      </x:c>
      <x:c r="E50" s="141" t="n">
        <x:v>46235</x:v>
      </x:c>
      <x:c r="F50" s="142" t="n">
        <x:f>SUMIF('입금내역'!$B$6:$B$85,A50,'입금내역'!$D$6:$D$85)</x:f>
        <x:v>310000</x:v>
      </x:c>
      <x:c r="G50" s="143" t="n">
        <x:f>D50-F50</x:f>
        <x:v>2870000</x:v>
      </x:c>
      <x:c r="H50" s="159" t="n">
        <x:f>MAX(0,'설정'!$B$6-E50)</x:f>
        <x:v>30</x:v>
      </x:c>
      <x:c r="I50" s="114" t="str">
        <x:f>IF(G50=0,"회수완료",IF(H50=0,"정상",IF(H50&lt;=30,"1~30일",IF(H50&lt;=60,"31~60일",IF(H50&lt;=90,"61~90일","90일 초과")))))</x:f>
        <x:v>1~30일</x:v>
      </x:c>
      <x:c r="J50" s="105" t="str"/>
    </x:row>
    <x:row r="51">
      <x:c r="A51" s="79" t="str">
        <x:v>INV-0046</x:v>
      </x:c>
      <x:c r="B51" s="127" t="n">
        <x:v>46209</x:v>
      </x:c>
      <x:c r="C51" s="62" t="str">
        <x:v>거래처11</x:v>
      </x:c>
      <x:c r="D51" s="99" t="n">
        <x:v>1040000</x:v>
      </x:c>
      <x:c r="E51" s="141" t="n">
        <x:v>46254</x:v>
      </x:c>
      <x:c r="F51" s="142" t="n">
        <x:f>SUMIF('입금내역'!$B$6:$B$85,A51,'입금내역'!$D$6:$D$85)</x:f>
        <x:v>440000</x:v>
      </x:c>
      <x:c r="G51" s="143" t="n">
        <x:f>D51-F51</x:f>
        <x:v>600000</x:v>
      </x:c>
      <x:c r="H51" s="159" t="n">
        <x:f>MAX(0,'설정'!$B$6-E51)</x:f>
        <x:v>11</x:v>
      </x:c>
      <x:c r="I51" s="114" t="str">
        <x:f>IF(G51=0,"회수완료",IF(H51=0,"정상",IF(H51&lt;=30,"1~30일",IF(H51&lt;=60,"31~60일",IF(H51&lt;=90,"61~90일","90일 초과")))))</x:f>
        <x:v>1~30일</x:v>
      </x:c>
      <x:c r="J51" s="105" t="str"/>
    </x:row>
    <x:row r="52">
      <x:c r="A52" s="79" t="str">
        <x:v>INV-0047</x:v>
      </x:c>
      <x:c r="B52" s="127" t="n">
        <x:v>46213</x:v>
      </x:c>
      <x:c r="C52" s="62" t="str">
        <x:v>거래처12</x:v>
      </x:c>
      <x:c r="D52" s="99" t="n">
        <x:v>2820000</x:v>
      </x:c>
      <x:c r="E52" s="141" t="n">
        <x:v>46273</x:v>
      </x:c>
      <x:c r="F52" s="142" t="n">
        <x:f>SUMIF('입금내역'!$B$6:$B$85,A52,'입금내역'!$D$6:$D$85)</x:f>
        <x:v>800000</x:v>
      </x:c>
      <x:c r="G52" s="143" t="n">
        <x:f>D52-F52</x:f>
        <x:v>2020000</x:v>
      </x:c>
      <x:c r="H52" s="159" t="n">
        <x:f>MAX(0,'설정'!$B$6-E52)</x:f>
        <x:v>0</x:v>
      </x:c>
      <x:c r="I52" s="114" t="str">
        <x:f>IF(G52=0,"회수완료",IF(H52=0,"정상",IF(H52&lt;=30,"1~30일",IF(H52&lt;=60,"31~60일",IF(H52&lt;=90,"61~90일","90일 초과")))))</x:f>
        <x:v>정상</x:v>
      </x:c>
      <x:c r="J52" s="105" t="str"/>
    </x:row>
    <x:row r="53">
      <x:c r="A53" s="79" t="str">
        <x:v>INV-0048</x:v>
      </x:c>
      <x:c r="B53" s="127" t="n">
        <x:v>46217</x:v>
      </x:c>
      <x:c r="C53" s="62" t="str">
        <x:v>거래처01</x:v>
      </x:c>
      <x:c r="D53" s="99" t="n">
        <x:v>2660000</x:v>
      </x:c>
      <x:c r="E53" s="141" t="n">
        <x:v>46247</x:v>
      </x:c>
      <x:c r="F53" s="142" t="n">
        <x:f>SUMIF('입금내역'!$B$6:$B$85,A53,'입금내역'!$D$6:$D$85)</x:f>
        <x:v>270000</x:v>
      </x:c>
      <x:c r="G53" s="143" t="n">
        <x:f>D53-F53</x:f>
        <x:v>2390000</x:v>
      </x:c>
      <x:c r="H53" s="159" t="n">
        <x:f>MAX(0,'설정'!$B$6-E53)</x:f>
        <x:v>18</x:v>
      </x:c>
      <x:c r="I53" s="114" t="str">
        <x:f>IF(G53=0,"회수완료",IF(H53=0,"정상",IF(H53&lt;=30,"1~30일",IF(H53&lt;=60,"31~60일",IF(H53&lt;=90,"61~90일","90일 초과")))))</x:f>
        <x:v>1~30일</x:v>
      </x:c>
      <x:c r="J53" s="105" t="str"/>
    </x:row>
    <x:row r="54">
      <x:c r="A54" s="79" t="str">
        <x:v>INV-0049</x:v>
      </x:c>
      <x:c r="B54" s="127" t="n">
        <x:v>46221</x:v>
      </x:c>
      <x:c r="C54" s="62" t="str">
        <x:v>거래처02</x:v>
      </x:c>
      <x:c r="D54" s="99" t="n">
        <x:v>2700000</x:v>
      </x:c>
      <x:c r="E54" s="141" t="n">
        <x:v>46266</x:v>
      </x:c>
      <x:c r="F54" s="142" t="n">
        <x:f>SUMIF('입금내역'!$B$6:$B$85,A54,'입금내역'!$D$6:$D$85)</x:f>
        <x:v>250000</x:v>
      </x:c>
      <x:c r="G54" s="143" t="n">
        <x:f>D54-F54</x:f>
        <x:v>2450000</x:v>
      </x:c>
      <x:c r="H54" s="159" t="n">
        <x:f>MAX(0,'설정'!$B$6-E54)</x:f>
        <x:v>0</x:v>
      </x:c>
      <x:c r="I54" s="114" t="str">
        <x:f>IF(G54=0,"회수완료",IF(H54=0,"정상",IF(H54&lt;=30,"1~30일",IF(H54&lt;=60,"31~60일",IF(H54&lt;=90,"61~90일","90일 초과")))))</x:f>
        <x:v>정상</x:v>
      </x:c>
      <x:c r="J54" s="105" t="str"/>
    </x:row>
    <x:row r="55">
      <x:c r="A55" s="81" t="str">
        <x:v>INV-0050</x:v>
      </x:c>
      <x:c r="B55" s="128" t="n">
        <x:v>46225</x:v>
      </x:c>
      <x:c r="C55" s="82" t="str">
        <x:v>거래처03</x:v>
      </x:c>
      <x:c r="D55" s="100" t="n">
        <x:v>2000000</x:v>
      </x:c>
      <x:c r="E55" s="144" t="n">
        <x:v>46285</x:v>
      </x:c>
      <x:c r="F55" s="145" t="n">
        <x:f>SUMIF('입금내역'!$B$6:$B$85,A55,'입금내역'!$D$6:$D$85)</x:f>
        <x:v>320000</x:v>
      </x:c>
      <x:c r="G55" s="146" t="n">
        <x:f>D55-F55</x:f>
        <x:v>1680000</x:v>
      </x:c>
      <x:c r="H55" s="160" t="n">
        <x:f>MAX(0,'설정'!$B$6-E55)</x:f>
        <x:v>0</x:v>
      </x:c>
      <x:c r="I55" s="117" t="str">
        <x:f>IF(G55=0,"회수완료",IF(H55=0,"정상",IF(H55&lt;=30,"1~30일",IF(H55&lt;=60,"31~60일",IF(H55&lt;=90,"61~90일","90일 초과")))))</x:f>
        <x:v>정상</x:v>
      </x:c>
      <x:c r="J55" s="106" t="str"/>
    </x:row>
    <x:row r="56">
      <x:c r="A56" s="168" t="str">
        <x:v>소계</x:v>
      </x:c>
      <x:c r="B56" s="169" t="str"/>
      <x:c r="C56" s="169" t="str"/>
      <x:c r="D56" s="170" t="n">
        <x:f>SUM(D6:D55)</x:f>
        <x:v>108200000</x:v>
      </x:c>
      <x:c r="E56" s="170" t="str"/>
      <x:c r="F56" s="170" t="n">
        <x:f>SUM(F6:F55)</x:f>
        <x:v>32250000</x:v>
      </x:c>
      <x:c r="G56" s="170" t="n">
        <x:f>SUM(G6:G55)</x:f>
        <x:v>75140000</x:v>
      </x:c>
      <x:c r="H56" s="169" t="str"/>
      <x:c r="I56" s="169" t="str"/>
      <x:c r="J56" s="171" t="str">
        <x:v>채권 소계</x:v>
      </x:c>
    </x:row>
    <x:row r="57">
      <x:c r="A57" s="184" t="str">
        <x:v>충당금 조정</x:v>
      </x:c>
      <x:c r="B57" s="185" t="str"/>
      <x:c r="C57" s="185" t="str"/>
      <x:c r="D57" s="186" t="n">
        <x:v>0</x:v>
      </x:c>
      <x:c r="E57" s="186" t="str"/>
      <x:c r="F57" s="186" t="n">
        <x:v>0</x:v>
      </x:c>
      <x:c r="G57" s="186" t="n">
        <x:v>-300000</x:v>
      </x:c>
      <x:c r="H57" s="185" t="str"/>
      <x:c r="I57" s="185" t="str"/>
      <x:c r="J57" s="187" t="str">
        <x:v>전문가 판단에 따른 수기 조정</x:v>
      </x:c>
    </x:row>
    <x:row r="58">
      <x:c r="A58" s="168" t="str">
        <x:v>합계</x:v>
      </x:c>
      <x:c r="B58" s="169" t="str"/>
      <x:c r="C58" s="169" t="str"/>
      <x:c r="D58" s="170" t="n">
        <x:f>D56+D57</x:f>
        <x:v>108200000</x:v>
      </x:c>
      <x:c r="E58" s="170" t="str"/>
      <x:c r="F58" s="170" t="n">
        <x:f>F56+F57</x:f>
        <x:v>32250000</x:v>
      </x:c>
      <x:c r="G58" s="170" t="n">
        <x:f>G56+G57</x:f>
        <x:v>74840000</x:v>
      </x:c>
      <x:c r="H58" s="169" t="str"/>
      <x:c r="I58" s="169" t="str"/>
      <x:c r="J58" s="171" t="str">
        <x:v>채권 소계+조정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</x:cols>
  <x:sheetData>
    <x:row r="1" ht="30" customHeight="1">
      <x:c r="A1" s="5" t="str">
        <x:v>채권 연령 분석</x:v>
      </x:c>
      <x:c r="B1" s="5"/>
      <x:c r="C1" s="5"/>
      <x:c r="D1" s="5"/>
      <x:c r="E1" s="5"/>
      <x:c r="F1" s="5"/>
      <x:c r="G1" s="5"/>
    </x:row>
    <x:row r="2" ht="24" customHeight="1">
      <x:c r="A2" s="12" t="str">
        <x:v>거래처별 채권 잔액을 연령구간으로 집계합니다.</x:v>
      </x:c>
      <x:c r="B2" s="12"/>
      <x:c r="C2" s="12"/>
      <x:c r="D2" s="12"/>
      <x:c r="E2" s="12"/>
      <x:c r="F2" s="12"/>
      <x:c r="G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</x:row>
    <x:row r="5" ht="28" customHeight="1">
      <x:c r="A5" s="30" t="str">
        <x:v>거래처</x:v>
      </x:c>
      <x:c r="B5" s="71" t="str">
        <x:v>정상</x:v>
      </x:c>
      <x:c r="C5" s="71" t="str">
        <x:v>1~30일</x:v>
      </x:c>
      <x:c r="D5" s="71" t="str">
        <x:v>31~60일</x:v>
      </x:c>
      <x:c r="E5" s="71" t="str">
        <x:v>61~90일</x:v>
      </x:c>
      <x:c r="F5" s="71" t="str">
        <x:v>90일 초과</x:v>
      </x:c>
      <x:c r="G5" s="31" t="str">
        <x:v>총 잔액</x:v>
      </x:c>
    </x:row>
    <x:row r="6">
      <x:c r="A6" s="104" t="str">
        <x:v>거래처01</x:v>
      </x:c>
      <x:c r="B6" s="139" t="n">
        <x:f>SUMIFS('매출채권'!$G$6:$G$55,'매출채권'!$C$6:$C$55,$A6,'매출채권'!$I$6:$I$55,"정상")</x:f>
        <x:v>1090000</x:v>
      </x:c>
      <x:c r="C6" s="140" t="n">
        <x:f>SUMIFS('매출채권'!$G$6:$G$55,'매출채권'!$C$6:$C$55,$A6,'매출채권'!$I$6:$I$55,"1~30일")</x:f>
        <x:v>2390000</x:v>
      </x:c>
      <x:c r="D6" s="140" t="n">
        <x:f>SUMIFS('매출채권'!$G$6:$G$55,'매출채권'!$C$6:$C$55,$A6,'매출채권'!$I$6:$I$55,"31~60일")</x:f>
        <x:v>0</x:v>
      </x:c>
      <x:c r="E6" s="140" t="n">
        <x:f>SUMIFS('매출채권'!$G$6:$G$55,'매출채권'!$C$6:$C$55,$A6,'매출채권'!$I$6:$I$55,"61~90일")</x:f>
        <x:v>0</x:v>
      </x:c>
      <x:c r="F6" s="140" t="n">
        <x:f>SUMIFS('매출채권'!$G$6:$G$55,'매출채권'!$C$6:$C$55,$A6,'매출채권'!$I$6:$I$55,"90일 초과")</x:f>
        <x:v>2000000</x:v>
      </x:c>
      <x:c r="G6" s="196" t="n">
        <x:f>SUM(B6:F6)</x:f>
        <x:v>5480000</x:v>
      </x:c>
    </x:row>
    <x:row r="7">
      <x:c r="A7" s="105" t="str">
        <x:v>거래처02</x:v>
      </x:c>
      <x:c r="B7" s="142" t="n">
        <x:f>SUMIFS('매출채권'!$G$6:$G$55,'매출채권'!$C$6:$C$55,$A7,'매출채권'!$I$6:$I$55,"정상")</x:f>
        <x:v>2450000</x:v>
      </x:c>
      <x:c r="C7" s="143" t="n">
        <x:f>SUMIFS('매출채권'!$G$6:$G$55,'매출채권'!$C$6:$C$55,$A7,'매출채권'!$I$6:$I$55,"1~30일")</x:f>
        <x:v>0</x:v>
      </x:c>
      <x:c r="D7" s="143" t="n">
        <x:f>SUMIFS('매출채권'!$G$6:$G$55,'매출채권'!$C$6:$C$55,$A7,'매출채권'!$I$6:$I$55,"31~60일")</x:f>
        <x:v>1880000</x:v>
      </x:c>
      <x:c r="E7" s="143" t="n">
        <x:f>SUMIFS('매출채권'!$G$6:$G$55,'매출채권'!$C$6:$C$55,$A7,'매출채권'!$I$6:$I$55,"61~90일")</x:f>
        <x:v>0</x:v>
      </x:c>
      <x:c r="F7" s="143" t="n">
        <x:f>SUMIFS('매출채권'!$G$6:$G$55,'매출채권'!$C$6:$C$55,$A7,'매출채권'!$I$6:$I$55,"90일 초과")</x:f>
        <x:v>3950000</x:v>
      </x:c>
      <x:c r="G7" s="197" t="n">
        <x:f>SUM(B7:F7)</x:f>
        <x:v>8280000</x:v>
      </x:c>
    </x:row>
    <x:row r="8">
      <x:c r="A8" s="105" t="str">
        <x:v>거래처03</x:v>
      </x:c>
      <x:c r="B8" s="142" t="n">
        <x:f>SUMIFS('매출채권'!$G$6:$G$55,'매출채권'!$C$6:$C$55,$A8,'매출채권'!$I$6:$I$55,"정상")</x:f>
        <x:v>1680000</x:v>
      </x:c>
      <x:c r="C8" s="143" t="n">
        <x:f>SUMIFS('매출채권'!$G$6:$G$55,'매출채권'!$C$6:$C$55,$A8,'매출채권'!$I$6:$I$55,"1~30일")</x:f>
        <x:v>1580000</x:v>
      </x:c>
      <x:c r="D8" s="143" t="n">
        <x:f>SUMIFS('매출채권'!$G$6:$G$55,'매출채권'!$C$6:$C$55,$A8,'매출채권'!$I$6:$I$55,"31~60일")</x:f>
        <x:v>0</x:v>
      </x:c>
      <x:c r="E8" s="143" t="n">
        <x:f>SUMIFS('매출채권'!$G$6:$G$55,'매출채권'!$C$6:$C$55,$A8,'매출채권'!$I$6:$I$55,"61~90일")</x:f>
        <x:v>1730000</x:v>
      </x:c>
      <x:c r="F8" s="143" t="n">
        <x:f>SUMIFS('매출채권'!$G$6:$G$55,'매출채권'!$C$6:$C$55,$A8,'매출채권'!$I$6:$I$55,"90일 초과")</x:f>
        <x:v>2340000</x:v>
      </x:c>
      <x:c r="G8" s="197" t="n">
        <x:f>SUM(B8:F8)</x:f>
        <x:v>7330000</x:v>
      </x:c>
    </x:row>
    <x:row r="9">
      <x:c r="A9" s="105" t="str">
        <x:v>거래처04</x:v>
      </x:c>
      <x:c r="B9" s="142" t="n">
        <x:f>SUMIFS('매출채권'!$G$6:$G$55,'매출채권'!$C$6:$C$55,$A9,'매출채권'!$I$6:$I$55,"정상")</x:f>
        <x:v>0</x:v>
      </x:c>
      <x:c r="C9" s="143" t="n">
        <x:f>SUMIFS('매출채권'!$G$6:$G$55,'매출채권'!$C$6:$C$55,$A9,'매출채권'!$I$6:$I$55,"1~30일")</x:f>
        <x:v>0</x:v>
      </x:c>
      <x:c r="D9" s="143" t="n">
        <x:f>SUMIFS('매출채권'!$G$6:$G$55,'매출채권'!$C$6:$C$55,$A9,'매출채권'!$I$6:$I$55,"31~60일")</x:f>
        <x:v>1690000</x:v>
      </x:c>
      <x:c r="E9" s="143" t="n">
        <x:f>SUMIFS('매출채권'!$G$6:$G$55,'매출채권'!$C$6:$C$55,$A9,'매출채권'!$I$6:$I$55,"61~90일")</x:f>
        <x:v>0</x:v>
      </x:c>
      <x:c r="F9" s="143" t="n">
        <x:f>SUMIFS('매출채권'!$G$6:$G$55,'매출채권'!$C$6:$C$55,$A9,'매출채권'!$I$6:$I$55,"90일 초과")</x:f>
        <x:v>3140000</x:v>
      </x:c>
      <x:c r="G9" s="197" t="n">
        <x:f>SUM(B9:F9)</x:f>
        <x:v>4830000</x:v>
      </x:c>
    </x:row>
    <x:row r="10">
      <x:c r="A10" s="105" t="str">
        <x:v>거래처05</x:v>
      </x:c>
      <x:c r="B10" s="142" t="n">
        <x:f>SUMIFS('매출채권'!$G$6:$G$55,'매출채권'!$C$6:$C$55,$A10,'매출채권'!$I$6:$I$55,"정상")</x:f>
        <x:v>0</x:v>
      </x:c>
      <x:c r="C10" s="143" t="n">
        <x:f>SUMIFS('매출채권'!$G$6:$G$55,'매출채권'!$C$6:$C$55,$A10,'매출채권'!$I$6:$I$55,"1~30일")</x:f>
        <x:v>0</x:v>
      </x:c>
      <x:c r="D10" s="143" t="n">
        <x:f>SUMIFS('매출채권'!$G$6:$G$55,'매출채권'!$C$6:$C$55,$A10,'매출채권'!$I$6:$I$55,"31~60일")</x:f>
        <x:v>2290000</x:v>
      </x:c>
      <x:c r="E10" s="143" t="n">
        <x:f>SUMIFS('매출채권'!$G$6:$G$55,'매출채권'!$C$6:$C$55,$A10,'매출채권'!$I$6:$I$55,"61~90일")</x:f>
        <x:v>1020000</x:v>
      </x:c>
      <x:c r="F10" s="143" t="n">
        <x:f>SUMIFS('매출채권'!$G$6:$G$55,'매출채권'!$C$6:$C$55,$A10,'매출채권'!$I$6:$I$55,"90일 초과")</x:f>
        <x:v>4240000</x:v>
      </x:c>
      <x:c r="G10" s="197" t="n">
        <x:f>SUM(B10:F10)</x:f>
        <x:v>7550000</x:v>
      </x:c>
    </x:row>
    <x:row r="11">
      <x:c r="A11" s="105" t="str">
        <x:v>거래처06</x:v>
      </x:c>
      <x:c r="B11" s="142" t="n">
        <x:f>SUMIFS('매출채권'!$G$6:$G$55,'매출채권'!$C$6:$C$55,$A11,'매출채권'!$I$6:$I$55,"정상")</x:f>
        <x:v>0</x:v>
      </x:c>
      <x:c r="C11" s="143" t="n">
        <x:f>SUMIFS('매출채권'!$G$6:$G$55,'매출채권'!$C$6:$C$55,$A11,'매출채권'!$I$6:$I$55,"1~30일")</x:f>
        <x:v>880000</x:v>
      </x:c>
      <x:c r="D11" s="143" t="n">
        <x:f>SUMIFS('매출채권'!$G$6:$G$55,'매출채권'!$C$6:$C$55,$A11,'매출채권'!$I$6:$I$55,"31~60일")</x:f>
        <x:v>0</x:v>
      </x:c>
      <x:c r="E11" s="143" t="n">
        <x:f>SUMIFS('매출채권'!$G$6:$G$55,'매출채권'!$C$6:$C$55,$A11,'매출채권'!$I$6:$I$55,"61~90일")</x:f>
        <x:v>1290000</x:v>
      </x:c>
      <x:c r="F11" s="143" t="n">
        <x:f>SUMIFS('매출채권'!$G$6:$G$55,'매출채권'!$C$6:$C$55,$A11,'매출채권'!$I$6:$I$55,"90일 초과")</x:f>
        <x:v>4390000</x:v>
      </x:c>
      <x:c r="G11" s="197" t="n">
        <x:f>SUM(B11:F11)</x:f>
        <x:v>6560000</x:v>
      </x:c>
    </x:row>
    <x:row r="12">
      <x:c r="A12" s="105" t="str">
        <x:v>거래처07</x:v>
      </x:c>
      <x:c r="B12" s="142" t="n">
        <x:f>SUMIFS('매출채권'!$G$6:$G$55,'매출채권'!$C$6:$C$55,$A12,'매출채권'!$I$6:$I$55,"정상")</x:f>
        <x:v>0</x:v>
      </x:c>
      <x:c r="C12" s="143" t="n">
        <x:f>SUMIFS('매출채권'!$G$6:$G$55,'매출채권'!$C$6:$C$55,$A12,'매출채권'!$I$6:$I$55,"1~30일")</x:f>
        <x:v>0</x:v>
      </x:c>
      <x:c r="D12" s="143" t="n">
        <x:f>SUMIFS('매출채권'!$G$6:$G$55,'매출채권'!$C$6:$C$55,$A12,'매출채권'!$I$6:$I$55,"31~60일")</x:f>
        <x:v>690000</x:v>
      </x:c>
      <x:c r="E12" s="143" t="n">
        <x:f>SUMIFS('매출채권'!$G$6:$G$55,'매출채권'!$C$6:$C$55,$A12,'매출채권'!$I$6:$I$55,"61~90일")</x:f>
        <x:v>1910000</x:v>
      </x:c>
      <x:c r="F12" s="143" t="n">
        <x:f>SUMIFS('매출채권'!$G$6:$G$55,'매출채권'!$C$6:$C$55,$A12,'매출채권'!$I$6:$I$55,"90일 초과")</x:f>
        <x:v>920000</x:v>
      </x:c>
      <x:c r="G12" s="197" t="n">
        <x:f>SUM(B12:F12)</x:f>
        <x:v>3520000</x:v>
      </x:c>
    </x:row>
    <x:row r="13">
      <x:c r="A13" s="105" t="str">
        <x:v>거래처08</x:v>
      </x:c>
      <x:c r="B13" s="142" t="n">
        <x:f>SUMIFS('매출채권'!$G$6:$G$55,'매출채권'!$C$6:$C$55,$A13,'매출채권'!$I$6:$I$55,"정상")</x:f>
        <x:v>2980000</x:v>
      </x:c>
      <x:c r="C13" s="143" t="n">
        <x:f>SUMIFS('매출채권'!$G$6:$G$55,'매출채권'!$C$6:$C$55,$A13,'매출채권'!$I$6:$I$55,"1~30일")</x:f>
        <x:v>620000</x:v>
      </x:c>
      <x:c r="D13" s="143" t="n">
        <x:f>SUMIFS('매출채권'!$G$6:$G$55,'매출채권'!$C$6:$C$55,$A13,'매출채권'!$I$6:$I$55,"31~60일")</x:f>
        <x:v>0</x:v>
      </x:c>
      <x:c r="E13" s="143" t="n">
        <x:f>SUMIFS('매출채권'!$G$6:$G$55,'매출채권'!$C$6:$C$55,$A13,'매출채권'!$I$6:$I$55,"61~90일")</x:f>
        <x:v>0</x:v>
      </x:c>
      <x:c r="F13" s="143" t="n">
        <x:f>SUMIFS('매출채권'!$G$6:$G$55,'매출채권'!$C$6:$C$55,$A13,'매출채권'!$I$6:$I$55,"90일 초과")</x:f>
        <x:v>1260000</x:v>
      </x:c>
      <x:c r="G13" s="197" t="n">
        <x:f>SUM(B13:F13)</x:f>
        <x:v>4860000</x:v>
      </x:c>
    </x:row>
    <x:row r="14">
      <x:c r="A14" s="105" t="str">
        <x:v>거래처09</x:v>
      </x:c>
      <x:c r="B14" s="142" t="n">
        <x:f>SUMIFS('매출채권'!$G$6:$G$55,'매출채권'!$C$6:$C$55,$A14,'매출채권'!$I$6:$I$55,"정상")</x:f>
        <x:v>0</x:v>
      </x:c>
      <x:c r="C14" s="143" t="n">
        <x:f>SUMIFS('매출채권'!$G$6:$G$55,'매출채권'!$C$6:$C$55,$A14,'매출채권'!$I$6:$I$55,"1~30일")</x:f>
        <x:v>1570000</x:v>
      </x:c>
      <x:c r="D14" s="143" t="n">
        <x:f>SUMIFS('매출채권'!$G$6:$G$55,'매출채권'!$C$6:$C$55,$A14,'매출채권'!$I$6:$I$55,"31~60일")</x:f>
        <x:v>2600000</x:v>
      </x:c>
      <x:c r="E14" s="143" t="n">
        <x:f>SUMIFS('매출채권'!$G$6:$G$55,'매출채권'!$C$6:$C$55,$A14,'매출채권'!$I$6:$I$55,"61~90일")</x:f>
        <x:v>0</x:v>
      </x:c>
      <x:c r="F14" s="143" t="n">
        <x:f>SUMIFS('매출채권'!$G$6:$G$55,'매출채권'!$C$6:$C$55,$A14,'매출채권'!$I$6:$I$55,"90일 초과")</x:f>
        <x:v>3930000</x:v>
      </x:c>
      <x:c r="G14" s="197" t="n">
        <x:f>SUM(B14:F14)</x:f>
        <x:v>8100000</x:v>
      </x:c>
    </x:row>
    <x:row r="15">
      <x:c r="A15" s="105" t="str">
        <x:v>거래처10</x:v>
      </x:c>
      <x:c r="B15" s="142" t="n">
        <x:f>SUMIFS('매출채권'!$G$6:$G$55,'매출채권'!$C$6:$C$55,$A15,'매출채권'!$I$6:$I$55,"정상")</x:f>
        <x:v>0</x:v>
      </x:c>
      <x:c r="C15" s="143" t="n">
        <x:f>SUMIFS('매출채권'!$G$6:$G$55,'매출채권'!$C$6:$C$55,$A15,'매출채권'!$I$6:$I$55,"1~30일")</x:f>
        <x:v>2870000</x:v>
      </x:c>
      <x:c r="D15" s="143" t="n">
        <x:f>SUMIFS('매출채권'!$G$6:$G$55,'매출채권'!$C$6:$C$55,$A15,'매출채권'!$I$6:$I$55,"31~60일")</x:f>
        <x:v>0</x:v>
      </x:c>
      <x:c r="E15" s="143" t="n">
        <x:f>SUMIFS('매출채권'!$G$6:$G$55,'매출채권'!$C$6:$C$55,$A15,'매출채권'!$I$6:$I$55,"61~90일")</x:f>
        <x:v>2650000</x:v>
      </x:c>
      <x:c r="F15" s="143" t="n">
        <x:f>SUMIFS('매출채권'!$G$6:$G$55,'매출채권'!$C$6:$C$55,$A15,'매출채권'!$I$6:$I$55,"90일 초과")</x:f>
        <x:v>3850000</x:v>
      </x:c>
      <x:c r="G15" s="197" t="n">
        <x:f>SUM(B15:F15)</x:f>
        <x:v>9370000</x:v>
      </x:c>
    </x:row>
    <x:row r="16">
      <x:c r="A16" s="105" t="str">
        <x:v>거래처11</x:v>
      </x:c>
      <x:c r="B16" s="142" t="n">
        <x:f>SUMIFS('매출채권'!$G$6:$G$55,'매출채권'!$C$6:$C$55,$A16,'매출채권'!$I$6:$I$55,"정상")</x:f>
        <x:v>0</x:v>
      </x:c>
      <x:c r="C16" s="143" t="n">
        <x:f>SUMIFS('매출채권'!$G$6:$G$55,'매출채권'!$C$6:$C$55,$A16,'매출채권'!$I$6:$I$55,"1~30일")</x:f>
        <x:v>600000</x:v>
      </x:c>
      <x:c r="D16" s="143" t="n">
        <x:f>SUMIFS('매출채권'!$G$6:$G$55,'매출채권'!$C$6:$C$55,$A16,'매출채권'!$I$6:$I$55,"31~60일")</x:f>
        <x:v>510000</x:v>
      </x:c>
      <x:c r="E16" s="143" t="n">
        <x:f>SUMIFS('매출채권'!$G$6:$G$55,'매출채권'!$C$6:$C$55,$A16,'매출채권'!$I$6:$I$55,"61~90일")</x:f>
        <x:v>0</x:v>
      </x:c>
      <x:c r="F16" s="143" t="n">
        <x:f>SUMIFS('매출채권'!$G$6:$G$55,'매출채권'!$C$6:$C$55,$A16,'매출채권'!$I$6:$I$55,"90일 초과")</x:f>
        <x:v>1930000</x:v>
      </x:c>
      <x:c r="G16" s="197" t="n">
        <x:f>SUM(B16:F16)</x:f>
        <x:v>3040000</x:v>
      </x:c>
    </x:row>
    <x:row r="17">
      <x:c r="A17" s="106" t="str">
        <x:v>거래처12</x:v>
      </x:c>
      <x:c r="B17" s="145" t="n">
        <x:f>SUMIFS('매출채권'!$G$6:$G$55,'매출채권'!$C$6:$C$55,$A17,'매출채권'!$I$6:$I$55,"정상")</x:f>
        <x:v>2020000</x:v>
      </x:c>
      <x:c r="C17" s="146" t="n">
        <x:f>SUMIFS('매출채권'!$G$6:$G$55,'매출채권'!$C$6:$C$55,$A17,'매출채권'!$I$6:$I$55,"1~30일")</x:f>
        <x:v>0</x:v>
      </x:c>
      <x:c r="D17" s="146" t="n">
        <x:f>SUMIFS('매출채권'!$G$6:$G$55,'매출채권'!$C$6:$C$55,$A17,'매출채권'!$I$6:$I$55,"31~60일")</x:f>
        <x:v>2180000</x:v>
      </x:c>
      <x:c r="E17" s="146" t="n">
        <x:f>SUMIFS('매출채권'!$G$6:$G$55,'매출채권'!$C$6:$C$55,$A17,'매출채권'!$I$6:$I$55,"61~90일")</x:f>
        <x:v>1280000</x:v>
      </x:c>
      <x:c r="F17" s="146" t="n">
        <x:f>SUMIFS('매출채권'!$G$6:$G$55,'매출채권'!$C$6:$C$55,$A17,'매출채권'!$I$6:$I$55,"90일 초과")</x:f>
        <x:v>740000</x:v>
      </x:c>
      <x:c r="G17" s="198" t="n">
        <x:f>SUM(B17:F17)</x:f>
        <x:v>6220000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