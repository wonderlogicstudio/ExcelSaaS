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cb18fd5e6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1a597c33ee67430a"/>
    <x:sheet xmlns:r="http://schemas.openxmlformats.org/officeDocument/2006/relationships" name="01_예상탐지" sheetId="2" r:id="Re7178b6f328746be"/>
    <x:sheet xmlns:r="http://schemas.openxmlformats.org/officeDocument/2006/relationships" name="02_정상예외" sheetId="3" r:id="Rdcdc187ec25341d2"/>
    <x:sheet xmlns:r="http://schemas.openxmlformats.org/officeDocument/2006/relationships" name="03_시나리오상세" sheetId="4" r:id="R2c39d37823f54f33"/>
    <x:sheet xmlns:r="http://schemas.openxmlformats.org/officeDocument/2006/relationships" name="04_검증절차" sheetId="5" r:id="R251bc913e84d4335"/>
    <x:sheet xmlns:r="http://schemas.openxmlformats.org/officeDocument/2006/relationships" name="05_성과지표" sheetId="6" r:id="R01f7c9855ad44ccf"/>
    <x:sheet xmlns:r="http://schemas.openxmlformats.org/officeDocument/2006/relationships" name="06_수동판정로그" sheetId="7" r:id="Rdfd2abf8b8d9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E7E6E6"/>
      </x:patternFill>
    </x:fill>
  </x:fills>
  <x:borders count="36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30" xfId="0" applyNumberFormat="1" applyFont="1" applyFill="1" applyBorder="1"/>
    <x:xf numFmtId="0" fontId="4" fillId="8" borderId="31" xfId="0" applyNumberFormat="1" applyFont="1" applyFill="1" applyBorder="1"/>
    <x:xf numFmtId="0" fontId="4" fillId="8" borderId="32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33" xfId="0" applyNumberFormat="1" applyFont="1" applyFill="1" applyBorder="1"/>
    <x:xf numFmtId="0" fontId="4" fillId="8" borderId="34" xfId="0" applyNumberFormat="1" applyFont="1" applyFill="1" applyBorder="1"/>
    <x:xf numFmtId="0" fontId="4" fillId="8" borderId="35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7" xfId="0" applyNumberFormat="1" applyFont="1" applyFill="1" applyBorder="1"/>
    <x:xf numFmtId="0" fontId="0" fillId="7" borderId="28" xfId="0" applyNumberFormat="1" applyFont="1" applyFill="1" applyBorder="1"/>
    <x:xf numFmtId="0" fontId="0" fillId="7" borderId="29" xfId="0" applyNumberFormat="1" applyFont="1" applyFill="1" applyBorder="1"/>
    <x:xf numFmtId="200" fontId="0" fillId="7" borderId="25" xfId="0" applyNumberFormat="1" applyFont="1" applyFill="1" applyBorder="1"/>
    <x:xf numFmtId="200" fontId="0" fillId="7" borderId="28" xfId="0" applyNumberFormat="1" applyFont="1" applyFill="1" applyBorder="1"/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/>
    <x:xf numFmtId="201" fontId="0" fillId="6" borderId="0" xfId="0" applyNumberFormat="1" applyFont="1" applyFill="1" applyBorder="1"/>
    <x:xf numFmtId="201" fontId="0" fillId="6" borderId="14" xfId="0" applyNumberFormat="1" applyFont="1" applyFill="1" applyBorder="1"/>
  </x:cellXfs>
  <x:cellStyles count="1">
    <x:cellStyle name="Normal" xfId="0"/>
  </x:cellStyles>
  <x:dxfs count="9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CE5CD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f9bd04e3e24c19" /><Relationship Type="http://schemas.openxmlformats.org/officeDocument/2006/relationships/theme" Target="/xl/theme/theme1.xml" Id="Rbfbc045d8ce44439" /><Relationship Type="http://schemas.openxmlformats.org/officeDocument/2006/relationships/sharedStrings" Target="/xl/sharedStrings.xml" Id="R5df8e6c2f38a4b63" /><Relationship Type="http://schemas.openxmlformats.org/officeDocument/2006/relationships/worksheet" Target="/xl/worksheets/sheet1.xml" Id="R1a597c33ee67430a" /><Relationship Type="http://schemas.openxmlformats.org/officeDocument/2006/relationships/worksheet" Target="/xl/worksheets/sheet2.xml" Id="Re7178b6f328746be" /><Relationship Type="http://schemas.openxmlformats.org/officeDocument/2006/relationships/worksheet" Target="/xl/worksheets/sheet3.xml" Id="Rdcdc187ec25341d2" /><Relationship Type="http://schemas.openxmlformats.org/officeDocument/2006/relationships/worksheet" Target="/xl/worksheets/sheet4.xml" Id="R2c39d37823f54f33" /><Relationship Type="http://schemas.openxmlformats.org/officeDocument/2006/relationships/worksheet" Target="/xl/worksheets/sheet5.xml" Id="R251bc913e84d4335" /><Relationship Type="http://schemas.openxmlformats.org/officeDocument/2006/relationships/worksheet" Target="/xl/worksheets/sheet6.xml" Id="R01f7c9855ad44ccf" /><Relationship Type="http://schemas.openxmlformats.org/officeDocument/2006/relationships/worksheet" Target="/xl/worksheets/sheet7.xml" Id="Rdfd2abf8b8d94578" /></Relationships>
</file>

<file path=xl/tables/table1.xml><?xml version="1.0" encoding="utf-8"?>
<x:table xmlns:x="http://schemas.openxmlformats.org/spreadsheetml/2006/main" id="1" name="ExpectedFindingsTable" displayName="ExpectedFindingsTable" ref="A5:Q41" headerRowCount="1" totalsRowCount="0" totalsRowShown="0">
  <x:tableColumns count="17">
    <x:tableColumn id="1" name="ID"/>
    <x:tableColumn id="2" name="샘플 파일"/>
    <x:tableColumn id="3" name="시나리오"/>
    <x:tableColumn id="4" name="Sheet"/>
    <x:tableColumn id="5" name="Cell"/>
    <x:tableColumn id="6" name="예상 결과"/>
    <x:tableColumn id="7" name="예상 Rule"/>
    <x:tableColumn id="8" name="예상 Subtype"/>
    <x:tableColumn id="9" name="중요도"/>
    <x:tableColumn id="10" name="의도적 이상"/>
    <x:tableColumn id="11" name="업무 영향"/>
    <x:tableColumn id="12" name="수동 확인 방법"/>
    <x:tableColumn id="13" name="실제 탐지"/>
    <x:tableColumn id="14" name="실제 Rule"/>
    <x:tableColumn id="15" name="전문가 판정"/>
    <x:tableColumn id="16" name="탐지 적절성"/>
    <x:tableColumn id="17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ExceptionsTable" displayName="NormalExceptionsTable" ref="A5:K41" headerRowCount="1" totalsRowCount="0" totalsRowShown="0">
  <x:tableColumns count="11">
    <x:tableColumn id="1" name="ID"/>
    <x:tableColumn id="2" name="샘플 파일"/>
    <x:tableColumn id="3" name="시나리오"/>
    <x:tableColumn id="4" name="Sheet"/>
    <x:tableColumn id="5" name="Cell/Range"/>
    <x:tableColumn id="6" name="예상 결과"/>
    <x:tableColumn id="7" name="예외 유형"/>
    <x:tableColumn id="8" name="정상 사유"/>
    <x:tableColumn id="9" name="실제 탐지"/>
    <x:tableColumn id="10" name="전문가 판정"/>
    <x:tableColumn id="11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ReviewLogTable" displayName="ManualReviewLogTable" ref="A5:L105" headerRowCount="1" totalsRowCount="0" totalsRowShown="0">
  <x:tableColumns count="12">
    <x:tableColumn id="1" name="검토ID"/>
    <x:tableColumn id="2" name="파일별칭"/>
    <x:tableColumn id="3" name="검사일"/>
    <x:tableColumn id="4" name="Scanner 버전"/>
    <x:tableColumn id="5" name="Rule Set"/>
    <x:tableColumn id="6" name="Finding Key"/>
    <x:tableColumn id="7" name="Rule Code"/>
    <x:tableColumn id="8" name="Sheet 별칭"/>
    <x:tableColumn id="9" name="Cell/Range"/>
    <x:tableColumn id="10" name="전문가 판정"/>
    <x:tableColumn id="11" name="판정 근거"/>
    <x:tableColumn id="12" name="후속 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6fd5ba8dff4f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93d8d22fb447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cfef6885c40d4de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18" hidden="0" customWidth="1"/>
    <x:col min="5" max="5" width="12" hidden="0" customWidth="1"/>
    <x:col min="6" max="6" width="12" hidden="0" customWidth="1"/>
    <x:col min="7" max="7" width="50" hidden="0" customWidth="1"/>
    <x:col min="8" max="8" width="16" hidden="0" customWidth="1"/>
  </x:cols>
  <x:sheetData>
    <x:row r="1" ht="30" customHeight="1">
      <x:c r="A1" s="5" t="str">
        <x:v>WorkbookCare M4-C 실무형 샘플 검증 가이드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10개 업무형 합성 파일의 예상 Finding·정상 예외·수동 판정·품질지표를 한곳에서 관리합니다.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3" t="str">
        <x:v>No.</x:v>
      </x:c>
      <x:c r="B5" s="34" t="str">
        <x:v>샘플 파일</x:v>
      </x:c>
      <x:c r="C5" s="34" t="str">
        <x:v>업무 시나리오</x:v>
      </x:c>
      <x:c r="D5" s="34" t="str">
        <x:v>업무 영역</x:v>
      </x:c>
      <x:c r="E5" s="34" t="str">
        <x:v>예상 탐지</x:v>
      </x:c>
      <x:c r="F5" s="34" t="str">
        <x:v>정상 예외</x:v>
      </x:c>
      <x:c r="G5" s="34" t="str">
        <x:v>핵심 검증 목적</x:v>
      </x:c>
      <x:c r="H5" s="35" t="str">
        <x:v>검증 상태</x:v>
      </x:c>
    </x:row>
    <x:row r="6">
      <x:c r="A6" s="51" t="n">
        <x:v>1</x:v>
      </x:c>
      <x:c r="B6" s="52" t="str">
        <x:v>01_월간매출_관리.xlsx</x:v>
      </x:c>
      <x:c r="C6" s="52" t="str">
        <x:v>월간 매출·부가세 관리</x:v>
      </x:c>
      <x:c r="D6" s="53" t="str">
        <x:v>영업/매출</x:v>
      </x:c>
      <x:c r="E6" s="69" t="n">
        <x:v>4</x:v>
      </x:c>
      <x:c r="F6" s="70" t="n">
        <x:v>3</x:v>
      </x:c>
      <x:c r="G6" s="71" t="str">
        <x:v>함수·상대참조 이탈과 상수/빈 셀 후보 탐지</x:v>
      </x:c>
      <x:c r="H6" s="86" t="str">
        <x:v>미실행</x:v>
      </x:c>
    </x:row>
    <x:row r="7">
      <x:c r="A7" s="54" t="n">
        <x:v>2</x:v>
      </x:c>
      <x:c r="B7" s="50" t="str">
        <x:v>02_재고수불_관리.xlsx</x:v>
      </x:c>
      <x:c r="C7" s="50" t="str">
        <x:v>재고 수불·현재고 관리</x:v>
      </x:c>
      <x:c r="D7" s="55" t="str">
        <x:v>재고/물류</x:v>
      </x:c>
      <x:c r="E7" s="72" t="n">
        <x:v>4</x:v>
      </x:c>
      <x:c r="F7" s="68" t="n">
        <x:v>3</x:v>
      </x:c>
      <x:c r="G7" s="73" t="str">
        <x:v>조건식 이탈, 행 참조 이탈, 상수/빈 셀 탐지</x:v>
      </x:c>
      <x:c r="H7" s="87" t="str">
        <x:v>미실행</x:v>
      </x:c>
    </x:row>
    <x:row r="8">
      <x:c r="A8" s="54" t="n">
        <x:v>3</x:v>
      </x:c>
      <x:c r="B8" s="50" t="str">
        <x:v>03_미수금_채권관리.xlsx</x:v>
      </x:c>
      <x:c r="C8" s="50" t="str">
        <x:v>미수금·채권 연령 관리</x:v>
      </x:c>
      <x:c r="D8" s="55" t="str">
        <x:v>채권/수금</x:v>
      </x:c>
      <x:c r="E8" s="72" t="n">
        <x:v>4</x:v>
      </x:c>
      <x:c r="F8" s="68" t="n">
        <x:v>3</x:v>
      </x:c>
      <x:c r="G8" s="73" t="str">
        <x:v>SUMIF 기준행 이탈, 상수/빈 셀, 연령분류 함수 이탈</x:v>
      </x:c>
      <x:c r="H8" s="87" t="str">
        <x:v>미실행</x:v>
      </x:c>
    </x:row>
    <x:row r="9">
      <x:c r="A9" s="54" t="n">
        <x:v>4</x:v>
      </x:c>
      <x:c r="B9" s="50" t="str">
        <x:v>04_제품원가_계산.xlsx</x:v>
      </x:c>
      <x:c r="C9" s="50" t="str">
        <x:v>제품별 제조원가 계산</x:v>
      </x:c>
      <x:c r="D9" s="55" t="str">
        <x:v>생산/원가</x:v>
      </x:c>
      <x:c r="E9" s="72" t="n">
        <x:v>4</x:v>
      </x:c>
      <x:c r="F9" s="68" t="n">
        <x:v>4</x:v>
      </x:c>
      <x:c r="G9" s="73" t="str">
        <x:v>함수·절대참조 이탈과 상수/빈 셀, 제품 소계 예외</x:v>
      </x:c>
      <x:c r="H9" s="87" t="str">
        <x:v>미실행</x:v>
      </x:c>
    </x:row>
    <x:row r="10">
      <x:c r="A10" s="54" t="n">
        <x:v>5</x:v>
      </x:c>
      <x:c r="B10" s="50" t="str">
        <x:v>05_예산대비실적.xlsx</x:v>
      </x:c>
      <x:c r="C10" s="50" t="str">
        <x:v>부서별 예산 대비 실적</x:v>
      </x:c>
      <x:c r="D10" s="55" t="str">
        <x:v>예산/관리회계</x:v>
      </x:c>
      <x:c r="E10" s="72" t="n">
        <x:v>4</x:v>
      </x:c>
      <x:c r="F10" s="68" t="n">
        <x:v>5</x:v>
      </x:c>
      <x:c r="G10" s="73" t="str">
        <x:v>SUMIFS 기준행·차이 참조·함수 패턴 이탈, 상수 덮어쓰기</x:v>
      </x:c>
      <x:c r="H10" s="87" t="str">
        <x:v>미실행</x:v>
      </x:c>
    </x:row>
    <x:row r="11">
      <x:c r="A11" s="54" t="n">
        <x:v>6</x:v>
      </x:c>
      <x:c r="B11" s="50" t="str">
        <x:v>06_급여_초과근무.xlsx</x:v>
      </x:c>
      <x:c r="C11" s="50" t="str">
        <x:v>급여·초과근무 계산</x:v>
      </x:c>
      <x:c r="D11" s="55" t="str">
        <x:v>인사/급여</x:v>
      </x:c>
      <x:c r="E11" s="72" t="n">
        <x:v>4</x:v>
      </x:c>
      <x:c r="F11" s="68" t="n">
        <x:v>3</x:v>
      </x:c>
      <x:c r="G11" s="73" t="str">
        <x:v>행 참조 이탈, 상수/빈 셀, 실수령액 참조 이탈</x:v>
      </x:c>
      <x:c r="H11" s="87" t="str">
        <x:v>미실행</x:v>
      </x:c>
    </x:row>
    <x:row r="12">
      <x:c r="A12" s="54" t="n">
        <x:v>7</x:v>
      </x:c>
      <x:c r="B12" s="50" t="str">
        <x:v>07_프로젝트_손익관리.xlsx</x:v>
      </x:c>
      <x:c r="C12" s="50" t="str">
        <x:v>프로젝트 손익 관리</x:v>
      </x:c>
      <x:c r="D12" s="55" t="str">
        <x:v>프로젝트/손익</x:v>
      </x:c>
      <x:c r="E12" s="72" t="n">
        <x:v>4</x:v>
      </x:c>
      <x:c r="F12" s="68" t="n">
        <x:v>3</x:v>
      </x:c>
      <x:c r="G12" s="73" t="str">
        <x:v>SUMIF 기준행·손익 함수 이탈, 마진 상수, 잔여계약액 빈 셀</x:v>
      </x:c>
      <x:c r="H12" s="87" t="str">
        <x:v>미실행</x:v>
      </x:c>
    </x:row>
    <x:row r="13">
      <x:c r="A13" s="54" t="n">
        <x:v>8</x:v>
      </x:c>
      <x:c r="B13" s="50" t="str">
        <x:v>08_대출상환_스케줄.xlsx</x:v>
      </x:c>
      <x:c r="C13" s="50" t="str">
        <x:v>원리금 균등 대출 상환표</x:v>
      </x:c>
      <x:c r="D13" s="55" t="str">
        <x:v>재무/대출</x:v>
      </x:c>
      <x:c r="E13" s="72" t="n">
        <x:v>4</x:v>
      </x:c>
      <x:c r="F13" s="68" t="n">
        <x:v>2</x:v>
      </x:c>
      <x:c r="G13" s="73" t="str">
        <x:v>조건 참조·함수 패턴 이탈, 상수/빈 셀, 첫 회차 경계 예외</x:v>
      </x:c>
      <x:c r="H13" s="87" t="str">
        <x:v>미실행</x:v>
      </x:c>
    </x:row>
    <x:row r="14">
      <x:c r="A14" s="54" t="n">
        <x:v>9</x:v>
      </x:c>
      <x:c r="B14" s="50" t="str">
        <x:v>09_구독_KPI_관리.xlsx</x:v>
      </x:c>
      <x:c r="C14" s="50" t="str">
        <x:v>구독형 서비스 KPI 관리</x:v>
      </x:c>
      <x:c r="D14" s="55" t="str">
        <x:v>SaaS/구독</x:v>
      </x:c>
      <x:c r="E14" s="72" t="n">
        <x:v>4</x:v>
      </x:c>
      <x:c r="F14" s="68" t="n">
        <x:v>2</x:v>
      </x:c>
      <x:c r="G14" s="73" t="str">
        <x:v>기준월 이탈, 상수/빈 셀, 해지율 기준 이탈, 첫 달 누적식 예외</x:v>
      </x:c>
      <x:c r="H14" s="87" t="str">
        <x:v>미실행</x:v>
      </x:c>
    </x:row>
    <x:row r="15">
      <x:c r="A15" s="56" t="n">
        <x:v>10</x:v>
      </x:c>
      <x:c r="B15" s="57" t="str">
        <x:v>10_경영대시보드_정상패턴.xlsx</x:v>
      </x:c>
      <x:c r="C15" s="57" t="str">
        <x:v>경영 대시보드 정상 통제 파일</x:v>
      </x:c>
      <x:c r="D15" s="58" t="str">
        <x:v>경영관리/통제</x:v>
      </x:c>
      <x:c r="E15" s="74" t="n">
        <x:v>0</x:v>
      </x:c>
      <x:c r="F15" s="75" t="n">
        <x:v>8</x:v>
      </x:c>
      <x:c r="G15" s="76" t="str">
        <x:v>정상 반복 수식·Excel Table·소계·조정·합계에서 오탐이 없는지 확인</x:v>
      </x:c>
      <x:c r="H15" s="88" t="str">
        <x:v>미실행</x:v>
      </x:c>
    </x:row>
    <x:row r="18">
      <x:c r="A18" s="94" t="str">
        <x:v>검증 원칙</x:v>
      </x:c>
      <x:c r="B18" s="95" t="str"/>
      <x:c r="C18" s="95" t="str"/>
      <x:c r="D18" s="95" t="str"/>
      <x:c r="E18" s="95" t="str"/>
      <x:c r="F18" s="95" t="str"/>
      <x:c r="G18" s="95" t="str"/>
      <x:c r="H18" s="96" t="str"/>
    </x:row>
    <x:row r="19">
      <x:c r="A19" s="104" t="str">
        <x:v>1</x:v>
      </x:c>
      <x:c r="B19" s="108" t="str">
        <x:v>예상 탐지는 M4가 찾아야 하는 의도적 조용한 수식 이상입니다.</x:v>
      </x:c>
    </x:row>
    <x:row r="20">
      <x:c r="A20" s="104" t="str">
        <x:v>2</x:v>
      </x:c>
      <x:c r="B20" s="108" t="str">
        <x:v>정상 예외는 소계·합계·조정·경계식·정상 반복식 등 탐지되면 오탐으로 기록할 항목입니다.</x:v>
      </x:c>
    </x:row>
    <x:row r="21">
      <x:c r="A21" s="104" t="str">
        <x:v>3</x:v>
      </x:c>
      <x:c r="B21" s="108" t="str">
        <x:v>Finding은 업무 오류 확정이 아니라 사람이 확인해야 할 후보로 평가합니다.</x:v>
      </x:c>
    </x:row>
    <x:row r="22">
      <x:c r="A22" s="104" t="str">
        <x:v>4</x:v>
      </x:c>
      <x:c r="B22" s="108" t="str">
        <x:v>샘플 자체에는 이상 위치를 표시하지 않았으며, 정답은 이 가이드와 manifest에서만 관리합니다.</x:v>
      </x:c>
    </x:row>
    <x:row r="23">
      <x:c r="A23" s="104" t="str">
        <x:v>5</x:v>
      </x:c>
      <x:c r="B23" s="108" t="str">
        <x:v>실제 탐지 결과는 01_예상탐지와 02_정상예외에 입력하면 05_성과지표가 자동 계산됩니다.</x:v>
      </x:c>
    </x:row>
  </x:sheetData>
  <x:mergeCells>
    <x:mergeCell ref="A1:H1"/>
    <x:mergeCell ref="A2:H2"/>
    <x:mergeCell ref="A3:H3"/>
    <x:mergeCell ref="A18:H18"/>
  </x:mergeCells>
  <x:conditionalFormatting sqref="H6:H15">
    <x:cfRule type="expression" dxfId="0" priority="1">
      <x:formula>H6="완료"</x:formula>
    </x:cfRule>
    <x:cfRule type="expression" dxfId="1" priority="2">
      <x:formula>H6="재검토 필요"</x:formula>
    </x:cfRule>
  </x:conditionalFormatting>
  <x:dataValidations count="1">
    <x:dataValidation type="list" sqref="H6:H15">
      <x:formula1>"미실행,진행 중,완료,재검토 필요"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24" hidden="0" customWidth="1"/>
    <x:col min="4" max="4" width="18" hidden="0" customWidth="1"/>
    <x:col min="5" max="5" width="12" hidden="0" customWidth="1"/>
    <x:col min="6" max="6" width="16" hidden="0" customWidth="1"/>
    <x:col min="7" max="7" width="28" hidden="0" customWidth="1"/>
    <x:col min="8" max="8" width="28" hidden="0" customWidth="1"/>
    <x:col min="9" max="9" width="10" hidden="0" customWidth="1"/>
    <x:col min="10" max="10" width="42" hidden="0" customWidth="1"/>
    <x:col min="11" max="11" width="42" hidden="0" customWidth="1"/>
    <x:col min="12" max="12" width="36" hidden="0" customWidth="1"/>
    <x:col min="13" max="13" width="12" hidden="0" customWidth="1"/>
    <x:col min="14" max="14" width="24" hidden="0" customWidth="1"/>
    <x:col min="15" max="15" width="22" hidden="0" customWidth="1"/>
    <x:col min="16" max="16" width="18" hidden="0" customWidth="1"/>
    <x:col min="17" max="17" width="30" hidden="0" customWidth="1"/>
  </x:cols>
  <x:sheetData>
    <x:row r="1" ht="30" customHeight="1">
      <x:c r="A1" s="5" t="str">
        <x:v>예상 탐지 항목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4" customHeight="1">
      <x:c r="A2" s="12" t="str">
        <x:v>의도적으로 삽입한 수식 패턴 이상 36건과 실제 탐지 결과를 기록합니다.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5" ht="28" customHeight="1">
      <x:c r="A5" s="33" t="str">
        <x:v>ID</x:v>
      </x:c>
      <x:c r="B5" s="34" t="str">
        <x:v>샘플 파일</x:v>
      </x:c>
      <x:c r="C5" s="34" t="str">
        <x:v>시나리오</x:v>
      </x:c>
      <x:c r="D5" s="34" t="str">
        <x:v>Sheet</x:v>
      </x:c>
      <x:c r="E5" s="34" t="str">
        <x:v>Cell</x:v>
      </x:c>
      <x:c r="F5" s="34" t="str">
        <x:v>예상 결과</x:v>
      </x:c>
      <x:c r="G5" s="34" t="str">
        <x:v>예상 Rule</x:v>
      </x:c>
      <x:c r="H5" s="34" t="str">
        <x:v>예상 Subtype</x:v>
      </x:c>
      <x:c r="I5" s="34" t="str">
        <x:v>중요도</x:v>
      </x:c>
      <x:c r="J5" s="34" t="str">
        <x:v>의도적 이상</x:v>
      </x:c>
      <x:c r="K5" s="34" t="str">
        <x:v>업무 영향</x:v>
      </x:c>
      <x:c r="L5" s="34" t="str">
        <x:v>수동 확인 방법</x:v>
      </x:c>
      <x:c r="M5" s="34" t="str">
        <x:v>실제 탐지</x:v>
      </x:c>
      <x:c r="N5" s="34" t="str">
        <x:v>실제 Rule</x:v>
      </x:c>
      <x:c r="O5" s="34" t="str">
        <x:v>전문가 판정</x:v>
      </x:c>
      <x:c r="P5" s="34" t="str">
        <x:v>탐지 적절성</x:v>
      </x:c>
      <x:c r="Q5" s="35" t="str">
        <x:v>메모</x:v>
      </x:c>
    </x:row>
    <x:row r="6">
      <x:c r="A6" s="127" t="str">
        <x:v>F001</x:v>
      </x:c>
      <x:c r="B6" s="128" t="str">
        <x:v>01_월간매출_관리.xlsx</x:v>
      </x:c>
      <x:c r="C6" s="128" t="str">
        <x:v>월간 매출·부가세 관리</x:v>
      </x:c>
      <x:c r="D6" s="128" t="str">
        <x:v>판매내역</x:v>
      </x:c>
      <x:c r="E6" s="128" t="str">
        <x:v>G23</x:v>
      </x:c>
      <x:c r="F6" s="128" t="str">
        <x:v>SHOULD_DETECT</x:v>
      </x:c>
      <x:c r="G6" s="128" t="str">
        <x:v>FORMULA_PATTERN_OUTLIER</x:v>
      </x:c>
      <x:c r="H6" s="128" t="str">
        <x:v>FUNCTION_PATTERN_DRIFT</x:v>
      </x:c>
      <x:c r="I6" s="128" t="str">
        <x:v>HIGH</x:v>
      </x:c>
      <x:c r="J6" s="128" t="str">
        <x:v>공급가액 계산열에서 한 셀만 SUM 함수를 사용</x:v>
      </x:c>
      <x:c r="K6" s="128" t="str">
        <x:v>수량×단가×할인율 계산 대신 다른 계산식이 들어가 주문 금액이 왜곡될 수 있음</x:v>
      </x:c>
      <x:c r="L6" s="129" t="str">
        <x:v>G22, G24와 수식 구조를 비교</x:v>
      </x:c>
      <x:c r="M6" s="51" t="str">
        <x:v>미실행</x:v>
      </x:c>
      <x:c r="N6" s="52" t="str"/>
      <x:c r="O6" s="52" t="str">
        <x:v>미판정</x:v>
      </x:c>
      <x:c r="P6" s="52" t="str"/>
      <x:c r="Q6" s="53" t="str"/>
    </x:row>
    <x:row r="7">
      <x:c r="A7" s="130" t="str">
        <x:v>F002</x:v>
      </x:c>
      <x:c r="B7" s="131" t="str">
        <x:v>01_월간매출_관리.xlsx</x:v>
      </x:c>
      <x:c r="C7" s="131" t="str">
        <x:v>월간 매출·부가세 관리</x:v>
      </x:c>
      <x:c r="D7" s="131" t="str">
        <x:v>판매내역</x:v>
      </x:c>
      <x:c r="E7" s="131" t="str">
        <x:v>H37</x:v>
      </x:c>
      <x:c r="F7" s="131" t="str">
        <x:v>SHOULD_DETECT</x:v>
      </x:c>
      <x:c r="G7" s="131" t="str">
        <x:v>FORMULA_PATTERN_GAP</x:v>
      </x:c>
      <x:c r="H7" s="131" t="str">
        <x:v>CONSTANT_OVERRIDE_CANDIDATE</x:v>
      </x:c>
      <x:c r="I7" s="131" t="str">
        <x:v>MEDIUM</x:v>
      </x:c>
      <x:c r="J7" s="131" t="str">
        <x:v>부가세 계산열에서 한 셀만 수식 대신 상수 입력</x:v>
      </x:c>
      <x:c r="K7" s="131" t="str">
        <x:v>원천 금액이 바뀌어도 부가세가 갱신되지 않을 수 있음</x:v>
      </x:c>
      <x:c r="L7" s="132" t="str">
        <x:v>H36, H38이 G행의 10%를 계산하는지 비교</x:v>
      </x:c>
      <x:c r="M7" s="54" t="str">
        <x:v>미실행</x:v>
      </x:c>
      <x:c r="N7" s="50" t="str"/>
      <x:c r="O7" s="50" t="str">
        <x:v>미판정</x:v>
      </x:c>
      <x:c r="P7" s="50" t="str"/>
      <x:c r="Q7" s="55" t="str"/>
    </x:row>
    <x:row r="8">
      <x:c r="A8" s="130" t="str">
        <x:v>F003</x:v>
      </x:c>
      <x:c r="B8" s="131" t="str">
        <x:v>01_월간매출_관리.xlsx</x:v>
      </x:c>
      <x:c r="C8" s="131" t="str">
        <x:v>월간 매출·부가세 관리</x:v>
      </x:c>
      <x:c r="D8" s="131" t="str">
        <x:v>판매내역</x:v>
      </x:c>
      <x:c r="E8" s="131" t="str">
        <x:v>I48</x:v>
      </x:c>
      <x:c r="F8" s="131" t="str">
        <x:v>SHOULD_DETECT</x:v>
      </x:c>
      <x:c r="G8" s="131" t="str">
        <x:v>FORMULA_PATTERN_GAP</x:v>
      </x:c>
      <x:c r="H8" s="131" t="str">
        <x:v>BLANK_GAP_CANDIDATE</x:v>
      </x:c>
      <x:c r="I8" s="131" t="str">
        <x:v>HIGH</x:v>
      </x:c>
      <x:c r="J8" s="131" t="str">
        <x:v>합계 계산열의 중간 셀이 비어 있음</x:v>
      </x:c>
      <x:c r="K8" s="131" t="str">
        <x:v>해당 거래가 총액 집계에서 누락될 수 있음</x:v>
      </x:c>
      <x:c r="L8" s="132" t="str">
        <x:v>I47, I49와 비교하여 G48+H48 수식 필요 여부 확인</x:v>
      </x:c>
      <x:c r="M8" s="54" t="str">
        <x:v>미실행</x:v>
      </x:c>
      <x:c r="N8" s="50" t="str"/>
      <x:c r="O8" s="50" t="str">
        <x:v>미판정</x:v>
      </x:c>
      <x:c r="P8" s="50" t="str"/>
      <x:c r="Q8" s="55" t="str"/>
    </x:row>
    <x:row r="9">
      <x:c r="A9" s="130" t="str">
        <x:v>F004</x:v>
      </x:c>
      <x:c r="B9" s="131" t="str">
        <x:v>01_월간매출_관리.xlsx</x:v>
      </x:c>
      <x:c r="C9" s="131" t="str">
        <x:v>월간 매출·부가세 관리</x:v>
      </x:c>
      <x:c r="D9" s="131" t="str">
        <x:v>판매내역</x:v>
      </x:c>
      <x:c r="E9" s="131" t="str">
        <x:v>G52</x:v>
      </x:c>
      <x:c r="F9" s="131" t="str">
        <x:v>SHOULD_DETECT</x:v>
      </x:c>
      <x:c r="G9" s="131" t="str">
        <x:v>FORMULA_PATTERN_OUTLIER</x:v>
      </x:c>
      <x:c r="H9" s="131" t="str">
        <x:v>RELATIVE_REFERENCE_DRIFT</x:v>
      </x:c>
      <x:c r="I9" s="131" t="str">
        <x:v>HIGH</x:v>
      </x:c>
      <x:c r="J9" s="131" t="str">
        <x:v>공급가액 수식이 현재 행 수량이 아닌 이전 행 수량을 참조</x:v>
      </x:c>
      <x:c r="K9" s="131" t="str">
        <x:v>다른 주문의 수량이 사용되어 계산 결과가 조용히 왜곡될 수 있음</x:v>
      </x:c>
      <x:c r="L9" s="132" t="str">
        <x:v>G51, G53의 상대참조 구조와 비교</x:v>
      </x:c>
      <x:c r="M9" s="54" t="str">
        <x:v>미실행</x:v>
      </x:c>
      <x:c r="N9" s="50" t="str"/>
      <x:c r="O9" s="50" t="str">
        <x:v>미판정</x:v>
      </x:c>
      <x:c r="P9" s="50" t="str"/>
      <x:c r="Q9" s="55" t="str"/>
    </x:row>
    <x:row r="10">
      <x:c r="A10" s="130" t="str">
        <x:v>F005</x:v>
      </x:c>
      <x:c r="B10" s="131" t="str">
        <x:v>02_재고수불_관리.xlsx</x:v>
      </x:c>
      <x:c r="C10" s="131" t="str">
        <x:v>재고 수불·현재고 관리</x:v>
      </x:c>
      <x:c r="D10" s="131" t="str">
        <x:v>입출고</x:v>
      </x:c>
      <x:c r="E10" s="131" t="str">
        <x:v>F18</x:v>
      </x:c>
      <x:c r="F10" s="131" t="str">
        <x:v>SHOULD_DETECT</x:v>
      </x:c>
      <x:c r="G10" s="131" t="str">
        <x:v>FORMULA_PATTERN_OUTLIER</x:v>
      </x:c>
      <x:c r="H10" s="131" t="str">
        <x:v>FUNCTION_PATTERN_DRIFT</x:v>
      </x:c>
      <x:c r="I10" s="131" t="str">
        <x:v>HIGH</x:v>
      </x:c>
      <x:c r="J10" s="131" t="str">
        <x:v>입출고 금액 계산열에서 한 셀만 SUM 함수를 사용</x:v>
      </x:c>
      <x:c r="K10" s="131" t="str">
        <x:v>입고/출고 부호 로직이 사라져 재고 금액이 왜곡될 수 있음</x:v>
      </x:c>
      <x:c r="L10" s="132" t="str">
        <x:v>F17, F19의 IF 조건식과 비교</x:v>
      </x:c>
      <x:c r="M10" s="54" t="str">
        <x:v>미실행</x:v>
      </x:c>
      <x:c r="N10" s="50" t="str"/>
      <x:c r="O10" s="50" t="str">
        <x:v>미판정</x:v>
      </x:c>
      <x:c r="P10" s="50" t="str"/>
      <x:c r="Q10" s="55" t="str"/>
    </x:row>
    <x:row r="11">
      <x:c r="A11" s="130" t="str">
        <x:v>F006</x:v>
      </x:c>
      <x:c r="B11" s="131" t="str">
        <x:v>02_재고수불_관리.xlsx</x:v>
      </x:c>
      <x:c r="C11" s="131" t="str">
        <x:v>재고 수불·현재고 관리</x:v>
      </x:c>
      <x:c r="D11" s="131" t="str">
        <x:v>입출고</x:v>
      </x:c>
      <x:c r="E11" s="131" t="str">
        <x:v>F34</x:v>
      </x:c>
      <x:c r="F11" s="131" t="str">
        <x:v>SHOULD_DETECT</x:v>
      </x:c>
      <x:c r="G11" s="131" t="str">
        <x:v>FORMULA_PATTERN_GAP</x:v>
      </x:c>
      <x:c r="H11" s="131" t="str">
        <x:v>CONSTANT_OVERRIDE_CANDIDATE</x:v>
      </x:c>
      <x:c r="I11" s="131" t="str">
        <x:v>MEDIUM</x:v>
      </x:c>
      <x:c r="J11" s="131" t="str">
        <x:v>금액 계산열에서 수식 대신 상수 금액 입력</x:v>
      </x:c>
      <x:c r="K11" s="131" t="str">
        <x:v>수량·단가 변경 시 금액이 자동 갱신되지 않음</x:v>
      </x:c>
      <x:c r="L11" s="132" t="str">
        <x:v>F33, F35의 계산식 구조와 비교</x:v>
      </x:c>
      <x:c r="M11" s="54" t="str">
        <x:v>미실행</x:v>
      </x:c>
      <x:c r="N11" s="50" t="str"/>
      <x:c r="O11" s="50" t="str">
        <x:v>미판정</x:v>
      </x:c>
      <x:c r="P11" s="50" t="str"/>
      <x:c r="Q11" s="55" t="str"/>
    </x:row>
    <x:row r="12">
      <x:c r="A12" s="130" t="str">
        <x:v>F007</x:v>
      </x:c>
      <x:c r="B12" s="131" t="str">
        <x:v>02_재고수불_관리.xlsx</x:v>
      </x:c>
      <x:c r="C12" s="131" t="str">
        <x:v>재고 수불·현재고 관리</x:v>
      </x:c>
      <x:c r="D12" s="131" t="str">
        <x:v>입출고</x:v>
      </x:c>
      <x:c r="E12" s="131" t="str">
        <x:v>F55</x:v>
      </x:c>
      <x:c r="F12" s="131" t="str">
        <x:v>SHOULD_DETECT</x:v>
      </x:c>
      <x:c r="G12" s="131" t="str">
        <x:v>FORMULA_PATTERN_GAP</x:v>
      </x:c>
      <x:c r="H12" s="131" t="str">
        <x:v>BLANK_GAP_CANDIDATE</x:v>
      </x:c>
      <x:c r="I12" s="131" t="str">
        <x:v>HIGH</x:v>
      </x:c>
      <x:c r="J12" s="131" t="str">
        <x:v>금액 계산열 중간 셀이 비어 있음</x:v>
      </x:c>
      <x:c r="K12" s="131" t="str">
        <x:v>해당 이동내역의 금액이 집계에서 누락될 수 있음</x:v>
      </x:c>
      <x:c r="L12" s="132" t="str">
        <x:v>F54, F56과 비교</x:v>
      </x:c>
      <x:c r="M12" s="54" t="str">
        <x:v>미실행</x:v>
      </x:c>
      <x:c r="N12" s="50" t="str"/>
      <x:c r="O12" s="50" t="str">
        <x:v>미판정</x:v>
      </x:c>
      <x:c r="P12" s="50" t="str"/>
      <x:c r="Q12" s="55" t="str"/>
    </x:row>
    <x:row r="13">
      <x:c r="A13" s="130" t="str">
        <x:v>F008</x:v>
      </x:c>
      <x:c r="B13" s="131" t="str">
        <x:v>02_재고수불_관리.xlsx</x:v>
      </x:c>
      <x:c r="C13" s="131" t="str">
        <x:v>재고 수불·현재고 관리</x:v>
      </x:c>
      <x:c r="D13" s="131" t="str">
        <x:v>입출고</x:v>
      </x:c>
      <x:c r="E13" s="131" t="str">
        <x:v>F69</x:v>
      </x:c>
      <x:c r="F13" s="131" t="str">
        <x:v>SHOULD_DETECT</x:v>
      </x:c>
      <x:c r="G13" s="131" t="str">
        <x:v>FORMULA_PATTERN_OUTLIER</x:v>
      </x:c>
      <x:c r="H13" s="131" t="str">
        <x:v>RELATIVE_REFERENCE_DRIFT</x:v>
      </x:c>
      <x:c r="I13" s="131" t="str">
        <x:v>HIGH</x:v>
      </x:c>
      <x:c r="J13" s="131" t="str">
        <x:v>현재 행이 아닌 이전 행의 입출고 구분을 참조</x:v>
      </x:c>
      <x:c r="K13" s="131" t="str">
        <x:v>출고가 입고로 또는 입고가 출고로 계산될 수 있음</x:v>
      </x:c>
      <x:c r="L13" s="132" t="str">
        <x:v>F68, F70의 C열 참조 행과 비교</x:v>
      </x:c>
      <x:c r="M13" s="54" t="str">
        <x:v>미실행</x:v>
      </x:c>
      <x:c r="N13" s="50" t="str"/>
      <x:c r="O13" s="50" t="str">
        <x:v>미판정</x:v>
      </x:c>
      <x:c r="P13" s="50" t="str"/>
      <x:c r="Q13" s="55" t="str"/>
    </x:row>
    <x:row r="14">
      <x:c r="A14" s="130" t="str">
        <x:v>F009</x:v>
      </x:c>
      <x:c r="B14" s="131" t="str">
        <x:v>03_미수금_채권관리.xlsx</x:v>
      </x:c>
      <x:c r="C14" s="131" t="str">
        <x:v>미수금·채권 연령 관리</x:v>
      </x:c>
      <x:c r="D14" s="131" t="str">
        <x:v>매출채권</x:v>
      </x:c>
      <x:c r="E14" s="131" t="str">
        <x:v>F17</x:v>
      </x:c>
      <x:c r="F14" s="131" t="str">
        <x:v>SHOULD_DETECT</x:v>
      </x:c>
      <x:c r="G14" s="131" t="str">
        <x:v>FORMULA_PATTERN_OUTLIER</x:v>
      </x:c>
      <x:c r="H14" s="131" t="str">
        <x:v>RELATIVE_REFERENCE_DRIFT</x:v>
      </x:c>
      <x:c r="I14" s="131" t="str">
        <x:v>HIGH</x:v>
      </x:c>
      <x:c r="J14" s="131" t="str">
        <x:v>입금액 SUMIF가 현재 청구번호가 아닌 이전 행 청구번호를 기준으로 집계</x:v>
      </x:c>
      <x:c r="K14" s="131" t="str">
        <x:v>다른 청구의 입금액이 연결되어 잔액이 왜곡될 수 있음</x:v>
      </x:c>
      <x:c r="L14" s="132" t="str">
        <x:v>F16, F18의 A열 기준행과 비교</x:v>
      </x:c>
      <x:c r="M14" s="54" t="str">
        <x:v>미실행</x:v>
      </x:c>
      <x:c r="N14" s="50" t="str"/>
      <x:c r="O14" s="50" t="str">
        <x:v>미판정</x:v>
      </x:c>
      <x:c r="P14" s="50" t="str"/>
      <x:c r="Q14" s="55" t="str"/>
    </x:row>
    <x:row r="15">
      <x:c r="A15" s="130" t="str">
        <x:v>F010</x:v>
      </x:c>
      <x:c r="B15" s="131" t="str">
        <x:v>03_미수금_채권관리.xlsx</x:v>
      </x:c>
      <x:c r="C15" s="131" t="str">
        <x:v>미수금·채권 연령 관리</x:v>
      </x:c>
      <x:c r="D15" s="131" t="str">
        <x:v>매출채권</x:v>
      </x:c>
      <x:c r="E15" s="131" t="str">
        <x:v>G29</x:v>
      </x:c>
      <x:c r="F15" s="131" t="str">
        <x:v>SHOULD_DETECT</x:v>
      </x:c>
      <x:c r="G15" s="131" t="str">
        <x:v>FORMULA_PATTERN_GAP</x:v>
      </x:c>
      <x:c r="H15" s="131" t="str">
        <x:v>CONSTANT_OVERRIDE_CANDIDATE</x:v>
      </x:c>
      <x:c r="I15" s="131" t="str">
        <x:v>HIGH</x:v>
      </x:c>
      <x:c r="J15" s="131" t="str">
        <x:v>잔액 계산열에서 수식 대신 상수 입력</x:v>
      </x:c>
      <x:c r="K15" s="131" t="str">
        <x:v>청구금액이나 입금액이 바뀌어도 잔액이 갱신되지 않음</x:v>
      </x:c>
      <x:c r="L15" s="132" t="str">
        <x:v>G28, G30의 D-F 계산식과 비교</x:v>
      </x:c>
      <x:c r="M15" s="54" t="str">
        <x:v>미실행</x:v>
      </x:c>
      <x:c r="N15" s="50" t="str"/>
      <x:c r="O15" s="50" t="str">
        <x:v>미판정</x:v>
      </x:c>
      <x:c r="P15" s="50" t="str"/>
      <x:c r="Q15" s="55" t="str"/>
    </x:row>
    <x:row r="16">
      <x:c r="A16" s="130" t="str">
        <x:v>F011</x:v>
      </x:c>
      <x:c r="B16" s="131" t="str">
        <x:v>03_미수금_채권관리.xlsx</x:v>
      </x:c>
      <x:c r="C16" s="131" t="str">
        <x:v>미수금·채권 연령 관리</x:v>
      </x:c>
      <x:c r="D16" s="131" t="str">
        <x:v>매출채권</x:v>
      </x:c>
      <x:c r="E16" s="131" t="str">
        <x:v>H41</x:v>
      </x:c>
      <x:c r="F16" s="131" t="str">
        <x:v>SHOULD_DETECT</x:v>
      </x:c>
      <x:c r="G16" s="131" t="str">
        <x:v>FORMULA_PATTERN_GAP</x:v>
      </x:c>
      <x:c r="H16" s="131" t="str">
        <x:v>BLANK_GAP_CANDIDATE</x:v>
      </x:c>
      <x:c r="I16" s="131" t="str">
        <x:v>MEDIUM</x:v>
      </x:c>
      <x:c r="J16" s="131" t="str">
        <x:v>연체일수 계산열의 중간 셀이 비어 있음</x:v>
      </x:c>
      <x:c r="K16" s="131" t="str">
        <x:v>연령구간과 연체 보고에서 누락되거나 잘못 분류될 수 있음</x:v>
      </x:c>
      <x:c r="L16" s="132" t="str">
        <x:v>H40, H42의 기준일-만기일 구조와 비교</x:v>
      </x:c>
      <x:c r="M16" s="54" t="str">
        <x:v>미실행</x:v>
      </x:c>
      <x:c r="N16" s="50" t="str"/>
      <x:c r="O16" s="50" t="str">
        <x:v>미판정</x:v>
      </x:c>
      <x:c r="P16" s="50" t="str"/>
      <x:c r="Q16" s="55" t="str"/>
    </x:row>
    <x:row r="17">
      <x:c r="A17" s="130" t="str">
        <x:v>F012</x:v>
      </x:c>
      <x:c r="B17" s="131" t="str">
        <x:v>03_미수금_채권관리.xlsx</x:v>
      </x:c>
      <x:c r="C17" s="131" t="str">
        <x:v>미수금·채권 연령 관리</x:v>
      </x:c>
      <x:c r="D17" s="131" t="str">
        <x:v>매출채권</x:v>
      </x:c>
      <x:c r="E17" s="131" t="str">
        <x:v>I36</x:v>
      </x:c>
      <x:c r="F17" s="131" t="str">
        <x:v>SHOULD_DETECT</x:v>
      </x:c>
      <x:c r="G17" s="131" t="str">
        <x:v>FORMULA_PATTERN_OUTLIER</x:v>
      </x:c>
      <x:c r="H17" s="131" t="str">
        <x:v>FUNCTION_PATTERN_DRIFT</x:v>
      </x:c>
      <x:c r="I17" s="131" t="str">
        <x:v>MEDIUM</x:v>
      </x:c>
      <x:c r="J17" s="131" t="str">
        <x:v>연령구간 분류식이 주변의 다단계 구간식과 다름</x:v>
      </x:c>
      <x:c r="K17" s="131" t="str">
        <x:v>31~90일 구간이 모두 정상으로 분류될 수 있음</x:v>
      </x:c>
      <x:c r="L17" s="132" t="str">
        <x:v>I35, I37의 중첩 IF 구간과 비교</x:v>
      </x:c>
      <x:c r="M17" s="54" t="str">
        <x:v>미실행</x:v>
      </x:c>
      <x:c r="N17" s="50" t="str"/>
      <x:c r="O17" s="50" t="str">
        <x:v>미판정</x:v>
      </x:c>
      <x:c r="P17" s="50" t="str"/>
      <x:c r="Q17" s="55" t="str"/>
    </x:row>
    <x:row r="18">
      <x:c r="A18" s="130" t="str">
        <x:v>F013</x:v>
      </x:c>
      <x:c r="B18" s="131" t="str">
        <x:v>04_제품원가_계산.xlsx</x:v>
      </x:c>
      <x:c r="C18" s="131" t="str">
        <x:v>제품별 제조원가 계산</x:v>
      </x:c>
      <x:c r="D18" s="131" t="str">
        <x:v>원재료사용</x:v>
      </x:c>
      <x:c r="E18" s="131" t="str">
        <x:v>F11</x:v>
      </x:c>
      <x:c r="F18" s="131" t="str">
        <x:v>SHOULD_DETECT</x:v>
      </x:c>
      <x:c r="G18" s="131" t="str">
        <x:v>FORMULA_PATTERN_OUTLIER</x:v>
      </x:c>
      <x:c r="H18" s="131" t="str">
        <x:v>FUNCTION_PATTERN_DRIFT</x:v>
      </x:c>
      <x:c r="I18" s="131" t="str">
        <x:v>HIGH</x:v>
      </x:c>
      <x:c r="J18" s="131" t="str">
        <x:v>원재료 소요금액 열에서 한 셀만 SUM 함수를 사용</x:v>
      </x:c>
      <x:c r="K18" s="131" t="str">
        <x:v>사용량×단가×손실률이 아닌 다른 값이 계산될 수 있음</x:v>
      </x:c>
      <x:c r="L18" s="132" t="str">
        <x:v>F10, F12의 곱셈 구조와 비교</x:v>
      </x:c>
      <x:c r="M18" s="54" t="str">
        <x:v>미실행</x:v>
      </x:c>
      <x:c r="N18" s="50" t="str"/>
      <x:c r="O18" s="50" t="str">
        <x:v>미판정</x:v>
      </x:c>
      <x:c r="P18" s="50" t="str"/>
      <x:c r="Q18" s="55" t="str"/>
    </x:row>
    <x:row r="19">
      <x:c r="A19" s="130" t="str">
        <x:v>F014</x:v>
      </x:c>
      <x:c r="B19" s="131" t="str">
        <x:v>04_제품원가_계산.xlsx</x:v>
      </x:c>
      <x:c r="C19" s="131" t="str">
        <x:v>제품별 제조원가 계산</x:v>
      </x:c>
      <x:c r="D19" s="131" t="str">
        <x:v>원재료사용</x:v>
      </x:c>
      <x:c r="E19" s="131" t="str">
        <x:v>F22</x:v>
      </x:c>
      <x:c r="F19" s="131" t="str">
        <x:v>SHOULD_DETECT</x:v>
      </x:c>
      <x:c r="G19" s="131" t="str">
        <x:v>FORMULA_PATTERN_OUTLIER</x:v>
      </x:c>
      <x:c r="H19" s="131" t="str">
        <x:v>ABSOLUTE_REFERENCE_DRIFT</x:v>
      </x:c>
      <x:c r="I19" s="131" t="str">
        <x:v>MEDIUM</x:v>
      </x:c>
      <x:c r="J19" s="131" t="str">
        <x:v>사용량 참조가 한 셀만 절대참조로 고정</x:v>
      </x:c>
      <x:c r="K19" s="131" t="str">
        <x:v>행 복사·수정 시 특정 사용량만 계속 참조할 수 있음</x:v>
      </x:c>
      <x:c r="L19" s="132" t="str">
        <x:v>F21, F23의 C열 상대참조와 비교</x:v>
      </x:c>
      <x:c r="M19" s="54" t="str">
        <x:v>미실행</x:v>
      </x:c>
      <x:c r="N19" s="50" t="str"/>
      <x:c r="O19" s="50" t="str">
        <x:v>미판정</x:v>
      </x:c>
      <x:c r="P19" s="50" t="str"/>
      <x:c r="Q19" s="55" t="str"/>
    </x:row>
    <x:row r="20">
      <x:c r="A20" s="130" t="str">
        <x:v>F015</x:v>
      </x:c>
      <x:c r="B20" s="131" t="str">
        <x:v>04_제품원가_계산.xlsx</x:v>
      </x:c>
      <x:c r="C20" s="131" t="str">
        <x:v>제품별 제조원가 계산</x:v>
      </x:c>
      <x:c r="D20" s="131" t="str">
        <x:v>원재료사용</x:v>
      </x:c>
      <x:c r="E20" s="131" t="str">
        <x:v>F33</x:v>
      </x:c>
      <x:c r="F20" s="131" t="str">
        <x:v>SHOULD_DETECT</x:v>
      </x:c>
      <x:c r="G20" s="131" t="str">
        <x:v>FORMULA_PATTERN_GAP</x:v>
      </x:c>
      <x:c r="H20" s="131" t="str">
        <x:v>CONSTANT_OVERRIDE_CANDIDATE</x:v>
      </x:c>
      <x:c r="I20" s="131" t="str">
        <x:v>HIGH</x:v>
      </x:c>
      <x:c r="J20" s="131" t="str">
        <x:v>소요금액 계산열에 수식 대신 고정 금액 입력</x:v>
      </x:c>
      <x:c r="K20" s="131" t="str">
        <x:v>단가·사용량 변경이 제품원가에 반영되지 않을 수 있음</x:v>
      </x:c>
      <x:c r="L20" s="132" t="str">
        <x:v>F32, F34와 비교</x:v>
      </x:c>
      <x:c r="M20" s="54" t="str">
        <x:v>미실행</x:v>
      </x:c>
      <x:c r="N20" s="50" t="str"/>
      <x:c r="O20" s="50" t="str">
        <x:v>미판정</x:v>
      </x:c>
      <x:c r="P20" s="50" t="str"/>
      <x:c r="Q20" s="55" t="str"/>
    </x:row>
    <x:row r="21">
      <x:c r="A21" s="130" t="str">
        <x:v>F016</x:v>
      </x:c>
      <x:c r="B21" s="131" t="str">
        <x:v>04_제품원가_계산.xlsx</x:v>
      </x:c>
      <x:c r="C21" s="131" t="str">
        <x:v>제품별 제조원가 계산</x:v>
      </x:c>
      <x:c r="D21" s="131" t="str">
        <x:v>원재료사용</x:v>
      </x:c>
      <x:c r="E21" s="131" t="str">
        <x:v>F44</x:v>
      </x:c>
      <x:c r="F21" s="131" t="str">
        <x:v>SHOULD_DETECT</x:v>
      </x:c>
      <x:c r="G21" s="131" t="str">
        <x:v>FORMULA_PATTERN_GAP</x:v>
      </x:c>
      <x:c r="H21" s="131" t="str">
        <x:v>BLANK_GAP_CANDIDATE</x:v>
      </x:c>
      <x:c r="I21" s="131" t="str">
        <x:v>HIGH</x:v>
      </x:c>
      <x:c r="J21" s="131" t="str">
        <x:v>소요금액 계산열의 중간 셀이 비어 있음</x:v>
      </x:c>
      <x:c r="K21" s="131" t="str">
        <x:v>해당 원재료 비용이 제품원가에서 누락될 수 있음</x:v>
      </x:c>
      <x:c r="L21" s="132" t="str">
        <x:v>F43, F45와 비교</x:v>
      </x:c>
      <x:c r="M21" s="54" t="str">
        <x:v>미실행</x:v>
      </x:c>
      <x:c r="N21" s="50" t="str"/>
      <x:c r="O21" s="50" t="str">
        <x:v>미판정</x:v>
      </x:c>
      <x:c r="P21" s="50" t="str"/>
      <x:c r="Q21" s="55" t="str"/>
    </x:row>
    <x:row r="22">
      <x:c r="A22" s="130" t="str">
        <x:v>F017</x:v>
      </x:c>
      <x:c r="B22" s="131" t="str">
        <x:v>05_예산대비실적.xlsx</x:v>
      </x:c>
      <x:c r="C22" s="131" t="str">
        <x:v>부서별 예산 대비 실적</x:v>
      </x:c>
      <x:c r="D22" s="131" t="str">
        <x:v>부서별분석</x:v>
      </x:c>
      <x:c r="E22" s="131" t="str">
        <x:v>D12</x:v>
      </x:c>
      <x:c r="F22" s="131" t="str">
        <x:v>SHOULD_DETECT</x:v>
      </x:c>
      <x:c r="G22" s="131" t="str">
        <x:v>FORMULA_PATTERN_GAP</x:v>
      </x:c>
      <x:c r="H22" s="131" t="str">
        <x:v>CONSTANT_OVERRIDE_CANDIDATE</x:v>
      </x:c>
      <x:c r="I22" s="131" t="str">
        <x:v>HIGH</x:v>
      </x:c>
      <x:c r="J22" s="131" t="str">
        <x:v>실적 집계열에서 수식 대신 상수 입력</x:v>
      </x:c>
      <x:c r="K22" s="131" t="str">
        <x:v>원천 실적 데이터가 바뀌어도 해당 계정 실적이 갱신되지 않음</x:v>
      </x:c>
      <x:c r="L22" s="132" t="str">
        <x:v>D11, D13의 SUMIFS 구조와 비교</x:v>
      </x:c>
      <x:c r="M22" s="54" t="str">
        <x:v>미실행</x:v>
      </x:c>
      <x:c r="N22" s="50" t="str"/>
      <x:c r="O22" s="50" t="str">
        <x:v>미판정</x:v>
      </x:c>
      <x:c r="P22" s="50" t="str"/>
      <x:c r="Q22" s="55" t="str"/>
    </x:row>
    <x:row r="23">
      <x:c r="A23" s="130" t="str">
        <x:v>F018</x:v>
      </x:c>
      <x:c r="B23" s="131" t="str">
        <x:v>05_예산대비실적.xlsx</x:v>
      </x:c>
      <x:c r="C23" s="131" t="str">
        <x:v>부서별 예산 대비 실적</x:v>
      </x:c>
      <x:c r="D23" s="131" t="str">
        <x:v>부서별분석</x:v>
      </x:c>
      <x:c r="E23" s="131" t="str">
        <x:v>E25</x:v>
      </x:c>
      <x:c r="F23" s="131" t="str">
        <x:v>SHOULD_DETECT</x:v>
      </x:c>
      <x:c r="G23" s="131" t="str">
        <x:v>FORMULA_PATTERN_OUTLIER</x:v>
      </x:c>
      <x:c r="H23" s="131" t="str">
        <x:v>RELATIVE_REFERENCE_DRIFT</x:v>
      </x:c>
      <x:c r="I23" s="131" t="str">
        <x:v>HIGH</x:v>
      </x:c>
      <x:c r="J23" s="131" t="str">
        <x:v>차이 계산이 현재 행 실적이 아닌 이전 행 실적을 참조</x:v>
      </x:c>
      <x:c r="K23" s="131" t="str">
        <x:v>해당 계정의 예산 대비 차이가 다른 계정 실적으로 계산될 수 있음</x:v>
      </x:c>
      <x:c r="L23" s="132" t="str">
        <x:v>E24, E26의 D-C 참조 행과 비교</x:v>
      </x:c>
      <x:c r="M23" s="54" t="str">
        <x:v>미실행</x:v>
      </x:c>
      <x:c r="N23" s="50" t="str"/>
      <x:c r="O23" s="50" t="str">
        <x:v>미판정</x:v>
      </x:c>
      <x:c r="P23" s="50" t="str"/>
      <x:c r="Q23" s="55" t="str"/>
    </x:row>
    <x:row r="24">
      <x:c r="A24" s="130" t="str">
        <x:v>F019</x:v>
      </x:c>
      <x:c r="B24" s="131" t="str">
        <x:v>05_예산대비실적.xlsx</x:v>
      </x:c>
      <x:c r="C24" s="131" t="str">
        <x:v>부서별 예산 대비 실적</x:v>
      </x:c>
      <x:c r="D24" s="131" t="str">
        <x:v>부서별분석</x:v>
      </x:c>
      <x:c r="E24" s="131" t="str">
        <x:v>F38</x:v>
      </x:c>
      <x:c r="F24" s="131" t="str">
        <x:v>SHOULD_DETECT</x:v>
      </x:c>
      <x:c r="G24" s="131" t="str">
        <x:v>FORMULA_PATTERN_OUTLIER</x:v>
      </x:c>
      <x:c r="H24" s="131" t="str">
        <x:v>FUNCTION_PATTERN_DRIFT</x:v>
      </x:c>
      <x:c r="I24" s="131" t="str">
        <x:v>MEDIUM</x:v>
      </x:c>
      <x:c r="J24" s="131" t="str">
        <x:v>달성률 계산에서 주변의 IFERROR 보호가 한 셀만 제거됨</x:v>
      </x:c>
      <x:c r="K24" s="131" t="str">
        <x:v>예산이 0인 경우 오류가 노출될 수 있고 패턴 유지보수성이 저하됨</x:v>
      </x:c>
      <x:c r="L24" s="132" t="str">
        <x:v>F37, F39의 IFERROR 구조와 비교</x:v>
      </x:c>
      <x:c r="M24" s="54" t="str">
        <x:v>미실행</x:v>
      </x:c>
      <x:c r="N24" s="50" t="str"/>
      <x:c r="O24" s="50" t="str">
        <x:v>미판정</x:v>
      </x:c>
      <x:c r="P24" s="50" t="str"/>
      <x:c r="Q24" s="55" t="str"/>
    </x:row>
    <x:row r="25">
      <x:c r="A25" s="130" t="str">
        <x:v>F020</x:v>
      </x:c>
      <x:c r="B25" s="131" t="str">
        <x:v>05_예산대비실적.xlsx</x:v>
      </x:c>
      <x:c r="C25" s="131" t="str">
        <x:v>부서별 예산 대비 실적</x:v>
      </x:c>
      <x:c r="D25" s="131" t="str">
        <x:v>부서별분석</x:v>
      </x:c>
      <x:c r="E25" s="131" t="str">
        <x:v>C50</x:v>
      </x:c>
      <x:c r="F25" s="131" t="str">
        <x:v>SHOULD_DETECT</x:v>
      </x:c>
      <x:c r="G25" s="131" t="str">
        <x:v>FORMULA_PATTERN_OUTLIER</x:v>
      </x:c>
      <x:c r="H25" s="131" t="str">
        <x:v>RELATIVE_REFERENCE_DRIFT</x:v>
      </x:c>
      <x:c r="I25" s="131" t="str">
        <x:v>HIGH</x:v>
      </x:c>
      <x:c r="J25" s="131" t="str">
        <x:v>예산 SUMIFS가 현재 부서가 아닌 이전 행 부서를 참조</x:v>
      </x:c>
      <x:c r="K25" s="131" t="str">
        <x:v>다른 부서의 동일 계정 예산이 집계될 수 있음</x:v>
      </x:c>
      <x:c r="L25" s="132" t="str">
        <x:v>C49, C51의 A열 기준행과 비교</x:v>
      </x:c>
      <x:c r="M25" s="54" t="str">
        <x:v>미실행</x:v>
      </x:c>
      <x:c r="N25" s="50" t="str"/>
      <x:c r="O25" s="50" t="str">
        <x:v>미판정</x:v>
      </x:c>
      <x:c r="P25" s="50" t="str"/>
      <x:c r="Q25" s="55" t="str"/>
    </x:row>
    <x:row r="26">
      <x:c r="A26" s="130" t="str">
        <x:v>F021</x:v>
      </x:c>
      <x:c r="B26" s="131" t="str">
        <x:v>06_급여_초과근무.xlsx</x:v>
      </x:c>
      <x:c r="C26" s="131" t="str">
        <x:v>급여·초과근무 계산</x:v>
      </x:c>
      <x:c r="D26" s="131" t="str">
        <x:v>급여계산</x:v>
      </x:c>
      <x:c r="E26" s="131" t="str">
        <x:v>D18</x:v>
      </x:c>
      <x:c r="F26" s="131" t="str">
        <x:v>SHOULD_DETECT</x:v>
      </x:c>
      <x:c r="G26" s="131" t="str">
        <x:v>FORMULA_PATTERN_OUTLIER</x:v>
      </x:c>
      <x:c r="H26" s="131" t="str">
        <x:v>RELATIVE_REFERENCE_DRIFT</x:v>
      </x:c>
      <x:c r="I26" s="131" t="str">
        <x:v>HIGH</x:v>
      </x:c>
      <x:c r="J26" s="131" t="str">
        <x:v>시간당수당이 현재 직원 기본급이 아닌 이전 행 기본급을 참조</x:v>
      </x:c>
      <x:c r="K26" s="131" t="str">
        <x:v>다른 직원의 급여 기준으로 초과근무수당이 계산될 수 있음</x:v>
      </x:c>
      <x:c r="L26" s="132" t="str">
        <x:v>D17, D19의 B열 현재행 참조와 비교</x:v>
      </x:c>
      <x:c r="M26" s="54" t="str">
        <x:v>미실행</x:v>
      </x:c>
      <x:c r="N26" s="50" t="str"/>
      <x:c r="O26" s="50" t="str">
        <x:v>미판정</x:v>
      </x:c>
      <x:c r="P26" s="50" t="str"/>
      <x:c r="Q26" s="55" t="str"/>
    </x:row>
    <x:row r="27">
      <x:c r="A27" s="130" t="str">
        <x:v>F022</x:v>
      </x:c>
      <x:c r="B27" s="131" t="str">
        <x:v>06_급여_초과근무.xlsx</x:v>
      </x:c>
      <x:c r="C27" s="131" t="str">
        <x:v>급여·초과근무 계산</x:v>
      </x:c>
      <x:c r="D27" s="131" t="str">
        <x:v>급여계산</x:v>
      </x:c>
      <x:c r="E27" s="131" t="str">
        <x:v>E26</x:v>
      </x:c>
      <x:c r="F27" s="131" t="str">
        <x:v>SHOULD_DETECT</x:v>
      </x:c>
      <x:c r="G27" s="131" t="str">
        <x:v>FORMULA_PATTERN_GAP</x:v>
      </x:c>
      <x:c r="H27" s="131" t="str">
        <x:v>CONSTANT_OVERRIDE_CANDIDATE</x:v>
      </x:c>
      <x:c r="I27" s="131" t="str">
        <x:v>HIGH</x:v>
      </x:c>
      <x:c r="J27" s="131" t="str">
        <x:v>초과근무수당 계산열에 고정 금액 입력</x:v>
      </x:c>
      <x:c r="K27" s="131" t="str">
        <x:v>초과근무시간이나 단가 변경이 반영되지 않음</x:v>
      </x:c>
      <x:c r="L27" s="132" t="str">
        <x:v>E25, E27의 C×D 구조와 비교</x:v>
      </x:c>
      <x:c r="M27" s="54" t="str">
        <x:v>미실행</x:v>
      </x:c>
      <x:c r="N27" s="50" t="str"/>
      <x:c r="O27" s="50" t="str">
        <x:v>미판정</x:v>
      </x:c>
      <x:c r="P27" s="50" t="str"/>
      <x:c r="Q27" s="55" t="str"/>
    </x:row>
    <x:row r="28">
      <x:c r="A28" s="130" t="str">
        <x:v>F023</x:v>
      </x:c>
      <x:c r="B28" s="131" t="str">
        <x:v>06_급여_초과근무.xlsx</x:v>
      </x:c>
      <x:c r="C28" s="131" t="str">
        <x:v>급여·초과근무 계산</x:v>
      </x:c>
      <x:c r="D28" s="131" t="str">
        <x:v>급여계산</x:v>
      </x:c>
      <x:c r="E28" s="131" t="str">
        <x:v>G33</x:v>
      </x:c>
      <x:c r="F28" s="131" t="str">
        <x:v>SHOULD_DETECT</x:v>
      </x:c>
      <x:c r="G28" s="131" t="str">
        <x:v>FORMULA_PATTERN_GAP</x:v>
      </x:c>
      <x:c r="H28" s="131" t="str">
        <x:v>BLANK_GAP_CANDIDATE</x:v>
      </x:c>
      <x:c r="I28" s="131" t="str">
        <x:v>HIGH</x:v>
      </x:c>
      <x:c r="J28" s="131" t="str">
        <x:v>지급총액 계산열의 중간 셀이 비어 있음</x:v>
      </x:c>
      <x:c r="K28" s="131" t="str">
        <x:v>급여 합계와 실수령액 계산이 누락될 수 있음</x:v>
      </x:c>
      <x:c r="L28" s="132" t="str">
        <x:v>G32, G34의 기본급+수당+식대 구조와 비교</x:v>
      </x:c>
      <x:c r="M28" s="54" t="str">
        <x:v>미실행</x:v>
      </x:c>
      <x:c r="N28" s="50" t="str"/>
      <x:c r="O28" s="50" t="str">
        <x:v>미판정</x:v>
      </x:c>
      <x:c r="P28" s="50" t="str"/>
      <x:c r="Q28" s="55" t="str"/>
    </x:row>
    <x:row r="29">
      <x:c r="A29" s="130" t="str">
        <x:v>F024</x:v>
      </x:c>
      <x:c r="B29" s="131" t="str">
        <x:v>06_급여_초과근무.xlsx</x:v>
      </x:c>
      <x:c r="C29" s="131" t="str">
        <x:v>급여·초과근무 계산</x:v>
      </x:c>
      <x:c r="D29" s="131" t="str">
        <x:v>급여계산</x:v>
      </x:c>
      <x:c r="E29" s="131" t="str">
        <x:v>I44</x:v>
      </x:c>
      <x:c r="F29" s="131" t="str">
        <x:v>SHOULD_DETECT</x:v>
      </x:c>
      <x:c r="G29" s="131" t="str">
        <x:v>FORMULA_PATTERN_OUTLIER</x:v>
      </x:c>
      <x:c r="H29" s="131" t="str">
        <x:v>RELATIVE_REFERENCE_DRIFT</x:v>
      </x:c>
      <x:c r="I29" s="131" t="str">
        <x:v>HIGH</x:v>
      </x:c>
      <x:c r="J29" s="131" t="str">
        <x:v>실수령액이 현재 행 공제가 아닌 이전 행 공제를 참조</x:v>
      </x:c>
      <x:c r="K29" s="131" t="str">
        <x:v>다른 직원의 공제액이 적용될 수 있음</x:v>
      </x:c>
      <x:c r="L29" s="132" t="str">
        <x:v>I43, I45의 G-H 현재행 참조와 비교</x:v>
      </x:c>
      <x:c r="M29" s="54" t="str">
        <x:v>미실행</x:v>
      </x:c>
      <x:c r="N29" s="50" t="str"/>
      <x:c r="O29" s="50" t="str">
        <x:v>미판정</x:v>
      </x:c>
      <x:c r="P29" s="50" t="str"/>
      <x:c r="Q29" s="55" t="str"/>
    </x:row>
    <x:row r="30">
      <x:c r="A30" s="130" t="str">
        <x:v>F025</x:v>
      </x:c>
      <x:c r="B30" s="131" t="str">
        <x:v>07_프로젝트_손익관리.xlsx</x:v>
      </x:c>
      <x:c r="C30" s="131" t="str">
        <x:v>프로젝트 손익 관리</x:v>
      </x:c>
      <x:c r="D30" s="131" t="str">
        <x:v>손익분석</x:v>
      </x:c>
      <x:c r="E30" s="131" t="str">
        <x:v>C11</x:v>
      </x:c>
      <x:c r="F30" s="131" t="str">
        <x:v>SHOULD_DETECT</x:v>
      </x:c>
      <x:c r="G30" s="131" t="str">
        <x:v>FORMULA_PATTERN_OUTLIER</x:v>
      </x:c>
      <x:c r="H30" s="131" t="str">
        <x:v>RELATIVE_REFERENCE_DRIFT</x:v>
      </x:c>
      <x:c r="I30" s="131" t="str">
        <x:v>HIGH</x:v>
      </x:c>
      <x:c r="J30" s="131" t="str">
        <x:v>누적매출 SUMIF가 현재 프로젝트가 아닌 이전 행 프로젝트를 기준으로 집계</x:v>
      </x:c>
      <x:c r="K30" s="131" t="str">
        <x:v>다른 프로젝트의 매출이 연결될 수 있음</x:v>
      </x:c>
      <x:c r="L30" s="132" t="str">
        <x:v>C10, C12의 A열 기준행과 비교</x:v>
      </x:c>
      <x:c r="M30" s="54" t="str">
        <x:v>미실행</x:v>
      </x:c>
      <x:c r="N30" s="50" t="str"/>
      <x:c r="O30" s="50" t="str">
        <x:v>미판정</x:v>
      </x:c>
      <x:c r="P30" s="50" t="str"/>
      <x:c r="Q30" s="55" t="str"/>
    </x:row>
    <x:row r="31">
      <x:c r="A31" s="130" t="str">
        <x:v>F026</x:v>
      </x:c>
      <x:c r="B31" s="131" t="str">
        <x:v>07_프로젝트_손익관리.xlsx</x:v>
      </x:c>
      <x:c r="C31" s="131" t="str">
        <x:v>프로젝트 손익 관리</x:v>
      </x:c>
      <x:c r="D31" s="131" t="str">
        <x:v>손익분석</x:v>
      </x:c>
      <x:c r="E31" s="131" t="str">
        <x:v>E17</x:v>
      </x:c>
      <x:c r="F31" s="131" t="str">
        <x:v>SHOULD_DETECT</x:v>
      </x:c>
      <x:c r="G31" s="131" t="str">
        <x:v>FORMULA_PATTERN_OUTLIER</x:v>
      </x:c>
      <x:c r="H31" s="131" t="str">
        <x:v>FUNCTION_PATTERN_DRIFT</x:v>
      </x:c>
      <x:c r="I31" s="131" t="str">
        <x:v>HIGH</x:v>
      </x:c>
      <x:c r="J31" s="131" t="str">
        <x:v>매출총이익 열에서 한 셀만 매출과 비용을 더하는 SUM 사용</x:v>
      </x:c>
      <x:c r="K31" s="131" t="str">
        <x:v>비용을 차감하지 않아 이익이 과대 계산될 수 있음</x:v>
      </x:c>
      <x:c r="L31" s="132" t="str">
        <x:v>E16, E18의 C-D 구조와 비교</x:v>
      </x:c>
      <x:c r="M31" s="54" t="str">
        <x:v>미실행</x:v>
      </x:c>
      <x:c r="N31" s="50" t="str"/>
      <x:c r="O31" s="50" t="str">
        <x:v>미판정</x:v>
      </x:c>
      <x:c r="P31" s="50" t="str"/>
      <x:c r="Q31" s="55" t="str"/>
    </x:row>
    <x:row r="32">
      <x:c r="A32" s="130" t="str">
        <x:v>F027</x:v>
      </x:c>
      <x:c r="B32" s="131" t="str">
        <x:v>07_프로젝트_손익관리.xlsx</x:v>
      </x:c>
      <x:c r="C32" s="131" t="str">
        <x:v>프로젝트 손익 관리</x:v>
      </x:c>
      <x:c r="D32" s="131" t="str">
        <x:v>손익분석</x:v>
      </x:c>
      <x:c r="E32" s="131" t="str">
        <x:v>F23</x:v>
      </x:c>
      <x:c r="F32" s="131" t="str">
        <x:v>SHOULD_DETECT</x:v>
      </x:c>
      <x:c r="G32" s="131" t="str">
        <x:v>FORMULA_PATTERN_GAP</x:v>
      </x:c>
      <x:c r="H32" s="131" t="str">
        <x:v>CONSTANT_OVERRIDE_CANDIDATE</x:v>
      </x:c>
      <x:c r="I32" s="131" t="str">
        <x:v>MEDIUM</x:v>
      </x:c>
      <x:c r="J32" s="131" t="str">
        <x:v>마진율 계산열에 고정 비율 입력</x:v>
      </x:c>
      <x:c r="K32" s="131" t="str">
        <x:v>매출·이익 변동이 마진율에 반영되지 않음</x:v>
      </x:c>
      <x:c r="L32" s="132" t="str">
        <x:v>F22, F24의 IFERROR(E/C) 구조와 비교</x:v>
      </x:c>
      <x:c r="M32" s="54" t="str">
        <x:v>미실행</x:v>
      </x:c>
      <x:c r="N32" s="50" t="str"/>
      <x:c r="O32" s="50" t="str">
        <x:v>미판정</x:v>
      </x:c>
      <x:c r="P32" s="50" t="str"/>
      <x:c r="Q32" s="55" t="str"/>
    </x:row>
    <x:row r="33">
      <x:c r="A33" s="130" t="str">
        <x:v>F028</x:v>
      </x:c>
      <x:c r="B33" s="131" t="str">
        <x:v>07_프로젝트_손익관리.xlsx</x:v>
      </x:c>
      <x:c r="C33" s="131" t="str">
        <x:v>프로젝트 손익 관리</x:v>
      </x:c>
      <x:c r="D33" s="131" t="str">
        <x:v>손익분석</x:v>
      </x:c>
      <x:c r="E33" s="131" t="str">
        <x:v>G29</x:v>
      </x:c>
      <x:c r="F33" s="131" t="str">
        <x:v>SHOULD_DETECT</x:v>
      </x:c>
      <x:c r="G33" s="131" t="str">
        <x:v>FORMULA_PATTERN_GAP</x:v>
      </x:c>
      <x:c r="H33" s="131" t="str">
        <x:v>BLANK_GAP_CANDIDATE</x:v>
      </x:c>
      <x:c r="I33" s="131" t="str">
        <x:v>HIGH</x:v>
      </x:c>
      <x:c r="J33" s="131" t="str">
        <x:v>잔여계약액 계산열의 중간 셀이 비어 있음</x:v>
      </x:c>
      <x:c r="K33" s="131" t="str">
        <x:v>잔여 매출 기회와 계약 관리 보고에서 누락될 수 있음</x:v>
      </x:c>
      <x:c r="L33" s="132" t="str">
        <x:v>G28, G30의 B-C 구조와 비교</x:v>
      </x:c>
      <x:c r="M33" s="54" t="str">
        <x:v>미실행</x:v>
      </x:c>
      <x:c r="N33" s="50" t="str"/>
      <x:c r="O33" s="50" t="str">
        <x:v>미판정</x:v>
      </x:c>
      <x:c r="P33" s="50" t="str"/>
      <x:c r="Q33" s="55" t="str"/>
    </x:row>
    <x:row r="34">
      <x:c r="A34" s="130" t="str">
        <x:v>F029</x:v>
      </x:c>
      <x:c r="B34" s="131" t="str">
        <x:v>08_대출상환_스케줄.xlsx</x:v>
      </x:c>
      <x:c r="C34" s="131" t="str">
        <x:v>원리금 균등 대출 상환표</x:v>
      </x:c>
      <x:c r="D34" s="131" t="str">
        <x:v>상환스케줄</x:v>
      </x:c>
      <x:c r="E34" s="131" t="str">
        <x:v>D20</x:v>
      </x:c>
      <x:c r="F34" s="131" t="str">
        <x:v>SHOULD_DETECT</x:v>
      </x:c>
      <x:c r="G34" s="131" t="str">
        <x:v>FORMULA_PATTERN_OUTLIER</x:v>
      </x:c>
      <x:c r="H34" s="131" t="str">
        <x:v>REFERENCE_CELL_DRIFT</x:v>
      </x:c>
      <x:c r="I34" s="131" t="str">
        <x:v>HIGH</x:v>
      </x:c>
      <x:c r="J34" s="131" t="str">
        <x:v>이자 계산식이 연이율 셀이 아닌 기간(개월) 셀을 참조</x:v>
      </x:c>
      <x:c r="K34" s="131" t="str">
        <x:v>이자 금액이 비정상적으로 계산될 수 있음</x:v>
      </x:c>
      <x:c r="L34" s="132" t="str">
        <x:v>D19, D21의 조건!B7 참조와 비교</x:v>
      </x:c>
      <x:c r="M34" s="54" t="str">
        <x:v>미실행</x:v>
      </x:c>
      <x:c r="N34" s="50" t="str"/>
      <x:c r="O34" s="50" t="str">
        <x:v>미판정</x:v>
      </x:c>
      <x:c r="P34" s="50" t="str"/>
      <x:c r="Q34" s="55" t="str"/>
    </x:row>
    <x:row r="35">
      <x:c r="A35" s="130" t="str">
        <x:v>F030</x:v>
      </x:c>
      <x:c r="B35" s="131" t="str">
        <x:v>08_대출상환_스케줄.xlsx</x:v>
      </x:c>
      <x:c r="C35" s="131" t="str">
        <x:v>원리금 균등 대출 상환표</x:v>
      </x:c>
      <x:c r="D35" s="131" t="str">
        <x:v>상환스케줄</x:v>
      </x:c>
      <x:c r="E35" s="131" t="str">
        <x:v>E34</x:v>
      </x:c>
      <x:c r="F35" s="131" t="str">
        <x:v>SHOULD_DETECT</x:v>
      </x:c>
      <x:c r="G35" s="131" t="str">
        <x:v>FORMULA_PATTERN_GAP</x:v>
      </x:c>
      <x:c r="H35" s="131" t="str">
        <x:v>CONSTANT_OVERRIDE_CANDIDATE</x:v>
      </x:c>
      <x:c r="I35" s="131" t="str">
        <x:v>HIGH</x:v>
      </x:c>
      <x:c r="J35" s="131" t="str">
        <x:v>원금 계산열에 수식 대신 고정 금액 입력</x:v>
      </x:c>
      <x:c r="K35" s="131" t="str">
        <x:v>이자·납입액 변경이 원금에 반영되지 않아 잔액이 왜곡될 수 있음</x:v>
      </x:c>
      <x:c r="L35" s="132" t="str">
        <x:v>E33, E35의 F-D 구조와 비교</x:v>
      </x:c>
      <x:c r="M35" s="54" t="str">
        <x:v>미실행</x:v>
      </x:c>
      <x:c r="N35" s="50" t="str"/>
      <x:c r="O35" s="50" t="str">
        <x:v>미판정</x:v>
      </x:c>
      <x:c r="P35" s="50" t="str"/>
      <x:c r="Q35" s="55" t="str"/>
    </x:row>
    <x:row r="36">
      <x:c r="A36" s="130" t="str">
        <x:v>F031</x:v>
      </x:c>
      <x:c r="B36" s="131" t="str">
        <x:v>08_대출상환_스케줄.xlsx</x:v>
      </x:c>
      <x:c r="C36" s="131" t="str">
        <x:v>원리금 균등 대출 상환표</x:v>
      </x:c>
      <x:c r="D36" s="131" t="str">
        <x:v>상환스케줄</x:v>
      </x:c>
      <x:c r="E36" s="131" t="str">
        <x:v>G47</x:v>
      </x:c>
      <x:c r="F36" s="131" t="str">
        <x:v>SHOULD_DETECT</x:v>
      </x:c>
      <x:c r="G36" s="131" t="str">
        <x:v>FORMULA_PATTERN_GAP</x:v>
      </x:c>
      <x:c r="H36" s="131" t="str">
        <x:v>BLANK_GAP_CANDIDATE</x:v>
      </x:c>
      <x:c r="I36" s="131" t="str">
        <x:v>HIGH</x:v>
      </x:c>
      <x:c r="J36" s="131" t="str">
        <x:v>기말잔액 계산열 중간 셀이 비어 있음</x:v>
      </x:c>
      <x:c r="K36" s="131" t="str">
        <x:v>다음 회차 기초잔액 연결이 끊어질 수 있음</x:v>
      </x:c>
      <x:c r="L36" s="132" t="str">
        <x:v>G46, G48 및 C48의 연결 구조 확인</x:v>
      </x:c>
      <x:c r="M36" s="54" t="str">
        <x:v>미실행</x:v>
      </x:c>
      <x:c r="N36" s="50" t="str"/>
      <x:c r="O36" s="50" t="str">
        <x:v>미판정</x:v>
      </x:c>
      <x:c r="P36" s="50" t="str"/>
      <x:c r="Q36" s="55" t="str"/>
    </x:row>
    <x:row r="37">
      <x:c r="A37" s="130" t="str">
        <x:v>F032</x:v>
      </x:c>
      <x:c r="B37" s="131" t="str">
        <x:v>08_대출상환_스케줄.xlsx</x:v>
      </x:c>
      <x:c r="C37" s="131" t="str">
        <x:v>원리금 균등 대출 상환표</x:v>
      </x:c>
      <x:c r="D37" s="131" t="str">
        <x:v>상환스케줄</x:v>
      </x:c>
      <x:c r="E37" s="131" t="str">
        <x:v>F52</x:v>
      </x:c>
      <x:c r="F37" s="131" t="str">
        <x:v>SHOULD_DETECT</x:v>
      </x:c>
      <x:c r="G37" s="131" t="str">
        <x:v>FORMULA_PATTERN_OUTLIER</x:v>
      </x:c>
      <x:c r="H37" s="131" t="str">
        <x:v>FUNCTION_PATTERN_DRIFT</x:v>
      </x:c>
      <x:c r="I37" s="131" t="str">
        <x:v>HIGH</x:v>
      </x:c>
      <x:c r="J37" s="131" t="str">
        <x:v>납입액 열에서 한 셀만 MIN 대신 MAX를 사용</x:v>
      </x:c>
      <x:c r="K37" s="131" t="str">
        <x:v>잔액보다 큰 납입액이 계산될 수 있음</x:v>
      </x:c>
      <x:c r="L37" s="132" t="str">
        <x:v>F51, F53의 MIN 구조와 비교</x:v>
      </x:c>
      <x:c r="M37" s="54" t="str">
        <x:v>미실행</x:v>
      </x:c>
      <x:c r="N37" s="50" t="str"/>
      <x:c r="O37" s="50" t="str">
        <x:v>미판정</x:v>
      </x:c>
      <x:c r="P37" s="50" t="str"/>
      <x:c r="Q37" s="55" t="str"/>
    </x:row>
    <x:row r="38">
      <x:c r="A38" s="130" t="str">
        <x:v>F033</x:v>
      </x:c>
      <x:c r="B38" s="131" t="str">
        <x:v>09_구독_KPI_관리.xlsx</x:v>
      </x:c>
      <x:c r="C38" s="131" t="str">
        <x:v>구독형 서비스 KPI 관리</x:v>
      </x:c>
      <x:c r="D38" s="131" t="str">
        <x:v>월별KPI</x:v>
      </x:c>
      <x:c r="E38" s="131" t="str">
        <x:v>B10</x:v>
      </x:c>
      <x:c r="F38" s="131" t="str">
        <x:v>SHOULD_DETECT</x:v>
      </x:c>
      <x:c r="G38" s="131" t="str">
        <x:v>FORMULA_PATTERN_OUTLIER</x:v>
      </x:c>
      <x:c r="H38" s="131" t="str">
        <x:v>RELATIVE_REFERENCE_DRIFT</x:v>
      </x:c>
      <x:c r="I38" s="131" t="str">
        <x:v>HIGH</x:v>
      </x:c>
      <x:c r="J38" s="131" t="str">
        <x:v>신규MRR 집계가 현재 월이 아닌 이전 행 월을 시작 기준으로 사용</x:v>
      </x:c>
      <x:c r="K38" s="131" t="str">
        <x:v>여러 달의 신규 MRR이 중복 집계될 수 있음</x:v>
      </x:c>
      <x:c r="L38" s="132" t="str">
        <x:v>B9, B11의 A열 현재행 기준과 비교</x:v>
      </x:c>
      <x:c r="M38" s="54" t="str">
        <x:v>미실행</x:v>
      </x:c>
      <x:c r="N38" s="50" t="str"/>
      <x:c r="O38" s="50" t="str">
        <x:v>미판정</x:v>
      </x:c>
      <x:c r="P38" s="50" t="str"/>
      <x:c r="Q38" s="55" t="str"/>
    </x:row>
    <x:row r="39">
      <x:c r="A39" s="130" t="str">
        <x:v>F034</x:v>
      </x:c>
      <x:c r="B39" s="131" t="str">
        <x:v>09_구독_KPI_관리.xlsx</x:v>
      </x:c>
      <x:c r="C39" s="131" t="str">
        <x:v>구독형 서비스 KPI 관리</x:v>
      </x:c>
      <x:c r="D39" s="131" t="str">
        <x:v>월별KPI</x:v>
      </x:c>
      <x:c r="E39" s="131" t="str">
        <x:v>D14</x:v>
      </x:c>
      <x:c r="F39" s="131" t="str">
        <x:v>SHOULD_DETECT</x:v>
      </x:c>
      <x:c r="G39" s="131" t="str">
        <x:v>FORMULA_PATTERN_GAP</x:v>
      </x:c>
      <x:c r="H39" s="131" t="str">
        <x:v>CONSTANT_OVERRIDE_CANDIDATE</x:v>
      </x:c>
      <x:c r="I39" s="131" t="str">
        <x:v>HIGH</x:v>
      </x:c>
      <x:c r="J39" s="131" t="str">
        <x:v>순증MRR 계산열에 고정 금액 입력</x:v>
      </x:c>
      <x:c r="K39" s="131" t="str">
        <x:v>신규·해지MRR 변동이 순증에 반영되지 않음</x:v>
      </x:c>
      <x:c r="L39" s="132" t="str">
        <x:v>D13, D15의 B-C 구조와 비교</x:v>
      </x:c>
      <x:c r="M39" s="54" t="str">
        <x:v>미실행</x:v>
      </x:c>
      <x:c r="N39" s="50" t="str"/>
      <x:c r="O39" s="50" t="str">
        <x:v>미판정</x:v>
      </x:c>
      <x:c r="P39" s="50" t="str"/>
      <x:c r="Q39" s="55" t="str"/>
    </x:row>
    <x:row r="40">
      <x:c r="A40" s="130" t="str">
        <x:v>F035</x:v>
      </x:c>
      <x:c r="B40" s="131" t="str">
        <x:v>09_구독_KPI_관리.xlsx</x:v>
      </x:c>
      <x:c r="C40" s="131" t="str">
        <x:v>구독형 서비스 KPI 관리</x:v>
      </x:c>
      <x:c r="D40" s="131" t="str">
        <x:v>월별KPI</x:v>
      </x:c>
      <x:c r="E40" s="131" t="str">
        <x:v>G18</x:v>
      </x:c>
      <x:c r="F40" s="131" t="str">
        <x:v>SHOULD_DETECT</x:v>
      </x:c>
      <x:c r="G40" s="131" t="str">
        <x:v>FORMULA_PATTERN_GAP</x:v>
      </x:c>
      <x:c r="H40" s="131" t="str">
        <x:v>BLANK_GAP_CANDIDATE</x:v>
      </x:c>
      <x:c r="I40" s="131" t="str">
        <x:v>MEDIUM</x:v>
      </x:c>
      <x:c r="J40" s="131" t="str">
        <x:v>ARPU 계산열의 중간 셀이 비어 있음</x:v>
      </x:c>
      <x:c r="K40" s="131" t="str">
        <x:v>월별 단가 추이와 요약에서 누락될 수 있음</x:v>
      </x:c>
      <x:c r="L40" s="132" t="str">
        <x:v>G17, G19의 E/F 구조와 비교</x:v>
      </x:c>
      <x:c r="M40" s="54" t="str">
        <x:v>미실행</x:v>
      </x:c>
      <x:c r="N40" s="50" t="str"/>
      <x:c r="O40" s="50" t="str">
        <x:v>미판정</x:v>
      </x:c>
      <x:c r="P40" s="50" t="str"/>
      <x:c r="Q40" s="55" t="str"/>
    </x:row>
    <x:row r="41">
      <x:c r="A41" s="133" t="str">
        <x:v>F036</x:v>
      </x:c>
      <x:c r="B41" s="134" t="str">
        <x:v>09_구독_KPI_관리.xlsx</x:v>
      </x:c>
      <x:c r="C41" s="134" t="str">
        <x:v>구독형 서비스 KPI 관리</x:v>
      </x:c>
      <x:c r="D41" s="134" t="str">
        <x:v>월별KPI</x:v>
      </x:c>
      <x:c r="E41" s="134" t="str">
        <x:v>H23</x:v>
      </x:c>
      <x:c r="F41" s="134" t="str">
        <x:v>SHOULD_DETECT</x:v>
      </x:c>
      <x:c r="G41" s="134" t="str">
        <x:v>FORMULA_PATTERN_OUTLIER</x:v>
      </x:c>
      <x:c r="H41" s="134" t="str">
        <x:v>RELATIVE_REFERENCE_DRIFT</x:v>
      </x:c>
      <x:c r="I41" s="134" t="str">
        <x:v>MEDIUM</x:v>
      </x:c>
      <x:c r="J41" s="134" t="str">
        <x:v>해지율 분모가 전월 기초 MRR 성격이 아닌 현재 기말MRR로 변경됨</x:v>
      </x:c>
      <x:c r="K41" s="134" t="str">
        <x:v>해지율이 주변 월과 다른 기준으로 계산될 수 있음</x:v>
      </x:c>
      <x:c r="L41" s="135" t="str">
        <x:v>H22, H24의 E-D 분모 구조와 비교</x:v>
      </x:c>
      <x:c r="M41" s="56" t="str">
        <x:v>미실행</x:v>
      </x:c>
      <x:c r="N41" s="57" t="str"/>
      <x:c r="O41" s="57" t="str">
        <x:v>미판정</x:v>
      </x:c>
      <x:c r="P41" s="57" t="str"/>
      <x:c r="Q41" s="58" t="str"/>
    </x:row>
  </x:sheetData>
  <x:mergeCells>
    <x:mergeCell ref="A1:Q1"/>
    <x:mergeCell ref="A2:Q2"/>
    <x:mergeCell ref="A3:Q3"/>
  </x:mergeCells>
  <x:conditionalFormatting sqref="I6:I41">
    <x:cfRule type="expression" dxfId="2" priority="1">
      <x:formula>I6="HIGH"</x:formula>
    </x:cfRule>
    <x:cfRule type="expression" dxfId="3" priority="2">
      <x:formula>I6="MEDIUM"</x:formula>
    </x:cfRule>
  </x:conditionalFormatting>
  <x:conditionalFormatting sqref="M6:M41">
    <x:cfRule type="expression" dxfId="4" priority="3">
      <x:formula>M6="Y"</x:formula>
    </x:cfRule>
    <x:cfRule type="expression" dxfId="5" priority="4">
      <x:formula>M6="N"</x:formula>
    </x:cfRule>
  </x:conditionalFormatting>
  <x:dataValidations count="3">
    <x:dataValidation type="list" sqref="M6:M41">
      <x:formula1>"미실행,Y,N,판단불가"</x:formula1>
    </x:dataValidation>
    <x:dataValidation type="list" sqref="O6:O41">
      <x:formula1>"미판정,실제 이상 후보,정상 패턴,판단 불가,업무 규칙 확인 필요"</x:formula1>
    </x:dataValidation>
    <x:dataValidation type="list" sqref="P6:P41">
      <x:formula1>",적절,과도한 경고,설명 부족,누락"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6fd5ba8dff4f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24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8" hidden="0" customWidth="1"/>
    <x:col min="9" max="9" width="12" hidden="0" customWidth="1"/>
    <x:col min="10" max="10" width="20" hidden="0" customWidth="1"/>
    <x:col min="11" max="11" width="30" hidden="0" customWidth="1"/>
  </x:cols>
  <x:sheetData>
    <x:row r="1" ht="30" customHeight="1">
      <x:c r="A1" s="5" t="str">
        <x:v>정상 예외·오탐 방지 항목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2" t="str">
        <x:v>탐지되면 False Positive로 평가할 정상 구조 36건을 기록합니다.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5" ht="28" customHeight="1">
      <x:c r="A5" s="33" t="str">
        <x:v>ID</x:v>
      </x:c>
      <x:c r="B5" s="34" t="str">
        <x:v>샘플 파일</x:v>
      </x:c>
      <x:c r="C5" s="34" t="str">
        <x:v>시나리오</x:v>
      </x:c>
      <x:c r="D5" s="34" t="str">
        <x:v>Sheet</x:v>
      </x:c>
      <x:c r="E5" s="34" t="str">
        <x:v>Cell/Range</x:v>
      </x:c>
      <x:c r="F5" s="34" t="str">
        <x:v>예상 결과</x:v>
      </x:c>
      <x:c r="G5" s="34" t="str">
        <x:v>예외 유형</x:v>
      </x:c>
      <x:c r="H5" s="34" t="str">
        <x:v>정상 사유</x:v>
      </x:c>
      <x:c r="I5" s="34" t="str">
        <x:v>실제 탐지</x:v>
      </x:c>
      <x:c r="J5" s="34" t="str">
        <x:v>전문가 판정</x:v>
      </x:c>
      <x:c r="K5" s="35" t="str">
        <x:v>메모</x:v>
      </x:c>
    </x:row>
    <x:row r="6">
      <x:c r="A6" s="127" t="str">
        <x:v>N001</x:v>
      </x:c>
      <x:c r="B6" s="128" t="str">
        <x:v>01_월간매출_관리.xlsx</x:v>
      </x:c>
      <x:c r="C6" s="128" t="str">
        <x:v>월간 매출·부가세 관리</x:v>
      </x:c>
      <x:c r="D6" s="128" t="str">
        <x:v>판매내역</x:v>
      </x:c>
      <x:c r="E6" s="128" t="str">
        <x:v>G66:I66</x:v>
      </x:c>
      <x:c r="F6" s="128" t="str">
        <x:v>SHOULD_NOT_DETECT</x:v>
      </x:c>
      <x:c r="G6" s="128" t="str">
        <x:v>SUBTOTAL_ROW</x:v>
      </x:c>
      <x:c r="H6" s="129" t="str">
        <x:v>소계 행의 의도적인 SUM 수식</x:v>
      </x:c>
      <x:c r="I6" s="51" t="str">
        <x:v>미실행</x:v>
      </x:c>
      <x:c r="J6" s="52" t="str">
        <x:v>미판정</x:v>
      </x:c>
      <x:c r="K6" s="53" t="str"/>
    </x:row>
    <x:row r="7">
      <x:c r="A7" s="130" t="str">
        <x:v>N002</x:v>
      </x:c>
      <x:c r="B7" s="131" t="str">
        <x:v>01_월간매출_관리.xlsx</x:v>
      </x:c>
      <x:c r="C7" s="131" t="str">
        <x:v>월간 매출·부가세 관리</x:v>
      </x:c>
      <x:c r="D7" s="131" t="str">
        <x:v>판매내역</x:v>
      </x:c>
      <x:c r="E7" s="131" t="str">
        <x:v>G67:I67</x:v>
      </x:c>
      <x:c r="F7" s="131" t="str">
        <x:v>SHOULD_NOT_DETECT</x:v>
      </x:c>
      <x:c r="G7" s="131" t="str">
        <x:v>MANUAL_ADJUSTMENT_ROW</x:v>
      </x:c>
      <x:c r="H7" s="132" t="str">
        <x:v>업무상 의도된 수기 조정 행</x:v>
      </x:c>
      <x:c r="I7" s="54" t="str">
        <x:v>미실행</x:v>
      </x:c>
      <x:c r="J7" s="50" t="str">
        <x:v>미판정</x:v>
      </x:c>
      <x:c r="K7" s="55" t="str"/>
    </x:row>
    <x:row r="8">
      <x:c r="A8" s="130" t="str">
        <x:v>N003</x:v>
      </x:c>
      <x:c r="B8" s="131" t="str">
        <x:v>01_월간매출_관리.xlsx</x:v>
      </x:c>
      <x:c r="C8" s="131" t="str">
        <x:v>월간 매출·부가세 관리</x:v>
      </x:c>
      <x:c r="D8" s="131" t="str">
        <x:v>판매내역</x:v>
      </x:c>
      <x:c r="E8" s="131" t="str">
        <x:v>G68:I68</x:v>
      </x:c>
      <x:c r="F8" s="131" t="str">
        <x:v>SHOULD_NOT_DETECT</x:v>
      </x:c>
      <x:c r="G8" s="131" t="str">
        <x:v>GRAND_TOTAL_ROW</x:v>
      </x:c>
      <x:c r="H8" s="132" t="str">
        <x:v>소계와 조정을 합산하는 최종 합계 행</x:v>
      </x:c>
      <x:c r="I8" s="54" t="str">
        <x:v>미실행</x:v>
      </x:c>
      <x:c r="J8" s="50" t="str">
        <x:v>미판정</x:v>
      </x:c>
      <x:c r="K8" s="55" t="str"/>
    </x:row>
    <x:row r="9">
      <x:c r="A9" s="130" t="str">
        <x:v>N004</x:v>
      </x:c>
      <x:c r="B9" s="131" t="str">
        <x:v>02_재고수불_관리.xlsx</x:v>
      </x:c>
      <x:c r="C9" s="131" t="str">
        <x:v>재고 수불·현재고 관리</x:v>
      </x:c>
      <x:c r="D9" s="131" t="str">
        <x:v>입출고</x:v>
      </x:c>
      <x:c r="E9" s="131" t="str">
        <x:v>F86</x:v>
      </x:c>
      <x:c r="F9" s="131" t="str">
        <x:v>SHOULD_NOT_DETECT</x:v>
      </x:c>
      <x:c r="G9" s="131" t="str">
        <x:v>SUBTOTAL_ROW</x:v>
      </x:c>
      <x:c r="H9" s="132" t="str">
        <x:v>전체 이동금액 소계</x:v>
      </x:c>
      <x:c r="I9" s="54" t="str">
        <x:v>미실행</x:v>
      </x:c>
      <x:c r="J9" s="50" t="str">
        <x:v>미판정</x:v>
      </x:c>
      <x:c r="K9" s="55" t="str"/>
    </x:row>
    <x:row r="10">
      <x:c r="A10" s="130" t="str">
        <x:v>N005</x:v>
      </x:c>
      <x:c r="B10" s="131" t="str">
        <x:v>02_재고수불_관리.xlsx</x:v>
      </x:c>
      <x:c r="C10" s="131" t="str">
        <x:v>재고 수불·현재고 관리</x:v>
      </x:c>
      <x:c r="D10" s="131" t="str">
        <x:v>입출고</x:v>
      </x:c>
      <x:c r="E10" s="131" t="str">
        <x:v>F87</x:v>
      </x:c>
      <x:c r="F10" s="131" t="str">
        <x:v>SHOULD_NOT_DETECT</x:v>
      </x:c>
      <x:c r="G10" s="131" t="str">
        <x:v>MANUAL_ADJUSTMENT_ROW</x:v>
      </x:c>
      <x:c r="H10" s="132" t="str">
        <x:v>재고실사 차이를 반영한 의도적 수기 조정</x:v>
      </x:c>
      <x:c r="I10" s="54" t="str">
        <x:v>미실행</x:v>
      </x:c>
      <x:c r="J10" s="50" t="str">
        <x:v>미판정</x:v>
      </x:c>
      <x:c r="K10" s="55" t="str"/>
    </x:row>
    <x:row r="11">
      <x:c r="A11" s="130" t="str">
        <x:v>N006</x:v>
      </x:c>
      <x:c r="B11" s="131" t="str">
        <x:v>02_재고수불_관리.xlsx</x:v>
      </x:c>
      <x:c r="C11" s="131" t="str">
        <x:v>재고 수불·현재고 관리</x:v>
      </x:c>
      <x:c r="D11" s="131" t="str">
        <x:v>입출고</x:v>
      </x:c>
      <x:c r="E11" s="131" t="str">
        <x:v>F88</x:v>
      </x:c>
      <x:c r="F11" s="131" t="str">
        <x:v>SHOULD_NOT_DETECT</x:v>
      </x:c>
      <x:c r="G11" s="131" t="str">
        <x:v>GRAND_TOTAL_ROW</x:v>
      </x:c>
      <x:c r="H11" s="132" t="str">
        <x:v>소계와 조정을 합산한 최종 합계</x:v>
      </x:c>
      <x:c r="I11" s="54" t="str">
        <x:v>미실행</x:v>
      </x:c>
      <x:c r="J11" s="50" t="str">
        <x:v>미판정</x:v>
      </x:c>
      <x:c r="K11" s="55" t="str"/>
    </x:row>
    <x:row r="12">
      <x:c r="A12" s="130" t="str">
        <x:v>N007</x:v>
      </x:c>
      <x:c r="B12" s="131" t="str">
        <x:v>03_미수금_채권관리.xlsx</x:v>
      </x:c>
      <x:c r="C12" s="131" t="str">
        <x:v>미수금·채권 연령 관리</x:v>
      </x:c>
      <x:c r="D12" s="131" t="str">
        <x:v>매출채권</x:v>
      </x:c>
      <x:c r="E12" s="131" t="str">
        <x:v>D56:G56</x:v>
      </x:c>
      <x:c r="F12" s="131" t="str">
        <x:v>SHOULD_NOT_DETECT</x:v>
      </x:c>
      <x:c r="G12" s="131" t="str">
        <x:v>SUBTOTAL_ROW</x:v>
      </x:c>
      <x:c r="H12" s="132" t="str">
        <x:v>채권 소계</x:v>
      </x:c>
      <x:c r="I12" s="54" t="str">
        <x:v>미실행</x:v>
      </x:c>
      <x:c r="J12" s="50" t="str">
        <x:v>미판정</x:v>
      </x:c>
      <x:c r="K12" s="55" t="str"/>
    </x:row>
    <x:row r="13">
      <x:c r="A13" s="130" t="str">
        <x:v>N008</x:v>
      </x:c>
      <x:c r="B13" s="131" t="str">
        <x:v>03_미수금_채권관리.xlsx</x:v>
      </x:c>
      <x:c r="C13" s="131" t="str">
        <x:v>미수금·채권 연령 관리</x:v>
      </x:c>
      <x:c r="D13" s="131" t="str">
        <x:v>매출채권</x:v>
      </x:c>
      <x:c r="E13" s="131" t="str">
        <x:v>D57:G57</x:v>
      </x:c>
      <x:c r="F13" s="131" t="str">
        <x:v>SHOULD_NOT_DETECT</x:v>
      </x:c>
      <x:c r="G13" s="131" t="str">
        <x:v>MANUAL_ADJUSTMENT_ROW</x:v>
      </x:c>
      <x:c r="H13" s="132" t="str">
        <x:v>충당금 수기 조정</x:v>
      </x:c>
      <x:c r="I13" s="54" t="str">
        <x:v>미실행</x:v>
      </x:c>
      <x:c r="J13" s="50" t="str">
        <x:v>미판정</x:v>
      </x:c>
      <x:c r="K13" s="55" t="str"/>
    </x:row>
    <x:row r="14">
      <x:c r="A14" s="130" t="str">
        <x:v>N009</x:v>
      </x:c>
      <x:c r="B14" s="131" t="str">
        <x:v>03_미수금_채권관리.xlsx</x:v>
      </x:c>
      <x:c r="C14" s="131" t="str">
        <x:v>미수금·채권 연령 관리</x:v>
      </x:c>
      <x:c r="D14" s="131" t="str">
        <x:v>매출채권</x:v>
      </x:c>
      <x:c r="E14" s="131" t="str">
        <x:v>D58:G58</x:v>
      </x:c>
      <x:c r="F14" s="131" t="str">
        <x:v>SHOULD_NOT_DETECT</x:v>
      </x:c>
      <x:c r="G14" s="131" t="str">
        <x:v>GRAND_TOTAL_ROW</x:v>
      </x:c>
      <x:c r="H14" s="132" t="str">
        <x:v>소계와 조정의 최종 합계</x:v>
      </x:c>
      <x:c r="I14" s="54" t="str">
        <x:v>미실행</x:v>
      </x:c>
      <x:c r="J14" s="50" t="str">
        <x:v>미판정</x:v>
      </x:c>
      <x:c r="K14" s="55" t="str"/>
    </x:row>
    <x:row r="15">
      <x:c r="A15" s="130" t="str">
        <x:v>N010</x:v>
      </x:c>
      <x:c r="B15" s="131" t="str">
        <x:v>04_제품원가_계산.xlsx</x:v>
      </x:c>
      <x:c r="C15" s="131" t="str">
        <x:v>제품별 제조원가 계산</x:v>
      </x:c>
      <x:c r="D15" s="131" t="str">
        <x:v>원재료사용</x:v>
      </x:c>
      <x:c r="E15" s="131" t="str">
        <x:v>F16</x:v>
      </x:c>
      <x:c r="F15" s="131" t="str">
        <x:v>SHOULD_NOT_DETECT</x:v>
      </x:c>
      <x:c r="G15" s="131" t="str">
        <x:v>PRODUCT_SUBTOTAL_ROW</x:v>
      </x:c>
      <x:c r="H15" s="132" t="str">
        <x:v>세안비누 블록의 정상 소계</x:v>
      </x:c>
      <x:c r="I15" s="54" t="str">
        <x:v>미실행</x:v>
      </x:c>
      <x:c r="J15" s="50" t="str">
        <x:v>미판정</x:v>
      </x:c>
      <x:c r="K15" s="55" t="str"/>
    </x:row>
    <x:row r="16">
      <x:c r="A16" s="130" t="str">
        <x:v>N011</x:v>
      </x:c>
      <x:c r="B16" s="131" t="str">
        <x:v>04_제품원가_계산.xlsx</x:v>
      </x:c>
      <x:c r="C16" s="131" t="str">
        <x:v>제품별 제조원가 계산</x:v>
      </x:c>
      <x:c r="D16" s="131" t="str">
        <x:v>원재료사용</x:v>
      </x:c>
      <x:c r="E16" s="131" t="str">
        <x:v>F27</x:v>
      </x:c>
      <x:c r="F16" s="131" t="str">
        <x:v>SHOULD_NOT_DETECT</x:v>
      </x:c>
      <x:c r="G16" s="131" t="str">
        <x:v>PRODUCT_SUBTOTAL_ROW</x:v>
      </x:c>
      <x:c r="H16" s="132" t="str">
        <x:v>샴푸바 블록의 정상 소계</x:v>
      </x:c>
      <x:c r="I16" s="54" t="str">
        <x:v>미실행</x:v>
      </x:c>
      <x:c r="J16" s="50" t="str">
        <x:v>미판정</x:v>
      </x:c>
      <x:c r="K16" s="55" t="str"/>
    </x:row>
    <x:row r="17">
      <x:c r="A17" s="130" t="str">
        <x:v>N012</x:v>
      </x:c>
      <x:c r="B17" s="131" t="str">
        <x:v>04_제품원가_계산.xlsx</x:v>
      </x:c>
      <x:c r="C17" s="131" t="str">
        <x:v>제품별 제조원가 계산</x:v>
      </x:c>
      <x:c r="D17" s="131" t="str">
        <x:v>원재료사용</x:v>
      </x:c>
      <x:c r="E17" s="131" t="str">
        <x:v>F38</x:v>
      </x:c>
      <x:c r="F17" s="131" t="str">
        <x:v>SHOULD_NOT_DETECT</x:v>
      </x:c>
      <x:c r="G17" s="131" t="str">
        <x:v>PRODUCT_SUBTOTAL_ROW</x:v>
      </x:c>
      <x:c r="H17" s="132" t="str">
        <x:v>바디비누 블록의 정상 소계</x:v>
      </x:c>
      <x:c r="I17" s="54" t="str">
        <x:v>미실행</x:v>
      </x:c>
      <x:c r="J17" s="50" t="str">
        <x:v>미판정</x:v>
      </x:c>
      <x:c r="K17" s="55" t="str"/>
    </x:row>
    <x:row r="18">
      <x:c r="A18" s="130" t="str">
        <x:v>N013</x:v>
      </x:c>
      <x:c r="B18" s="131" t="str">
        <x:v>04_제품원가_계산.xlsx</x:v>
      </x:c>
      <x:c r="C18" s="131" t="str">
        <x:v>제품별 제조원가 계산</x:v>
      </x:c>
      <x:c r="D18" s="131" t="str">
        <x:v>원재료사용</x:v>
      </x:c>
      <x:c r="E18" s="131" t="str">
        <x:v>F49</x:v>
      </x:c>
      <x:c r="F18" s="131" t="str">
        <x:v>SHOULD_NOT_DETECT</x:v>
      </x:c>
      <x:c r="G18" s="131" t="str">
        <x:v>PRODUCT_SUBTOTAL_ROW</x:v>
      </x:c>
      <x:c r="H18" s="132" t="str">
        <x:v>선물세트 블록의 정상 소계</x:v>
      </x:c>
      <x:c r="I18" s="54" t="str">
        <x:v>미실행</x:v>
      </x:c>
      <x:c r="J18" s="50" t="str">
        <x:v>미판정</x:v>
      </x:c>
      <x:c r="K18" s="55" t="str"/>
    </x:row>
    <x:row r="19">
      <x:c r="A19" s="130" t="str">
        <x:v>N014</x:v>
      </x:c>
      <x:c r="B19" s="131" t="str">
        <x:v>05_예산대비실적.xlsx</x:v>
      </x:c>
      <x:c r="C19" s="131" t="str">
        <x:v>부서별 예산 대비 실적</x:v>
      </x:c>
      <x:c r="D19" s="131" t="str">
        <x:v>부서별분석</x:v>
      </x:c>
      <x:c r="E19" s="131" t="str">
        <x:v>C18:F18</x:v>
      </x:c>
      <x:c r="F19" s="131" t="str">
        <x:v>SHOULD_NOT_DETECT</x:v>
      </x:c>
      <x:c r="G19" s="131" t="str">
        <x:v>DEPARTMENT_SUBTOTAL_ROW</x:v>
      </x:c>
      <x:c r="H19" s="132" t="str">
        <x:v>영업1팀 정상 소계</x:v>
      </x:c>
      <x:c r="I19" s="54" t="str">
        <x:v>미실행</x:v>
      </x:c>
      <x:c r="J19" s="50" t="str">
        <x:v>미판정</x:v>
      </x:c>
      <x:c r="K19" s="55" t="str"/>
    </x:row>
    <x:row r="20">
      <x:c r="A20" s="130" t="str">
        <x:v>N015</x:v>
      </x:c>
      <x:c r="B20" s="131" t="str">
        <x:v>05_예산대비실적.xlsx</x:v>
      </x:c>
      <x:c r="C20" s="131" t="str">
        <x:v>부서별 예산 대비 실적</x:v>
      </x:c>
      <x:c r="D20" s="131" t="str">
        <x:v>부서별분석</x:v>
      </x:c>
      <x:c r="E20" s="131" t="str">
        <x:v>C31:F31</x:v>
      </x:c>
      <x:c r="F20" s="131" t="str">
        <x:v>SHOULD_NOT_DETECT</x:v>
      </x:c>
      <x:c r="G20" s="131" t="str">
        <x:v>DEPARTMENT_SUBTOTAL_ROW</x:v>
      </x:c>
      <x:c r="H20" s="132" t="str">
        <x:v>영업2팀 정상 소계</x:v>
      </x:c>
      <x:c r="I20" s="54" t="str">
        <x:v>미실행</x:v>
      </x:c>
      <x:c r="J20" s="50" t="str">
        <x:v>미판정</x:v>
      </x:c>
      <x:c r="K20" s="55" t="str"/>
    </x:row>
    <x:row r="21">
      <x:c r="A21" s="130" t="str">
        <x:v>N016</x:v>
      </x:c>
      <x:c r="B21" s="131" t="str">
        <x:v>05_예산대비실적.xlsx</x:v>
      </x:c>
      <x:c r="C21" s="131" t="str">
        <x:v>부서별 예산 대비 실적</x:v>
      </x:c>
      <x:c r="D21" s="131" t="str">
        <x:v>부서별분석</x:v>
      </x:c>
      <x:c r="E21" s="131" t="str">
        <x:v>C44:F44</x:v>
      </x:c>
      <x:c r="F21" s="131" t="str">
        <x:v>SHOULD_NOT_DETECT</x:v>
      </x:c>
      <x:c r="G21" s="131" t="str">
        <x:v>DEPARTMENT_SUBTOTAL_ROW</x:v>
      </x:c>
      <x:c r="H21" s="132" t="str">
        <x:v>생산팀 정상 소계</x:v>
      </x:c>
      <x:c r="I21" s="54" t="str">
        <x:v>미실행</x:v>
      </x:c>
      <x:c r="J21" s="50" t="str">
        <x:v>미판정</x:v>
      </x:c>
      <x:c r="K21" s="55" t="str"/>
    </x:row>
    <x:row r="22">
      <x:c r="A22" s="130" t="str">
        <x:v>N017</x:v>
      </x:c>
      <x:c r="B22" s="131" t="str">
        <x:v>05_예산대비실적.xlsx</x:v>
      </x:c>
      <x:c r="C22" s="131" t="str">
        <x:v>부서별 예산 대비 실적</x:v>
      </x:c>
      <x:c r="D22" s="131" t="str">
        <x:v>부서별분석</x:v>
      </x:c>
      <x:c r="E22" s="131" t="str">
        <x:v>C57:F57</x:v>
      </x:c>
      <x:c r="F22" s="131" t="str">
        <x:v>SHOULD_NOT_DETECT</x:v>
      </x:c>
      <x:c r="G22" s="131" t="str">
        <x:v>DEPARTMENT_SUBTOTAL_ROW</x:v>
      </x:c>
      <x:c r="H22" s="132" t="str">
        <x:v>관리팀 정상 소계</x:v>
      </x:c>
      <x:c r="I22" s="54" t="str">
        <x:v>미실행</x:v>
      </x:c>
      <x:c r="J22" s="50" t="str">
        <x:v>미판정</x:v>
      </x:c>
      <x:c r="K22" s="55" t="str"/>
    </x:row>
    <x:row r="23">
      <x:c r="A23" s="130" t="str">
        <x:v>N018</x:v>
      </x:c>
      <x:c r="B23" s="131" t="str">
        <x:v>05_예산대비실적.xlsx</x:v>
      </x:c>
      <x:c r="C23" s="131" t="str">
        <x:v>부서별 예산 대비 실적</x:v>
      </x:c>
      <x:c r="D23" s="131" t="str">
        <x:v>부서별분석</x:v>
      </x:c>
      <x:c r="E23" s="131" t="str">
        <x:v>C58:F58</x:v>
      </x:c>
      <x:c r="F23" s="131" t="str">
        <x:v>SHOULD_NOT_DETECT</x:v>
      </x:c>
      <x:c r="G23" s="131" t="str">
        <x:v>GRAND_TOTAL_ROW</x:v>
      </x:c>
      <x:c r="H23" s="132" t="str">
        <x:v>전사 합계</x:v>
      </x:c>
      <x:c r="I23" s="54" t="str">
        <x:v>미실행</x:v>
      </x:c>
      <x:c r="J23" s="50" t="str">
        <x:v>미판정</x:v>
      </x:c>
      <x:c r="K23" s="55" t="str"/>
    </x:row>
    <x:row r="24">
      <x:c r="A24" s="130" t="str">
        <x:v>N019</x:v>
      </x:c>
      <x:c r="B24" s="131" t="str">
        <x:v>06_급여_초과근무.xlsx</x:v>
      </x:c>
      <x:c r="C24" s="131" t="str">
        <x:v>급여·초과근무 계산</x:v>
      </x:c>
      <x:c r="D24" s="131" t="str">
        <x:v>급여계산</x:v>
      </x:c>
      <x:c r="E24" s="131" t="str">
        <x:v>E56:I56</x:v>
      </x:c>
      <x:c r="F24" s="131" t="str">
        <x:v>SHOULD_NOT_DETECT</x:v>
      </x:c>
      <x:c r="G24" s="131" t="str">
        <x:v>SUBTOTAL_ROW</x:v>
      </x:c>
      <x:c r="H24" s="132" t="str">
        <x:v>급여 소계</x:v>
      </x:c>
      <x:c r="I24" s="54" t="str">
        <x:v>미실행</x:v>
      </x:c>
      <x:c r="J24" s="50" t="str">
        <x:v>미판정</x:v>
      </x:c>
      <x:c r="K24" s="55" t="str"/>
    </x:row>
    <x:row r="25">
      <x:c r="A25" s="130" t="str">
        <x:v>N020</x:v>
      </x:c>
      <x:c r="B25" s="131" t="str">
        <x:v>06_급여_초과근무.xlsx</x:v>
      </x:c>
      <x:c r="C25" s="131" t="str">
        <x:v>급여·초과근무 계산</x:v>
      </x:c>
      <x:c r="D25" s="131" t="str">
        <x:v>급여계산</x:v>
      </x:c>
      <x:c r="E25" s="131" t="str">
        <x:v>G57:I57</x:v>
      </x:c>
      <x:c r="F25" s="131" t="str">
        <x:v>SHOULD_NOT_DETECT</x:v>
      </x:c>
      <x:c r="G25" s="131" t="str">
        <x:v>MANUAL_ADJUSTMENT_ROW</x:v>
      </x:c>
      <x:c r="H25" s="132" t="str">
        <x:v>일회성 지급 조정</x:v>
      </x:c>
      <x:c r="I25" s="54" t="str">
        <x:v>미실행</x:v>
      </x:c>
      <x:c r="J25" s="50" t="str">
        <x:v>미판정</x:v>
      </x:c>
      <x:c r="K25" s="55" t="str"/>
    </x:row>
    <x:row r="26">
      <x:c r="A26" s="130" t="str">
        <x:v>N021</x:v>
      </x:c>
      <x:c r="B26" s="131" t="str">
        <x:v>06_급여_초과근무.xlsx</x:v>
      </x:c>
      <x:c r="C26" s="131" t="str">
        <x:v>급여·초과근무 계산</x:v>
      </x:c>
      <x:c r="D26" s="131" t="str">
        <x:v>급여계산</x:v>
      </x:c>
      <x:c r="E26" s="131" t="str">
        <x:v>E58:I58</x:v>
      </x:c>
      <x:c r="F26" s="131" t="str">
        <x:v>SHOULD_NOT_DETECT</x:v>
      </x:c>
      <x:c r="G26" s="131" t="str">
        <x:v>GRAND_TOTAL_ROW</x:v>
      </x:c>
      <x:c r="H26" s="132" t="str">
        <x:v>소계와 조정 합계</x:v>
      </x:c>
      <x:c r="I26" s="54" t="str">
        <x:v>미실행</x:v>
      </x:c>
      <x:c r="J26" s="50" t="str">
        <x:v>미판정</x:v>
      </x:c>
      <x:c r="K26" s="55" t="str"/>
    </x:row>
    <x:row r="27">
      <x:c r="A27" s="130" t="str">
        <x:v>N022</x:v>
      </x:c>
      <x:c r="B27" s="131" t="str">
        <x:v>07_프로젝트_손익관리.xlsx</x:v>
      </x:c>
      <x:c r="C27" s="131" t="str">
        <x:v>프로젝트 손익 관리</x:v>
      </x:c>
      <x:c r="D27" s="131" t="str">
        <x:v>손익분석</x:v>
      </x:c>
      <x:c r="E27" s="131" t="str">
        <x:v>B36:G36</x:v>
      </x:c>
      <x:c r="F27" s="131" t="str">
        <x:v>SHOULD_NOT_DETECT</x:v>
      </x:c>
      <x:c r="G27" s="131" t="str">
        <x:v>SUBTOTAL_ROW</x:v>
      </x:c>
      <x:c r="H27" s="132" t="str">
        <x:v>프로젝트 전체 소계</x:v>
      </x:c>
      <x:c r="I27" s="54" t="str">
        <x:v>미실행</x:v>
      </x:c>
      <x:c r="J27" s="50" t="str">
        <x:v>미판정</x:v>
      </x:c>
      <x:c r="K27" s="55" t="str"/>
    </x:row>
    <x:row r="28">
      <x:c r="A28" s="130" t="str">
        <x:v>N023</x:v>
      </x:c>
      <x:c r="B28" s="131" t="str">
        <x:v>07_프로젝트_손익관리.xlsx</x:v>
      </x:c>
      <x:c r="C28" s="131" t="str">
        <x:v>프로젝트 손익 관리</x:v>
      </x:c>
      <x:c r="D28" s="131" t="str">
        <x:v>손익분석</x:v>
      </x:c>
      <x:c r="E28" s="131" t="str">
        <x:v>B37:G37</x:v>
      </x:c>
      <x:c r="F28" s="131" t="str">
        <x:v>SHOULD_NOT_DETECT</x:v>
      </x:c>
      <x:c r="G28" s="131" t="str">
        <x:v>MANUAL_ADJUSTMENT_ROW</x:v>
      </x:c>
      <x:c r="H28" s="132" t="str">
        <x:v>의도적인 경영조정</x:v>
      </x:c>
      <x:c r="I28" s="54" t="str">
        <x:v>미실행</x:v>
      </x:c>
      <x:c r="J28" s="50" t="str">
        <x:v>미판정</x:v>
      </x:c>
      <x:c r="K28" s="55" t="str"/>
    </x:row>
    <x:row r="29">
      <x:c r="A29" s="130" t="str">
        <x:v>N024</x:v>
      </x:c>
      <x:c r="B29" s="131" t="str">
        <x:v>07_프로젝트_손익관리.xlsx</x:v>
      </x:c>
      <x:c r="C29" s="131" t="str">
        <x:v>프로젝트 손익 관리</x:v>
      </x:c>
      <x:c r="D29" s="131" t="str">
        <x:v>손익분석</x:v>
      </x:c>
      <x:c r="E29" s="131" t="str">
        <x:v>B38:G38</x:v>
      </x:c>
      <x:c r="F29" s="131" t="str">
        <x:v>SHOULD_NOT_DETECT</x:v>
      </x:c>
      <x:c r="G29" s="131" t="str">
        <x:v>GRAND_TOTAL_ROW</x:v>
      </x:c>
      <x:c r="H29" s="132" t="str">
        <x:v>조정 반영 최종 합계</x:v>
      </x:c>
      <x:c r="I29" s="54" t="str">
        <x:v>미실행</x:v>
      </x:c>
      <x:c r="J29" s="50" t="str">
        <x:v>미판정</x:v>
      </x:c>
      <x:c r="K29" s="55" t="str"/>
    </x:row>
    <x:row r="30">
      <x:c r="A30" s="130" t="str">
        <x:v>N025</x:v>
      </x:c>
      <x:c r="B30" s="131" t="str">
        <x:v>08_대출상환_스케줄.xlsx</x:v>
      </x:c>
      <x:c r="C30" s="131" t="str">
        <x:v>원리금 균등 대출 상환표</x:v>
      </x:c>
      <x:c r="D30" s="131" t="str">
        <x:v>상환스케줄</x:v>
      </x:c>
      <x:c r="E30" s="131" t="str">
        <x:v>C6</x:v>
      </x:c>
      <x:c r="F30" s="131" t="str">
        <x:v>SHOULD_NOT_DETECT</x:v>
      </x:c>
      <x:c r="G30" s="131" t="str">
        <x:v>FIRST_PERIOD_SEED</x:v>
      </x:c>
      <x:c r="H30" s="132" t="str">
        <x:v>첫 회차 기초잔액은 조건 시트 원금을 직접 참조하는 정상 경계식</x:v>
      </x:c>
      <x:c r="I30" s="54" t="str">
        <x:v>미실행</x:v>
      </x:c>
      <x:c r="J30" s="50" t="str">
        <x:v>미판정</x:v>
      </x:c>
      <x:c r="K30" s="55" t="str"/>
    </x:row>
    <x:row r="31">
      <x:c r="A31" s="130" t="str">
        <x:v>N026</x:v>
      </x:c>
      <x:c r="B31" s="131" t="str">
        <x:v>08_대출상환_스케줄.xlsx</x:v>
      </x:c>
      <x:c r="C31" s="131" t="str">
        <x:v>원리금 균등 대출 상환표</x:v>
      </x:c>
      <x:c r="D31" s="131" t="str">
        <x:v>상환스케줄</x:v>
      </x:c>
      <x:c r="E31" s="131" t="str">
        <x:v>D66:F66</x:v>
      </x:c>
      <x:c r="F31" s="131" t="str">
        <x:v>SHOULD_NOT_DETECT</x:v>
      </x:c>
      <x:c r="G31" s="131" t="str">
        <x:v>GRAND_TOTAL_ROW</x:v>
      </x:c>
      <x:c r="H31" s="132" t="str">
        <x:v>상환기간 전체 합계</x:v>
      </x:c>
      <x:c r="I31" s="54" t="str">
        <x:v>미실행</x:v>
      </x:c>
      <x:c r="J31" s="50" t="str">
        <x:v>미판정</x:v>
      </x:c>
      <x:c r="K31" s="55" t="str"/>
    </x:row>
    <x:row r="32">
      <x:c r="A32" s="130" t="str">
        <x:v>N027</x:v>
      </x:c>
      <x:c r="B32" s="131" t="str">
        <x:v>09_구독_KPI_관리.xlsx</x:v>
      </x:c>
      <x:c r="C32" s="131" t="str">
        <x:v>구독형 서비스 KPI 관리</x:v>
      </x:c>
      <x:c r="D32" s="131" t="str">
        <x:v>월별KPI</x:v>
      </x:c>
      <x:c r="E32" s="131" t="str">
        <x:v>E6</x:v>
      </x:c>
      <x:c r="F32" s="131" t="str">
        <x:v>SHOULD_NOT_DETECT</x:v>
      </x:c>
      <x:c r="G32" s="131" t="str">
        <x:v>FIRST_PERIOD_SEED</x:v>
      </x:c>
      <x:c r="H32" s="132" t="str">
        <x:v>첫 달 기말MRR은 누적 전월이 없어 순증MRR로 시작하는 정상 경계식</x:v>
      </x:c>
      <x:c r="I32" s="54" t="str">
        <x:v>미실행</x:v>
      </x:c>
      <x:c r="J32" s="50" t="str">
        <x:v>미판정</x:v>
      </x:c>
      <x:c r="K32" s="55" t="str"/>
    </x:row>
    <x:row r="33">
      <x:c r="A33" s="130" t="str">
        <x:v>N028</x:v>
      </x:c>
      <x:c r="B33" s="131" t="str">
        <x:v>09_구독_KPI_관리.xlsx</x:v>
      </x:c>
      <x:c r="C33" s="131" t="str">
        <x:v>구독형 서비스 KPI 관리</x:v>
      </x:c>
      <x:c r="D33" s="131" t="str">
        <x:v>월별KPI</x:v>
      </x:c>
      <x:c r="E33" s="131" t="str">
        <x:v>B30:H30</x:v>
      </x:c>
      <x:c r="F33" s="131" t="str">
        <x:v>SHOULD_NOT_DETECT</x:v>
      </x:c>
      <x:c r="G33" s="131" t="str">
        <x:v>SUMMARY_ROW</x:v>
      </x:c>
      <x:c r="H33" s="132" t="str">
        <x:v>24개월 합계·평균 요약 행</x:v>
      </x:c>
      <x:c r="I33" s="54" t="str">
        <x:v>미실행</x:v>
      </x:c>
      <x:c r="J33" s="50" t="str">
        <x:v>미판정</x:v>
      </x:c>
      <x:c r="K33" s="55" t="str"/>
    </x:row>
    <x:row r="34">
      <x:c r="A34" s="130" t="str">
        <x:v>N029</x:v>
      </x:c>
      <x:c r="B34" s="131" t="str">
        <x:v>10_경영대시보드_정상패턴.xlsx</x:v>
      </x:c>
      <x:c r="C34" s="131" t="str">
        <x:v>경영 대시보드 정상 통제 파일</x:v>
      </x:c>
      <x:c r="D34" s="131" t="str">
        <x:v>거래데이터</x:v>
      </x:c>
      <x:c r="E34" s="131" t="str">
        <x:v>A5:F125</x:v>
      </x:c>
      <x:c r="F34" s="131" t="str">
        <x:v>SHOULD_NOT_DETECT</x:v>
      </x:c>
      <x:c r="G34" s="131" t="str">
        <x:v>EXCEL_TABLE</x:v>
      </x:c>
      <x:c r="H34" s="132" t="str">
        <x:v>원천 데이터가 Excel Table로 구성된 정상 구조</x:v>
      </x:c>
      <x:c r="I34" s="54" t="str">
        <x:v>미실행</x:v>
      </x:c>
      <x:c r="J34" s="50" t="str">
        <x:v>미판정</x:v>
      </x:c>
      <x:c r="K34" s="55" t="str"/>
    </x:row>
    <x:row r="35">
      <x:c r="A35" s="130" t="str">
        <x:v>N030</x:v>
      </x:c>
      <x:c r="B35" s="131" t="str">
        <x:v>10_경영대시보드_정상패턴.xlsx</x:v>
      </x:c>
      <x:c r="C35" s="131" t="str">
        <x:v>경영 대시보드 정상 통제 파일</x:v>
      </x:c>
      <x:c r="D35" s="131" t="str">
        <x:v>부서요약</x:v>
      </x:c>
      <x:c r="E35" s="131" t="str">
        <x:v>B6:E9</x:v>
      </x:c>
      <x:c r="F35" s="131" t="str">
        <x:v>SHOULD_NOT_DETECT</x:v>
      </x:c>
      <x:c r="G35" s="131" t="str">
        <x:v>CLEAN_FORMULA_REGION</x:v>
      </x:c>
      <x:c r="H35" s="132" t="str">
        <x:v>일관된 정상 반복 수식</x:v>
      </x:c>
      <x:c r="I35" s="54" t="str">
        <x:v>미실행</x:v>
      </x:c>
      <x:c r="J35" s="50" t="str">
        <x:v>미판정</x:v>
      </x:c>
      <x:c r="K35" s="55" t="str"/>
    </x:row>
    <x:row r="36">
      <x:c r="A36" s="130" t="str">
        <x:v>N031</x:v>
      </x:c>
      <x:c r="B36" s="131" t="str">
        <x:v>10_경영대시보드_정상패턴.xlsx</x:v>
      </x:c>
      <x:c r="C36" s="131" t="str">
        <x:v>경영 대시보드 정상 통제 파일</x:v>
      </x:c>
      <x:c r="D36" s="131" t="str">
        <x:v>부서요약</x:v>
      </x:c>
      <x:c r="E36" s="131" t="str">
        <x:v>B10:E10</x:v>
      </x:c>
      <x:c r="F36" s="131" t="str">
        <x:v>SHOULD_NOT_DETECT</x:v>
      </x:c>
      <x:c r="G36" s="131" t="str">
        <x:v>GRAND_TOTAL_ROW</x:v>
      </x:c>
      <x:c r="H36" s="132" t="str">
        <x:v>전사 합계</x:v>
      </x:c>
      <x:c r="I36" s="54" t="str">
        <x:v>미실행</x:v>
      </x:c>
      <x:c r="J36" s="50" t="str">
        <x:v>미판정</x:v>
      </x:c>
      <x:c r="K36" s="55" t="str"/>
    </x:row>
    <x:row r="37">
      <x:c r="A37" s="130" t="str">
        <x:v>N032</x:v>
      </x:c>
      <x:c r="B37" s="131" t="str">
        <x:v>10_경영대시보드_정상패턴.xlsx</x:v>
      </x:c>
      <x:c r="C37" s="131" t="str">
        <x:v>경영 대시보드 정상 통제 파일</x:v>
      </x:c>
      <x:c r="D37" s="131" t="str">
        <x:v>월별추이</x:v>
      </x:c>
      <x:c r="E37" s="131" t="str">
        <x:v>B6:E17</x:v>
      </x:c>
      <x:c r="F37" s="131" t="str">
        <x:v>SHOULD_NOT_DETECT</x:v>
      </x:c>
      <x:c r="G37" s="131" t="str">
        <x:v>CLEAN_FORMULA_REGION</x:v>
      </x:c>
      <x:c r="H37" s="132" t="str">
        <x:v>12개월 정상 반복 수식</x:v>
      </x:c>
      <x:c r="I37" s="54" t="str">
        <x:v>미실행</x:v>
      </x:c>
      <x:c r="J37" s="50" t="str">
        <x:v>미판정</x:v>
      </x:c>
      <x:c r="K37" s="55" t="str"/>
    </x:row>
    <x:row r="38">
      <x:c r="A38" s="130" t="str">
        <x:v>N033</x:v>
      </x:c>
      <x:c r="B38" s="131" t="str">
        <x:v>10_경영대시보드_정상패턴.xlsx</x:v>
      </x:c>
      <x:c r="C38" s="131" t="str">
        <x:v>경영 대시보드 정상 통제 파일</x:v>
      </x:c>
      <x:c r="D38" s="131" t="str">
        <x:v>월별추이</x:v>
      </x:c>
      <x:c r="E38" s="131" t="str">
        <x:v>B18:E18</x:v>
      </x:c>
      <x:c r="F38" s="131" t="str">
        <x:v>SHOULD_NOT_DETECT</x:v>
      </x:c>
      <x:c r="G38" s="131" t="str">
        <x:v>SUBTOTAL_ROW</x:v>
      </x:c>
      <x:c r="H38" s="132" t="str">
        <x:v>연간 소계</x:v>
      </x:c>
      <x:c r="I38" s="54" t="str">
        <x:v>미실행</x:v>
      </x:c>
      <x:c r="J38" s="50" t="str">
        <x:v>미판정</x:v>
      </x:c>
      <x:c r="K38" s="55" t="str"/>
    </x:row>
    <x:row r="39">
      <x:c r="A39" s="130" t="str">
        <x:v>N034</x:v>
      </x:c>
      <x:c r="B39" s="131" t="str">
        <x:v>10_경영대시보드_정상패턴.xlsx</x:v>
      </x:c>
      <x:c r="C39" s="131" t="str">
        <x:v>경영 대시보드 정상 통제 파일</x:v>
      </x:c>
      <x:c r="D39" s="131" t="str">
        <x:v>월별추이</x:v>
      </x:c>
      <x:c r="E39" s="131" t="str">
        <x:v>B19:E19</x:v>
      </x:c>
      <x:c r="F39" s="131" t="str">
        <x:v>SHOULD_NOT_DETECT</x:v>
      </x:c>
      <x:c r="G39" s="131" t="str">
        <x:v>MANUAL_ADJUSTMENT_ROW</x:v>
      </x:c>
      <x:c r="H39" s="132" t="str">
        <x:v>정상적인 경영조정</x:v>
      </x:c>
      <x:c r="I39" s="54" t="str">
        <x:v>미실행</x:v>
      </x:c>
      <x:c r="J39" s="50" t="str">
        <x:v>미판정</x:v>
      </x:c>
      <x:c r="K39" s="55" t="str"/>
    </x:row>
    <x:row r="40">
      <x:c r="A40" s="130" t="str">
        <x:v>N035</x:v>
      </x:c>
      <x:c r="B40" s="131" t="str">
        <x:v>10_경영대시보드_정상패턴.xlsx</x:v>
      </x:c>
      <x:c r="C40" s="131" t="str">
        <x:v>경영 대시보드 정상 통제 파일</x:v>
      </x:c>
      <x:c r="D40" s="131" t="str">
        <x:v>월별추이</x:v>
      </x:c>
      <x:c r="E40" s="131" t="str">
        <x:v>B20:E20</x:v>
      </x:c>
      <x:c r="F40" s="131" t="str">
        <x:v>SHOULD_NOT_DETECT</x:v>
      </x:c>
      <x:c r="G40" s="131" t="str">
        <x:v>GRAND_TOTAL_ROW</x:v>
      </x:c>
      <x:c r="H40" s="132" t="str">
        <x:v>조정 반영 합계</x:v>
      </x:c>
      <x:c r="I40" s="54" t="str">
        <x:v>미실행</x:v>
      </x:c>
      <x:c r="J40" s="50" t="str">
        <x:v>미판정</x:v>
      </x:c>
      <x:c r="K40" s="55" t="str"/>
    </x:row>
    <x:row r="41">
      <x:c r="A41" s="133" t="str">
        <x:v>N036</x:v>
      </x:c>
      <x:c r="B41" s="134" t="str">
        <x:v>10_경영대시보드_정상패턴.xlsx</x:v>
      </x:c>
      <x:c r="C41" s="134" t="str">
        <x:v>경영 대시보드 정상 통제 파일</x:v>
      </x:c>
      <x:c r="D41" s="134" t="str">
        <x:v>경영요약</x:v>
      </x:c>
      <x:c r="E41" s="134" t="str">
        <x:v>A11:D14</x:v>
      </x:c>
      <x:c r="F41" s="134" t="str">
        <x:v>SHOULD_NOT_DETECT</x:v>
      </x:c>
      <x:c r="G41" s="134" t="str">
        <x:v>DASHBOARD_REFERENCE_BLOCK</x:v>
      </x:c>
      <x:c r="H41" s="135" t="str">
        <x:v>요약 시트의 정상 참조 블록</x:v>
      </x:c>
      <x:c r="I41" s="56" t="str">
        <x:v>미실행</x:v>
      </x:c>
      <x:c r="J41" s="57" t="str">
        <x:v>미판정</x:v>
      </x:c>
      <x:c r="K41" s="58" t="str"/>
    </x:row>
  </x:sheetData>
  <x:mergeCells>
    <x:mergeCell ref="A1:K1"/>
    <x:mergeCell ref="A2:K2"/>
    <x:mergeCell ref="A3:K3"/>
  </x:mergeCells>
  <x:conditionalFormatting sqref="I6:I41">
    <x:cfRule type="expression" dxfId="6" priority="1">
      <x:formula>I6="Y"</x:formula>
    </x:cfRule>
    <x:cfRule type="expression" dxfId="7" priority="2">
      <x:formula>I6="N"</x:formula>
    </x:cfRule>
  </x:conditionalFormatting>
  <x:dataValidations count="2">
    <x:dataValidation type="list" sqref="I6:I41">
      <x:formula1>"미실행,Y,N,판단불가"</x:formula1>
    </x:dataValidation>
    <x:dataValidation type="list" sqref="J6:J41">
      <x:formula1>"미판정,정상 패턴,실제 이상 후보,판단 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93d8d22fb447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8" hidden="0" customWidth="1"/>
    <x:col min="5" max="5" width="12" hidden="0" customWidth="1"/>
    <x:col min="6" max="6" width="12" hidden="0" customWidth="1"/>
    <x:col min="7" max="7" width="54" hidden="0" customWidth="1"/>
  </x:cols>
  <x:sheetData>
    <x:row r="1" ht="30" customHeight="1">
      <x:c r="A1" s="5" t="str">
        <x:v>시나리오별 검증 설계</x:v>
      </x:c>
      <x:c r="B1" s="5"/>
      <x:c r="C1" s="5"/>
      <x:c r="D1" s="5"/>
      <x:c r="E1" s="5"/>
      <x:c r="F1" s="5"/>
      <x:c r="G1" s="5"/>
    </x:row>
    <x:row r="2" ht="24" customHeight="1">
      <x:c r="A2" s="12" t="str">
        <x:v>각 샘플의 업무 목적과 예상 탐지·정상 예외 범위를 요약합니다.</x:v>
      </x:c>
      <x:c r="B2" s="12"/>
      <x:c r="C2" s="12"/>
      <x:c r="D2" s="12"/>
      <x:c r="E2" s="12"/>
      <x:c r="F2" s="12"/>
      <x:c r="G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</x:row>
    <x:row r="5" ht="28" customHeight="1">
      <x:c r="A5" s="33" t="str">
        <x:v>No.</x:v>
      </x:c>
      <x:c r="B5" s="34" t="str">
        <x:v>샘플 파일</x:v>
      </x:c>
      <x:c r="C5" s="34" t="str">
        <x:v>업무 영역</x:v>
      </x:c>
      <x:c r="D5" s="34" t="str">
        <x:v>업무 시나리오</x:v>
      </x:c>
      <x:c r="E5" s="34" t="str">
        <x:v>예상 탐지</x:v>
      </x:c>
      <x:c r="F5" s="34" t="str">
        <x:v>정상 예외</x:v>
      </x:c>
      <x:c r="G5" s="35" t="str">
        <x:v>핵심 검증 목적</x:v>
      </x:c>
    </x:row>
    <x:row r="6">
      <x:c r="A6" s="127" t="n">
        <x:v>1</x:v>
      </x:c>
      <x:c r="B6" s="128" t="str">
        <x:v>01_월간매출_관리.xlsx</x:v>
      </x:c>
      <x:c r="C6" s="128" t="str">
        <x:v>영업/매출</x:v>
      </x:c>
      <x:c r="D6" s="128" t="str">
        <x:v>월간 매출·부가세 관리</x:v>
      </x:c>
      <x:c r="E6" s="128" t="n">
        <x:v>4</x:v>
      </x:c>
      <x:c r="F6" s="128" t="n">
        <x:v>3</x:v>
      </x:c>
      <x:c r="G6" s="129" t="str">
        <x:v>함수·상대참조 이탈과 상수/빈 셀 후보 탐지</x:v>
      </x:c>
    </x:row>
    <x:row r="7">
      <x:c r="A7" s="130" t="n">
        <x:v>2</x:v>
      </x:c>
      <x:c r="B7" s="131" t="str">
        <x:v>02_재고수불_관리.xlsx</x:v>
      </x:c>
      <x:c r="C7" s="131" t="str">
        <x:v>재고/물류</x:v>
      </x:c>
      <x:c r="D7" s="131" t="str">
        <x:v>재고 수불·현재고 관리</x:v>
      </x:c>
      <x:c r="E7" s="131" t="n">
        <x:v>4</x:v>
      </x:c>
      <x:c r="F7" s="131" t="n">
        <x:v>3</x:v>
      </x:c>
      <x:c r="G7" s="132" t="str">
        <x:v>조건식 이탈, 행 참조 이탈, 상수/빈 셀 탐지</x:v>
      </x:c>
    </x:row>
    <x:row r="8">
      <x:c r="A8" s="130" t="n">
        <x:v>3</x:v>
      </x:c>
      <x:c r="B8" s="131" t="str">
        <x:v>03_미수금_채권관리.xlsx</x:v>
      </x:c>
      <x:c r="C8" s="131" t="str">
        <x:v>채권/수금</x:v>
      </x:c>
      <x:c r="D8" s="131" t="str">
        <x:v>미수금·채권 연령 관리</x:v>
      </x:c>
      <x:c r="E8" s="131" t="n">
        <x:v>4</x:v>
      </x:c>
      <x:c r="F8" s="131" t="n">
        <x:v>3</x:v>
      </x:c>
      <x:c r="G8" s="132" t="str">
        <x:v>SUMIF 기준행 이탈, 상수/빈 셀, 연령분류 함수 이탈</x:v>
      </x:c>
    </x:row>
    <x:row r="9">
      <x:c r="A9" s="130" t="n">
        <x:v>4</x:v>
      </x:c>
      <x:c r="B9" s="131" t="str">
        <x:v>04_제품원가_계산.xlsx</x:v>
      </x:c>
      <x:c r="C9" s="131" t="str">
        <x:v>생산/원가</x:v>
      </x:c>
      <x:c r="D9" s="131" t="str">
        <x:v>제품별 제조원가 계산</x:v>
      </x:c>
      <x:c r="E9" s="131" t="n">
        <x:v>4</x:v>
      </x:c>
      <x:c r="F9" s="131" t="n">
        <x:v>4</x:v>
      </x:c>
      <x:c r="G9" s="132" t="str">
        <x:v>함수·절대참조 이탈과 상수/빈 셀, 제품 소계 예외</x:v>
      </x:c>
    </x:row>
    <x:row r="10">
      <x:c r="A10" s="130" t="n">
        <x:v>5</x:v>
      </x:c>
      <x:c r="B10" s="131" t="str">
        <x:v>05_예산대비실적.xlsx</x:v>
      </x:c>
      <x:c r="C10" s="131" t="str">
        <x:v>예산/관리회계</x:v>
      </x:c>
      <x:c r="D10" s="131" t="str">
        <x:v>부서별 예산 대비 실적</x:v>
      </x:c>
      <x:c r="E10" s="131" t="n">
        <x:v>4</x:v>
      </x:c>
      <x:c r="F10" s="131" t="n">
        <x:v>5</x:v>
      </x:c>
      <x:c r="G10" s="132" t="str">
        <x:v>SUMIFS 기준행·차이 참조·함수 패턴 이탈, 상수 덮어쓰기</x:v>
      </x:c>
    </x:row>
    <x:row r="11">
      <x:c r="A11" s="130" t="n">
        <x:v>6</x:v>
      </x:c>
      <x:c r="B11" s="131" t="str">
        <x:v>06_급여_초과근무.xlsx</x:v>
      </x:c>
      <x:c r="C11" s="131" t="str">
        <x:v>인사/급여</x:v>
      </x:c>
      <x:c r="D11" s="131" t="str">
        <x:v>급여·초과근무 계산</x:v>
      </x:c>
      <x:c r="E11" s="131" t="n">
        <x:v>4</x:v>
      </x:c>
      <x:c r="F11" s="131" t="n">
        <x:v>3</x:v>
      </x:c>
      <x:c r="G11" s="132" t="str">
        <x:v>행 참조 이탈, 상수/빈 셀, 실수령액 참조 이탈</x:v>
      </x:c>
    </x:row>
    <x:row r="12">
      <x:c r="A12" s="130" t="n">
        <x:v>7</x:v>
      </x:c>
      <x:c r="B12" s="131" t="str">
        <x:v>07_프로젝트_손익관리.xlsx</x:v>
      </x:c>
      <x:c r="C12" s="131" t="str">
        <x:v>프로젝트/손익</x:v>
      </x:c>
      <x:c r="D12" s="131" t="str">
        <x:v>프로젝트 손익 관리</x:v>
      </x:c>
      <x:c r="E12" s="131" t="n">
        <x:v>4</x:v>
      </x:c>
      <x:c r="F12" s="131" t="n">
        <x:v>3</x:v>
      </x:c>
      <x:c r="G12" s="132" t="str">
        <x:v>SUMIF 기준행·손익 함수 이탈, 마진 상수, 잔여계약액 빈 셀</x:v>
      </x:c>
    </x:row>
    <x:row r="13">
      <x:c r="A13" s="130" t="n">
        <x:v>8</x:v>
      </x:c>
      <x:c r="B13" s="131" t="str">
        <x:v>08_대출상환_스케줄.xlsx</x:v>
      </x:c>
      <x:c r="C13" s="131" t="str">
        <x:v>재무/대출</x:v>
      </x:c>
      <x:c r="D13" s="131" t="str">
        <x:v>원리금 균등 대출 상환표</x:v>
      </x:c>
      <x:c r="E13" s="131" t="n">
        <x:v>4</x:v>
      </x:c>
      <x:c r="F13" s="131" t="n">
        <x:v>2</x:v>
      </x:c>
      <x:c r="G13" s="132" t="str">
        <x:v>조건 참조·함수 패턴 이탈, 상수/빈 셀, 첫 회차 경계 예외</x:v>
      </x:c>
    </x:row>
    <x:row r="14">
      <x:c r="A14" s="130" t="n">
        <x:v>9</x:v>
      </x:c>
      <x:c r="B14" s="131" t="str">
        <x:v>09_구독_KPI_관리.xlsx</x:v>
      </x:c>
      <x:c r="C14" s="131" t="str">
        <x:v>SaaS/구독</x:v>
      </x:c>
      <x:c r="D14" s="131" t="str">
        <x:v>구독형 서비스 KPI 관리</x:v>
      </x:c>
      <x:c r="E14" s="131" t="n">
        <x:v>4</x:v>
      </x:c>
      <x:c r="F14" s="131" t="n">
        <x:v>2</x:v>
      </x:c>
      <x:c r="G14" s="132" t="str">
        <x:v>기준월 이탈, 상수/빈 셀, 해지율 기준 이탈, 첫 달 누적식 예외</x:v>
      </x:c>
    </x:row>
    <x:row r="15">
      <x:c r="A15" s="133" t="n">
        <x:v>10</x:v>
      </x:c>
      <x:c r="B15" s="134" t="str">
        <x:v>10_경영대시보드_정상패턴.xlsx</x:v>
      </x:c>
      <x:c r="C15" s="134" t="str">
        <x:v>경영관리/통제</x:v>
      </x:c>
      <x:c r="D15" s="134" t="str">
        <x:v>경영 대시보드 정상 통제 파일</x:v>
      </x:c>
      <x:c r="E15" s="134" t="n">
        <x:v>0</x:v>
      </x:c>
      <x:c r="F15" s="134" t="n">
        <x:v>8</x:v>
      </x:c>
      <x:c r="G15" s="135" t="str">
        <x:v>정상 반복 수식·Excel Table·소계·조정·합계에서 오탐이 없는지 확인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30" hidden="0" customWidth="1"/>
  </x:cols>
  <x:sheetData>
    <x:row r="1" ht="30" customHeight="1">
      <x:c r="A1" s="5" t="str">
        <x:v>M4-C 검증 절차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합성 샘플을 사용해 탐지 품질과 오탐을 일관되게 기록하는 방법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3" t="str">
        <x:v>단계</x:v>
      </x:c>
      <x:c r="B5" s="34" t="str">
        <x:v>수행 내용</x:v>
      </x:c>
      <x:c r="C5" s="35" t="str">
        <x:v>완료 기준</x:v>
      </x:c>
    </x:row>
    <x:row r="6">
      <x:c r="A6" s="127" t="str">
        <x:v>1. 기준선 고정</x:v>
      </x:c>
      <x:c r="B6" s="128" t="str">
        <x:v>M4-B 내부 베타 플래그와 scanner/rule-set 버전을 기록</x:v>
      </x:c>
      <x:c r="C6" s="129" t="str">
        <x:v>버전·환경 기록 완료</x:v>
      </x:c>
    </x:row>
    <x:row r="7">
      <x:c r="A7" s="130" t="str">
        <x:v>2. 기본 진단</x:v>
      </x:c>
      <x:c r="B7" s="131" t="str">
        <x:v>샘플 파일을 업로드해 기존 무료 진단이 정상 동작하는지 확인</x:v>
      </x:c>
      <x:c r="C7" s="132" t="str">
        <x:v>기본 결과 유지</x:v>
      </x:c>
    </x:row>
    <x:row r="8">
      <x:c r="A8" s="130" t="str">
        <x:v>3. M4 실행</x:v>
      </x:c>
      <x:c r="B8" s="131" t="str">
        <x:v>수식 패턴 정밀검사를 사용자가 선택 실행</x:v>
      </x:c>
      <x:c r="C8" s="132" t="str">
        <x:v>실행시간과 Finding 기록</x:v>
      </x:c>
    </x:row>
    <x:row r="9">
      <x:c r="A9" s="130" t="str">
        <x:v>4. 예상 탐지 대조</x:v>
      </x:c>
      <x:c r="B9" s="131" t="str">
        <x:v>01_예상탐지의 Cell과 실제 Finding을 비교</x:v>
      </x:c>
      <x:c r="C9" s="132" t="str">
        <x:v>Y/N/판단불가 입력</x:v>
      </x:c>
    </x:row>
    <x:row r="10">
      <x:c r="A10" s="130" t="str">
        <x:v>5. 정상 예외 대조</x:v>
      </x:c>
      <x:c r="B10" s="131" t="str">
        <x:v>02_정상예외가 경고되지 않았는지 확인</x:v>
      </x:c>
      <x:c r="C10" s="132" t="str">
        <x:v>오탐 발생 시 Y 입력</x:v>
      </x:c>
    </x:row>
    <x:row r="11">
      <x:c r="A11" s="130" t="str">
        <x:v>6. 전문가 판정</x:v>
      </x:c>
      <x:c r="B11" s="131" t="str">
        <x:v>각 Finding을 실제 이상 후보/정상/판단불가/업무규칙 필요로 분류</x:v>
      </x:c>
      <x:c r="C11" s="132" t="str">
        <x:v>판정과 근거 입력</x:v>
      </x:c>
    </x:row>
    <x:row r="12">
      <x:c r="A12" s="130" t="str">
        <x:v>7. 지표 확인</x:v>
      </x:c>
      <x:c r="B12" s="131" t="str">
        <x:v>05_성과지표에서 Precision·Recall·F1·Clean pass 확인</x:v>
      </x:c>
      <x:c r="C12" s="132" t="str">
        <x:v>품질 기준과 비교</x:v>
      </x:c>
    </x:row>
    <x:row r="13">
      <x:c r="A13" s="133" t="str">
        <x:v>8. 규칙 조정</x:v>
      </x:c>
      <x:c r="B13" s="134" t="str">
        <x:v>반복 오탐·미탐의 원인을 정상 예외·영역 판별·근거 설명으로 분류</x:v>
      </x:c>
      <x:c r="C13" s="135" t="str">
        <x:v>다음 개선 배치 결정</x:v>
      </x:c>
    </x:row>
    <x:row r="15">
      <x:c r="A15" s="94" t="str">
        <x:v>권장 판정 원칙</x:v>
      </x:c>
      <x:c r="B15" s="95"/>
      <x:c r="C15" s="95"/>
      <x:c r="D15" s="95"/>
      <x:c r="E15" s="95"/>
      <x:c r="F15" s="95"/>
      <x:c r="G15" s="95"/>
      <x:c r="H15" s="96"/>
    </x:row>
    <x:row r="16">
      <x:c r="A16" s="103" t="str">
        <x:v>확정 오류 금지</x:v>
      </x:c>
      <x:c r="B16" s="108" t="str">
        <x:v>패턴 차이는 업무상 정상일 수 있으므로 '이상 후보'로 판정합니다.</x:v>
      </x:c>
    </x:row>
    <x:row r="17">
      <x:c r="A17" s="103" t="str">
        <x:v>미탐·오탐 분리</x:v>
      </x:c>
      <x:c r="B17" s="108" t="str">
        <x:v>탐지돼야 하는 항목의 누락은 FN, 정상 예외의 탐지는 FP로 기록합니다.</x:v>
      </x:c>
    </x:row>
    <x:row r="18">
      <x:c r="A18" s="103" t="str">
        <x:v>독립 검토</x:v>
      </x:c>
      <x:c r="B18" s="108" t="str">
        <x:v>가능하면 샘플 제작 정보를 보지 않은 상태에서 1차 판정 후 정답표와 대조합니다.</x:v>
      </x:c>
    </x:row>
    <x:row r="19">
      <x:c r="A19" s="103" t="str">
        <x:v>민감정보 금지</x:v>
      </x:c>
      <x:c r="B19" s="108" t="str">
        <x:v>실제 파일을 추가할 경우 파일명·시트명·셀값·수식 원문을 외부 로그에 저장하지 않습니다.</x:v>
      </x:c>
    </x:row>
  </x:sheetData>
  <x:mergeCells>
    <x:mergeCell ref="A1:H1"/>
    <x:mergeCell ref="A2:H2"/>
    <x:mergeCell ref="A3:H3"/>
    <x:mergeCell ref="A15:H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" hidden="0" customWidth="1"/>
    <x:col min="4" max="4" width="30" hidden="0" customWidth="1"/>
    <x:col min="5" max="5" width="12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4" hidden="0" customWidth="1"/>
  </x:cols>
  <x:sheetData>
    <x:row r="1" ht="30" customHeight="1">
      <x:c r="A1" s="5" t="str">
        <x:v>M4-C 품질 성과지표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01_예상탐지와 02_정상예외 입력값을 기준으로 자동 계산됩니다.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3" t="str">
        <x:v>지표</x:v>
      </x:c>
      <x:c r="B5" s="35" t="str">
        <x:v>값</x:v>
      </x:c>
      <x:c r="D5" s="33" t="str">
        <x:v>샘플 파일</x:v>
      </x:c>
      <x:c r="E5" s="34" t="str">
        <x:v>예상 탐지</x:v>
      </x:c>
      <x:c r="F5" s="34" t="str">
        <x:v>실제 탐지</x:v>
      </x:c>
      <x:c r="G5" s="34" t="str">
        <x:v>미탐</x:v>
      </x:c>
      <x:c r="H5" s="34" t="str">
        <x:v>정상 예외</x:v>
      </x:c>
      <x:c r="I5" s="34" t="str">
        <x:v>오탐</x:v>
      </x:c>
      <x:c r="J5" s="35" t="str">
        <x:v>검증 상태</x:v>
      </x:c>
    </x:row>
    <x:row r="6">
      <x:c r="A6" s="103" t="str">
        <x:v>예상 탐지 총건수</x:v>
      </x:c>
      <x:c r="B6" s="161" t="n">
        <x:f>COUNTA('01_예상탐지'!A6:A41)</x:f>
        <x:v>36</x:v>
      </x:c>
      <x:c r="D6" s="169" t="str">
        <x:v>01_월간매출_관리.xlsx</x:v>
      </x:c>
      <x:c r="E6" s="170" t="n">
        <x:f>COUNTIF('01_예상탐지'!$B$6:$B$41,D6)</x:f>
        <x:v>4</x:v>
      </x:c>
      <x:c r="F6" s="170" t="n">
        <x:f>COUNTIFS('01_예상탐지'!$B$6:$B$41,D6,'01_예상탐지'!$M$6:$M$41,"Y")</x:f>
        <x:v>0</x:v>
      </x:c>
      <x:c r="G6" s="170" t="n">
        <x:f>COUNTIFS('01_예상탐지'!$B$6:$B$41,D6,'01_예상탐지'!$M$6:$M$41,"N")</x:f>
        <x:v>0</x:v>
      </x:c>
      <x:c r="H6" s="170" t="n">
        <x:f>COUNTIF('02_정상예외'!$B$6:$B$41,D6)</x:f>
        <x:v>3</x:v>
      </x:c>
      <x:c r="I6" s="170" t="n">
        <x:f>COUNTIFS('02_정상예외'!$B$6:$B$41,D6,'02_정상예외'!$I$6:$I$41,"Y")</x:f>
        <x:v>0</x:v>
      </x:c>
      <x:c r="J6" s="171" t="str">
        <x:f>IF(COUNTIFS('01_예상탐지'!$B$6:$B$41,D6,'01_예상탐지'!$M$6:$M$41,"미실행")+COUNTIFS('02_정상예외'!$B$6:$B$41,D6,'02_정상예외'!$I$6:$I$41,"미실행")&gt;0,"미완료","완료")</x:f>
        <x:v>미완료</x:v>
      </x:c>
    </x:row>
    <x:row r="7">
      <x:c r="A7" s="103" t="str">
        <x:v>탐지 완료 건수</x:v>
      </x:c>
      <x:c r="B7" s="162" t="n">
        <x:f>COUNTIF('01_예상탐지'!M6:M41,"Y")+COUNTIF('01_예상탐지'!M6:M41,"N")</x:f>
        <x:v>0</x:v>
      </x:c>
      <x:c r="D7" s="172" t="str">
        <x:v>02_재고수불_관리.xlsx</x:v>
      </x:c>
      <x:c r="E7" s="173" t="n">
        <x:f>COUNTIF('01_예상탐지'!$B$6:$B$41,D7)</x:f>
        <x:v>4</x:v>
      </x:c>
      <x:c r="F7" s="173" t="n">
        <x:f>COUNTIFS('01_예상탐지'!$B$6:$B$41,D7,'01_예상탐지'!$M$6:$M$41,"Y")</x:f>
        <x:v>0</x:v>
      </x:c>
      <x:c r="G7" s="173" t="n">
        <x:f>COUNTIFS('01_예상탐지'!$B$6:$B$41,D7,'01_예상탐지'!$M$6:$M$41,"N")</x:f>
        <x:v>0</x:v>
      </x:c>
      <x:c r="H7" s="173" t="n">
        <x:f>COUNTIF('02_정상예외'!$B$6:$B$41,D7)</x:f>
        <x:v>3</x:v>
      </x:c>
      <x:c r="I7" s="173" t="n">
        <x:f>COUNTIFS('02_정상예외'!$B$6:$B$41,D7,'02_정상예외'!$I$6:$I$41,"Y")</x:f>
        <x:v>0</x:v>
      </x:c>
      <x:c r="J7" s="174" t="str">
        <x:f>IF(COUNTIFS('01_예상탐지'!$B$6:$B$41,D7,'01_예상탐지'!$M$6:$M$41,"미실행")+COUNTIFS('02_정상예외'!$B$6:$B$41,D7,'02_정상예외'!$I$6:$I$41,"미실행")&gt;0,"미완료","완료")</x:f>
        <x:v>미완료</x:v>
      </x:c>
    </x:row>
    <x:row r="8">
      <x:c r="A8" s="103" t="str">
        <x:v>True Positive</x:v>
      </x:c>
      <x:c r="B8" s="162" t="n">
        <x:f>COUNTIF('01_예상탐지'!M6:M41,"Y")</x:f>
        <x:v>0</x:v>
      </x:c>
      <x:c r="D8" s="172" t="str">
        <x:v>03_미수금_채권관리.xlsx</x:v>
      </x:c>
      <x:c r="E8" s="173" t="n">
        <x:f>COUNTIF('01_예상탐지'!$B$6:$B$41,D8)</x:f>
        <x:v>4</x:v>
      </x:c>
      <x:c r="F8" s="173" t="n">
        <x:f>COUNTIFS('01_예상탐지'!$B$6:$B$41,D8,'01_예상탐지'!$M$6:$M$41,"Y")</x:f>
        <x:v>0</x:v>
      </x:c>
      <x:c r="G8" s="173" t="n">
        <x:f>COUNTIFS('01_예상탐지'!$B$6:$B$41,D8,'01_예상탐지'!$M$6:$M$41,"N")</x:f>
        <x:v>0</x:v>
      </x:c>
      <x:c r="H8" s="173" t="n">
        <x:f>COUNTIF('02_정상예외'!$B$6:$B$41,D8)</x:f>
        <x:v>3</x:v>
      </x:c>
      <x:c r="I8" s="173" t="n">
        <x:f>COUNTIFS('02_정상예외'!$B$6:$B$41,D8,'02_정상예외'!$I$6:$I$41,"Y")</x:f>
        <x:v>0</x:v>
      </x:c>
      <x:c r="J8" s="174" t="str">
        <x:f>IF(COUNTIFS('01_예상탐지'!$B$6:$B$41,D8,'01_예상탐지'!$M$6:$M$41,"미실행")+COUNTIFS('02_정상예외'!$B$6:$B$41,D8,'02_정상예외'!$I$6:$I$41,"미실행")&gt;0,"미완료","완료")</x:f>
        <x:v>미완료</x:v>
      </x:c>
    </x:row>
    <x:row r="9">
      <x:c r="A9" s="103" t="str">
        <x:v>False Negative</x:v>
      </x:c>
      <x:c r="B9" s="162" t="n">
        <x:f>COUNTIF('01_예상탐지'!M6:M41,"N")</x:f>
        <x:v>0</x:v>
      </x:c>
      <x:c r="D9" s="172" t="str">
        <x:v>04_제품원가_계산.xlsx</x:v>
      </x:c>
      <x:c r="E9" s="173" t="n">
        <x:f>COUNTIF('01_예상탐지'!$B$6:$B$41,D9)</x:f>
        <x:v>4</x:v>
      </x:c>
      <x:c r="F9" s="173" t="n">
        <x:f>COUNTIFS('01_예상탐지'!$B$6:$B$41,D9,'01_예상탐지'!$M$6:$M$41,"Y")</x:f>
        <x:v>0</x:v>
      </x:c>
      <x:c r="G9" s="173" t="n">
        <x:f>COUNTIFS('01_예상탐지'!$B$6:$B$41,D9,'01_예상탐지'!$M$6:$M$41,"N")</x:f>
        <x:v>0</x:v>
      </x:c>
      <x:c r="H9" s="173" t="n">
        <x:f>COUNTIF('02_정상예외'!$B$6:$B$41,D9)</x:f>
        <x:v>4</x:v>
      </x:c>
      <x:c r="I9" s="173" t="n">
        <x:f>COUNTIFS('02_정상예외'!$B$6:$B$41,D9,'02_정상예외'!$I$6:$I$41,"Y")</x:f>
        <x:v>0</x:v>
      </x:c>
      <x:c r="J9" s="174" t="str">
        <x:f>IF(COUNTIFS('01_예상탐지'!$B$6:$B$41,D9,'01_예상탐지'!$M$6:$M$41,"미실행")+COUNTIFS('02_정상예외'!$B$6:$B$41,D9,'02_정상예외'!$I$6:$I$41,"미실행")&gt;0,"미완료","완료")</x:f>
        <x:v>미완료</x:v>
      </x:c>
    </x:row>
    <x:row r="10">
      <x:c r="A10" s="103" t="str">
        <x:v>정상 예외 총건수</x:v>
      </x:c>
      <x:c r="B10" s="162" t="n">
        <x:f>COUNTA('02_정상예외'!A6:A41)</x:f>
        <x:v>36</x:v>
      </x:c>
      <x:c r="D10" s="172" t="str">
        <x:v>05_예산대비실적.xlsx</x:v>
      </x:c>
      <x:c r="E10" s="173" t="n">
        <x:f>COUNTIF('01_예상탐지'!$B$6:$B$41,D10)</x:f>
        <x:v>4</x:v>
      </x:c>
      <x:c r="F10" s="173" t="n">
        <x:f>COUNTIFS('01_예상탐지'!$B$6:$B$41,D10,'01_예상탐지'!$M$6:$M$41,"Y")</x:f>
        <x:v>0</x:v>
      </x:c>
      <x:c r="G10" s="173" t="n">
        <x:f>COUNTIFS('01_예상탐지'!$B$6:$B$41,D10,'01_예상탐지'!$M$6:$M$41,"N")</x:f>
        <x:v>0</x:v>
      </x:c>
      <x:c r="H10" s="173" t="n">
        <x:f>COUNTIF('02_정상예외'!$B$6:$B$41,D10)</x:f>
        <x:v>5</x:v>
      </x:c>
      <x:c r="I10" s="173" t="n">
        <x:f>COUNTIFS('02_정상예외'!$B$6:$B$41,D10,'02_정상예외'!$I$6:$I$41,"Y")</x:f>
        <x:v>0</x:v>
      </x:c>
      <x:c r="J10" s="174" t="str">
        <x:f>IF(COUNTIFS('01_예상탐지'!$B$6:$B$41,D10,'01_예상탐지'!$M$6:$M$41,"미실행")+COUNTIFS('02_정상예외'!$B$6:$B$41,D10,'02_정상예외'!$I$6:$I$41,"미실행")&gt;0,"미완료","완료")</x:f>
        <x:v>미완료</x:v>
      </x:c>
    </x:row>
    <x:row r="11">
      <x:c r="A11" s="103" t="str">
        <x:v>정상 예외 판정 완료</x:v>
      </x:c>
      <x:c r="B11" s="162" t="n">
        <x:f>COUNTIF('02_정상예외'!I6:I41,"Y")+COUNTIF('02_정상예외'!I6:I41,"N")</x:f>
        <x:v>0</x:v>
      </x:c>
      <x:c r="D11" s="172" t="str">
        <x:v>06_급여_초과근무.xlsx</x:v>
      </x:c>
      <x:c r="E11" s="173" t="n">
        <x:f>COUNTIF('01_예상탐지'!$B$6:$B$41,D11)</x:f>
        <x:v>4</x:v>
      </x:c>
      <x:c r="F11" s="173" t="n">
        <x:f>COUNTIFS('01_예상탐지'!$B$6:$B$41,D11,'01_예상탐지'!$M$6:$M$41,"Y")</x:f>
        <x:v>0</x:v>
      </x:c>
      <x:c r="G11" s="173" t="n">
        <x:f>COUNTIFS('01_예상탐지'!$B$6:$B$41,D11,'01_예상탐지'!$M$6:$M$41,"N")</x:f>
        <x:v>0</x:v>
      </x:c>
      <x:c r="H11" s="173" t="n">
        <x:f>COUNTIF('02_정상예외'!$B$6:$B$41,D11)</x:f>
        <x:v>3</x:v>
      </x:c>
      <x:c r="I11" s="173" t="n">
        <x:f>COUNTIFS('02_정상예외'!$B$6:$B$41,D11,'02_정상예외'!$I$6:$I$41,"Y")</x:f>
        <x:v>0</x:v>
      </x:c>
      <x:c r="J11" s="174" t="str">
        <x:f>IF(COUNTIFS('01_예상탐지'!$B$6:$B$41,D11,'01_예상탐지'!$M$6:$M$41,"미실행")+COUNTIFS('02_정상예외'!$B$6:$B$41,D11,'02_정상예외'!$I$6:$I$41,"미실행")&gt;0,"미완료","완료")</x:f>
        <x:v>미완료</x:v>
      </x:c>
    </x:row>
    <x:row r="12">
      <x:c r="A12" s="103" t="str">
        <x:v>False Positive</x:v>
      </x:c>
      <x:c r="B12" s="162" t="n">
        <x:f>COUNTIF('02_정상예외'!I6:I41,"Y")</x:f>
        <x:v>0</x:v>
      </x:c>
      <x:c r="D12" s="172" t="str">
        <x:v>07_프로젝트_손익관리.xlsx</x:v>
      </x:c>
      <x:c r="E12" s="173" t="n">
        <x:f>COUNTIF('01_예상탐지'!$B$6:$B$41,D12)</x:f>
        <x:v>4</x:v>
      </x:c>
      <x:c r="F12" s="173" t="n">
        <x:f>COUNTIFS('01_예상탐지'!$B$6:$B$41,D12,'01_예상탐지'!$M$6:$M$41,"Y")</x:f>
        <x:v>0</x:v>
      </x:c>
      <x:c r="G12" s="173" t="n">
        <x:f>COUNTIFS('01_예상탐지'!$B$6:$B$41,D12,'01_예상탐지'!$M$6:$M$41,"N")</x:f>
        <x:v>0</x:v>
      </x:c>
      <x:c r="H12" s="173" t="n">
        <x:f>COUNTIF('02_정상예외'!$B$6:$B$41,D12)</x:f>
        <x:v>3</x:v>
      </x:c>
      <x:c r="I12" s="173" t="n">
        <x:f>COUNTIFS('02_정상예외'!$B$6:$B$41,D12,'02_정상예외'!$I$6:$I$41,"Y")</x:f>
        <x:v>0</x:v>
      </x:c>
      <x:c r="J12" s="174" t="str">
        <x:f>IF(COUNTIFS('01_예상탐지'!$B$6:$B$41,D12,'01_예상탐지'!$M$6:$M$41,"미실행")+COUNTIFS('02_정상예외'!$B$6:$B$41,D12,'02_정상예외'!$I$6:$I$41,"미실행")&gt;0,"미완료","완료")</x:f>
        <x:v>미완료</x:v>
      </x:c>
    </x:row>
    <x:row r="13">
      <x:c r="A13" s="103" t="str">
        <x:v>True Negative</x:v>
      </x:c>
      <x:c r="B13" s="162" t="n">
        <x:f>COUNTIF('02_정상예외'!I6:I41,"N")</x:f>
        <x:v>0</x:v>
      </x:c>
      <x:c r="D13" s="172" t="str">
        <x:v>08_대출상환_스케줄.xlsx</x:v>
      </x:c>
      <x:c r="E13" s="173" t="n">
        <x:f>COUNTIF('01_예상탐지'!$B$6:$B$41,D13)</x:f>
        <x:v>4</x:v>
      </x:c>
      <x:c r="F13" s="173" t="n">
        <x:f>COUNTIFS('01_예상탐지'!$B$6:$B$41,D13,'01_예상탐지'!$M$6:$M$41,"Y")</x:f>
        <x:v>0</x:v>
      </x:c>
      <x:c r="G13" s="173" t="n">
        <x:f>COUNTIFS('01_예상탐지'!$B$6:$B$41,D13,'01_예상탐지'!$M$6:$M$41,"N")</x:f>
        <x:v>0</x:v>
      </x:c>
      <x:c r="H13" s="173" t="n">
        <x:f>COUNTIF('02_정상예외'!$B$6:$B$41,D13)</x:f>
        <x:v>2</x:v>
      </x:c>
      <x:c r="I13" s="173" t="n">
        <x:f>COUNTIFS('02_정상예외'!$B$6:$B$41,D13,'02_정상예외'!$I$6:$I$41,"Y")</x:f>
        <x:v>0</x:v>
      </x:c>
      <x:c r="J13" s="174" t="str">
        <x:f>IF(COUNTIFS('01_예상탐지'!$B$6:$B$41,D13,'01_예상탐지'!$M$6:$M$41,"미실행")+COUNTIFS('02_정상예외'!$B$6:$B$41,D13,'02_정상예외'!$I$6:$I$41,"미실행")&gt;0,"미완료","완료")</x:f>
        <x:v>미완료</x:v>
      </x:c>
    </x:row>
    <x:row r="14">
      <x:c r="A14" s="103" t="str">
        <x:v>Precision</x:v>
      </x:c>
      <x:c r="B14" s="167" t="n">
        <x:f>IFERROR(B8/(B8+B12),0)</x:f>
        <x:v>0</x:v>
      </x:c>
      <x:c r="D14" s="172" t="str">
        <x:v>09_구독_KPI_관리.xlsx</x:v>
      </x:c>
      <x:c r="E14" s="173" t="n">
        <x:f>COUNTIF('01_예상탐지'!$B$6:$B$41,D14)</x:f>
        <x:v>4</x:v>
      </x:c>
      <x:c r="F14" s="173" t="n">
        <x:f>COUNTIFS('01_예상탐지'!$B$6:$B$41,D14,'01_예상탐지'!$M$6:$M$41,"Y")</x:f>
        <x:v>0</x:v>
      </x:c>
      <x:c r="G14" s="173" t="n">
        <x:f>COUNTIFS('01_예상탐지'!$B$6:$B$41,D14,'01_예상탐지'!$M$6:$M$41,"N")</x:f>
        <x:v>0</x:v>
      </x:c>
      <x:c r="H14" s="173" t="n">
        <x:f>COUNTIF('02_정상예외'!$B$6:$B$41,D14)</x:f>
        <x:v>2</x:v>
      </x:c>
      <x:c r="I14" s="173" t="n">
        <x:f>COUNTIFS('02_정상예외'!$B$6:$B$41,D14,'02_정상예외'!$I$6:$I$41,"Y")</x:f>
        <x:v>0</x:v>
      </x:c>
      <x:c r="J14" s="174" t="str">
        <x:f>IF(COUNTIFS('01_예상탐지'!$B$6:$B$41,D14,'01_예상탐지'!$M$6:$M$41,"미실행")+COUNTIFS('02_정상예외'!$B$6:$B$41,D14,'02_정상예외'!$I$6:$I$41,"미실행")&gt;0,"미완료","완료")</x:f>
        <x:v>미완료</x:v>
      </x:c>
    </x:row>
    <x:row r="15">
      <x:c r="A15" s="103" t="str">
        <x:v>Recall</x:v>
      </x:c>
      <x:c r="B15" s="167" t="n">
        <x:f>IFERROR(B8/(B8+B9),0)</x:f>
        <x:v>0</x:v>
      </x:c>
      <x:c r="D15" s="175" t="str">
        <x:v>10_경영대시보드_정상패턴.xlsx</x:v>
      </x:c>
      <x:c r="E15" s="176" t="n">
        <x:f>COUNTIF('01_예상탐지'!$B$6:$B$41,D15)</x:f>
        <x:v>0</x:v>
      </x:c>
      <x:c r="F15" s="176" t="n">
        <x:f>COUNTIFS('01_예상탐지'!$B$6:$B$41,D15,'01_예상탐지'!$M$6:$M$41,"Y")</x:f>
        <x:v>0</x:v>
      </x:c>
      <x:c r="G15" s="176" t="n">
        <x:f>COUNTIFS('01_예상탐지'!$B$6:$B$41,D15,'01_예상탐지'!$M$6:$M$41,"N")</x:f>
        <x:v>0</x:v>
      </x:c>
      <x:c r="H15" s="176" t="n">
        <x:f>COUNTIF('02_정상예외'!$B$6:$B$41,D15)</x:f>
        <x:v>8</x:v>
      </x:c>
      <x:c r="I15" s="176" t="n">
        <x:f>COUNTIFS('02_정상예외'!$B$6:$B$41,D15,'02_정상예외'!$I$6:$I$41,"Y")</x:f>
        <x:v>0</x:v>
      </x:c>
      <x:c r="J15" s="177" t="str">
        <x:f>IF(COUNTIFS('01_예상탐지'!$B$6:$B$41,D15,'01_예상탐지'!$M$6:$M$41,"미실행")+COUNTIFS('02_정상예외'!$B$6:$B$41,D15,'02_정상예외'!$I$6:$I$41,"미실행")&gt;0,"미완료","완료")</x:f>
        <x:v>미완료</x:v>
      </x:c>
    </x:row>
    <x:row r="16">
      <x:c r="A16" s="103" t="str">
        <x:v>F1</x:v>
      </x:c>
      <x:c r="B16" s="167" t="n">
        <x:f>IFERROR(2*B14*B15/(B14+B15),0)</x:f>
        <x:v>0</x:v>
      </x:c>
    </x:row>
    <x:row r="17">
      <x:c r="A17" s="103" t="str">
        <x:v>정상 파일 무경고 여부</x:v>
      </x:c>
      <x:c r="B17" s="163" t="str">
        <x:f>IF(COUNTIFS('00_개요'!B6:B15,"10_경영대시보드_정상패턴.xlsx",'00_개요'!H6:H15,"완료")=0,"검증 전","수동 확인")</x:f>
        <x:v>검증 전</x:v>
      </x:c>
    </x:row>
  </x:sheetData>
  <x:mergeCells>
    <x:mergeCell ref="A1:H1"/>
    <x:mergeCell ref="A2:H2"/>
    <x:mergeCell ref="A3:H3"/>
  </x:mergeCells>
  <x:conditionalFormatting sqref="J6:J15">
    <x:cfRule type="expression" dxfId="8" priority="1">
      <x:formula>J6="완료"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16" hidden="0" customWidth="1"/>
    <x:col min="5" max="5" width="16" hidden="0" customWidth="1"/>
    <x:col min="6" max="6" width="24" hidden="0" customWidth="1"/>
    <x:col min="7" max="7" width="28" hidden="0" customWidth="1"/>
    <x:col min="8" max="8" width="16" hidden="0" customWidth="1"/>
    <x:col min="9" max="9" width="14" hidden="0" customWidth="1"/>
    <x:col min="10" max="10" width="22" hidden="0" customWidth="1"/>
    <x:col min="11" max="11" width="44" hidden="0" customWidth="1"/>
    <x:col min="12" max="12" width="18" hidden="0" customWidth="1"/>
  </x:cols>
  <x:sheetData>
    <x:row r="1" ht="30" customHeight="1">
      <x:c r="A1" s="5" t="str">
        <x:v>추가 실제 파일 수동 판정 로그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2" t="str">
        <x:v>향후 비민감·익명화 파일의 Finding을 전문가가 직접 판정할 때 사용합니다.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5" ht="28" customHeight="1">
      <x:c r="A5" s="33" t="str">
        <x:v>검토ID</x:v>
      </x:c>
      <x:c r="B5" s="34" t="str">
        <x:v>파일별칭</x:v>
      </x:c>
      <x:c r="C5" s="34" t="str">
        <x:v>검사일</x:v>
      </x:c>
      <x:c r="D5" s="34" t="str">
        <x:v>Scanner 버전</x:v>
      </x:c>
      <x:c r="E5" s="34" t="str">
        <x:v>Rule Set</x:v>
      </x:c>
      <x:c r="F5" s="34" t="str">
        <x:v>Finding Key</x:v>
      </x:c>
      <x:c r="G5" s="34" t="str">
        <x:v>Rule Code</x:v>
      </x:c>
      <x:c r="H5" s="34" t="str">
        <x:v>Sheet 별칭</x:v>
      </x:c>
      <x:c r="I5" s="34" t="str">
        <x:v>Cell/Range</x:v>
      </x:c>
      <x:c r="J5" s="34" t="str">
        <x:v>전문가 판정</x:v>
      </x:c>
      <x:c r="K5" s="34" t="str">
        <x:v>판정 근거</x:v>
      </x:c>
      <x:c r="L5" s="35" t="str">
        <x:v>후속 조치</x:v>
      </x:c>
    </x:row>
    <x:row r="6">
      <x:c r="A6" s="51" t="str">
        <x:v>R001</x:v>
      </x:c>
      <x:c r="B6" s="52" t="str"/>
      <x:c r="C6" s="187"/>
      <x:c r="D6" s="52" t="str"/>
      <x:c r="E6" s="52" t="str"/>
      <x:c r="F6" s="52" t="str"/>
      <x:c r="G6" s="52" t="str"/>
      <x:c r="H6" s="52" t="str"/>
      <x:c r="I6" s="52" t="str"/>
      <x:c r="J6" s="52" t="str">
        <x:v>미판정</x:v>
      </x:c>
      <x:c r="K6" s="52" t="str"/>
      <x:c r="L6" s="53" t="str"/>
    </x:row>
    <x:row r="7">
      <x:c r="A7" s="54" t="str">
        <x:v>R002</x:v>
      </x:c>
      <x:c r="B7" s="50" t="str"/>
      <x:c r="C7" s="188"/>
      <x:c r="D7" s="50" t="str"/>
      <x:c r="E7" s="50" t="str"/>
      <x:c r="F7" s="50" t="str"/>
      <x:c r="G7" s="50" t="str"/>
      <x:c r="H7" s="50" t="str"/>
      <x:c r="I7" s="50" t="str"/>
      <x:c r="J7" s="50" t="str">
        <x:v>미판정</x:v>
      </x:c>
      <x:c r="K7" s="50" t="str"/>
      <x:c r="L7" s="55" t="str"/>
    </x:row>
    <x:row r="8">
      <x:c r="A8" s="54" t="str">
        <x:v>R003</x:v>
      </x:c>
      <x:c r="B8" s="50" t="str"/>
      <x:c r="C8" s="188"/>
      <x:c r="D8" s="50" t="str"/>
      <x:c r="E8" s="50" t="str"/>
      <x:c r="F8" s="50" t="str"/>
      <x:c r="G8" s="50" t="str"/>
      <x:c r="H8" s="50" t="str"/>
      <x:c r="I8" s="50" t="str"/>
      <x:c r="J8" s="50" t="str">
        <x:v>미판정</x:v>
      </x:c>
      <x:c r="K8" s="50" t="str"/>
      <x:c r="L8" s="55" t="str"/>
    </x:row>
    <x:row r="9">
      <x:c r="A9" s="54" t="str">
        <x:v>R004</x:v>
      </x:c>
      <x:c r="B9" s="50" t="str"/>
      <x:c r="C9" s="188"/>
      <x:c r="D9" s="50" t="str"/>
      <x:c r="E9" s="50" t="str"/>
      <x:c r="F9" s="50" t="str"/>
      <x:c r="G9" s="50" t="str"/>
      <x:c r="H9" s="50" t="str"/>
      <x:c r="I9" s="50" t="str"/>
      <x:c r="J9" s="50" t="str">
        <x:v>미판정</x:v>
      </x:c>
      <x:c r="K9" s="50" t="str"/>
      <x:c r="L9" s="55" t="str"/>
    </x:row>
    <x:row r="10">
      <x:c r="A10" s="54" t="str">
        <x:v>R005</x:v>
      </x:c>
      <x:c r="B10" s="50" t="str"/>
      <x:c r="C10" s="188"/>
      <x:c r="D10" s="50" t="str"/>
      <x:c r="E10" s="50" t="str"/>
      <x:c r="F10" s="50" t="str"/>
      <x:c r="G10" s="50" t="str"/>
      <x:c r="H10" s="50" t="str"/>
      <x:c r="I10" s="50" t="str"/>
      <x:c r="J10" s="50" t="str">
        <x:v>미판정</x:v>
      </x:c>
      <x:c r="K10" s="50" t="str"/>
      <x:c r="L10" s="55" t="str"/>
    </x:row>
    <x:row r="11">
      <x:c r="A11" s="54" t="str">
        <x:v>R006</x:v>
      </x:c>
      <x:c r="B11" s="50" t="str"/>
      <x:c r="C11" s="188"/>
      <x:c r="D11" s="50" t="str"/>
      <x:c r="E11" s="50" t="str"/>
      <x:c r="F11" s="50" t="str"/>
      <x:c r="G11" s="50" t="str"/>
      <x:c r="H11" s="50" t="str"/>
      <x:c r="I11" s="50" t="str"/>
      <x:c r="J11" s="50" t="str">
        <x:v>미판정</x:v>
      </x:c>
      <x:c r="K11" s="50" t="str"/>
      <x:c r="L11" s="55" t="str"/>
    </x:row>
    <x:row r="12">
      <x:c r="A12" s="54" t="str">
        <x:v>R007</x:v>
      </x:c>
      <x:c r="B12" s="50" t="str"/>
      <x:c r="C12" s="188"/>
      <x:c r="D12" s="50" t="str"/>
      <x:c r="E12" s="50" t="str"/>
      <x:c r="F12" s="50" t="str"/>
      <x:c r="G12" s="50" t="str"/>
      <x:c r="H12" s="50" t="str"/>
      <x:c r="I12" s="50" t="str"/>
      <x:c r="J12" s="50" t="str">
        <x:v>미판정</x:v>
      </x:c>
      <x:c r="K12" s="50" t="str"/>
      <x:c r="L12" s="55" t="str"/>
    </x:row>
    <x:row r="13">
      <x:c r="A13" s="54" t="str">
        <x:v>R008</x:v>
      </x:c>
      <x:c r="B13" s="50" t="str"/>
      <x:c r="C13" s="188"/>
      <x:c r="D13" s="50" t="str"/>
      <x:c r="E13" s="50" t="str"/>
      <x:c r="F13" s="50" t="str"/>
      <x:c r="G13" s="50" t="str"/>
      <x:c r="H13" s="50" t="str"/>
      <x:c r="I13" s="50" t="str"/>
      <x:c r="J13" s="50" t="str">
        <x:v>미판정</x:v>
      </x:c>
      <x:c r="K13" s="50" t="str"/>
      <x:c r="L13" s="55" t="str"/>
    </x:row>
    <x:row r="14">
      <x:c r="A14" s="54" t="str">
        <x:v>R009</x:v>
      </x:c>
      <x:c r="B14" s="50" t="str"/>
      <x:c r="C14" s="188"/>
      <x:c r="D14" s="50" t="str"/>
      <x:c r="E14" s="50" t="str"/>
      <x:c r="F14" s="50" t="str"/>
      <x:c r="G14" s="50" t="str"/>
      <x:c r="H14" s="50" t="str"/>
      <x:c r="I14" s="50" t="str"/>
      <x:c r="J14" s="50" t="str">
        <x:v>미판정</x:v>
      </x:c>
      <x:c r="K14" s="50" t="str"/>
      <x:c r="L14" s="55" t="str"/>
    </x:row>
    <x:row r="15">
      <x:c r="A15" s="54" t="str">
        <x:v>R010</x:v>
      </x:c>
      <x:c r="B15" s="50" t="str"/>
      <x:c r="C15" s="188"/>
      <x:c r="D15" s="50" t="str"/>
      <x:c r="E15" s="50" t="str"/>
      <x:c r="F15" s="50" t="str"/>
      <x:c r="G15" s="50" t="str"/>
      <x:c r="H15" s="50" t="str"/>
      <x:c r="I15" s="50" t="str"/>
      <x:c r="J15" s="50" t="str">
        <x:v>미판정</x:v>
      </x:c>
      <x:c r="K15" s="50" t="str"/>
      <x:c r="L15" s="55" t="str"/>
    </x:row>
    <x:row r="16">
      <x:c r="A16" s="54" t="str">
        <x:v>R011</x:v>
      </x:c>
      <x:c r="B16" s="50" t="str"/>
      <x:c r="C16" s="188"/>
      <x:c r="D16" s="50" t="str"/>
      <x:c r="E16" s="50" t="str"/>
      <x:c r="F16" s="50" t="str"/>
      <x:c r="G16" s="50" t="str"/>
      <x:c r="H16" s="50" t="str"/>
      <x:c r="I16" s="50" t="str"/>
      <x:c r="J16" s="50" t="str">
        <x:v>미판정</x:v>
      </x:c>
      <x:c r="K16" s="50" t="str"/>
      <x:c r="L16" s="55" t="str"/>
    </x:row>
    <x:row r="17">
      <x:c r="A17" s="54" t="str">
        <x:v>R012</x:v>
      </x:c>
      <x:c r="B17" s="50" t="str"/>
      <x:c r="C17" s="188"/>
      <x:c r="D17" s="50" t="str"/>
      <x:c r="E17" s="50" t="str"/>
      <x:c r="F17" s="50" t="str"/>
      <x:c r="G17" s="50" t="str"/>
      <x:c r="H17" s="50" t="str"/>
      <x:c r="I17" s="50" t="str"/>
      <x:c r="J17" s="50" t="str">
        <x:v>미판정</x:v>
      </x:c>
      <x:c r="K17" s="50" t="str"/>
      <x:c r="L17" s="55" t="str"/>
    </x:row>
    <x:row r="18">
      <x:c r="A18" s="54" t="str">
        <x:v>R013</x:v>
      </x:c>
      <x:c r="B18" s="50" t="str"/>
      <x:c r="C18" s="188"/>
      <x:c r="D18" s="50" t="str"/>
      <x:c r="E18" s="50" t="str"/>
      <x:c r="F18" s="50" t="str"/>
      <x:c r="G18" s="50" t="str"/>
      <x:c r="H18" s="50" t="str"/>
      <x:c r="I18" s="50" t="str"/>
      <x:c r="J18" s="50" t="str">
        <x:v>미판정</x:v>
      </x:c>
      <x:c r="K18" s="50" t="str"/>
      <x:c r="L18" s="55" t="str"/>
    </x:row>
    <x:row r="19">
      <x:c r="A19" s="54" t="str">
        <x:v>R014</x:v>
      </x:c>
      <x:c r="B19" s="50" t="str"/>
      <x:c r="C19" s="188"/>
      <x:c r="D19" s="50" t="str"/>
      <x:c r="E19" s="50" t="str"/>
      <x:c r="F19" s="50" t="str"/>
      <x:c r="G19" s="50" t="str"/>
      <x:c r="H19" s="50" t="str"/>
      <x:c r="I19" s="50" t="str"/>
      <x:c r="J19" s="50" t="str">
        <x:v>미판정</x:v>
      </x:c>
      <x:c r="K19" s="50" t="str"/>
      <x:c r="L19" s="55" t="str"/>
    </x:row>
    <x:row r="20">
      <x:c r="A20" s="54" t="str">
        <x:v>R015</x:v>
      </x:c>
      <x:c r="B20" s="50" t="str"/>
      <x:c r="C20" s="188"/>
      <x:c r="D20" s="50" t="str"/>
      <x:c r="E20" s="50" t="str"/>
      <x:c r="F20" s="50" t="str"/>
      <x:c r="G20" s="50" t="str"/>
      <x:c r="H20" s="50" t="str"/>
      <x:c r="I20" s="50" t="str"/>
      <x:c r="J20" s="50" t="str">
        <x:v>미판정</x:v>
      </x:c>
      <x:c r="K20" s="50" t="str"/>
      <x:c r="L20" s="55" t="str"/>
    </x:row>
    <x:row r="21">
      <x:c r="A21" s="54" t="str">
        <x:v>R016</x:v>
      </x:c>
      <x:c r="B21" s="50" t="str"/>
      <x:c r="C21" s="188"/>
      <x:c r="D21" s="50" t="str"/>
      <x:c r="E21" s="50" t="str"/>
      <x:c r="F21" s="50" t="str"/>
      <x:c r="G21" s="50" t="str"/>
      <x:c r="H21" s="50" t="str"/>
      <x:c r="I21" s="50" t="str"/>
      <x:c r="J21" s="50" t="str">
        <x:v>미판정</x:v>
      </x:c>
      <x:c r="K21" s="50" t="str"/>
      <x:c r="L21" s="55" t="str"/>
    </x:row>
    <x:row r="22">
      <x:c r="A22" s="54" t="str">
        <x:v>R017</x:v>
      </x:c>
      <x:c r="B22" s="50" t="str"/>
      <x:c r="C22" s="188"/>
      <x:c r="D22" s="50" t="str"/>
      <x:c r="E22" s="50" t="str"/>
      <x:c r="F22" s="50" t="str"/>
      <x:c r="G22" s="50" t="str"/>
      <x:c r="H22" s="50" t="str"/>
      <x:c r="I22" s="50" t="str"/>
      <x:c r="J22" s="50" t="str">
        <x:v>미판정</x:v>
      </x:c>
      <x:c r="K22" s="50" t="str"/>
      <x:c r="L22" s="55" t="str"/>
    </x:row>
    <x:row r="23">
      <x:c r="A23" s="54" t="str">
        <x:v>R018</x:v>
      </x:c>
      <x:c r="B23" s="50" t="str"/>
      <x:c r="C23" s="188"/>
      <x:c r="D23" s="50" t="str"/>
      <x:c r="E23" s="50" t="str"/>
      <x:c r="F23" s="50" t="str"/>
      <x:c r="G23" s="50" t="str"/>
      <x:c r="H23" s="50" t="str"/>
      <x:c r="I23" s="50" t="str"/>
      <x:c r="J23" s="50" t="str">
        <x:v>미판정</x:v>
      </x:c>
      <x:c r="K23" s="50" t="str"/>
      <x:c r="L23" s="55" t="str"/>
    </x:row>
    <x:row r="24">
      <x:c r="A24" s="54" t="str">
        <x:v>R019</x:v>
      </x:c>
      <x:c r="B24" s="50" t="str"/>
      <x:c r="C24" s="188"/>
      <x:c r="D24" s="50" t="str"/>
      <x:c r="E24" s="50" t="str"/>
      <x:c r="F24" s="50" t="str"/>
      <x:c r="G24" s="50" t="str"/>
      <x:c r="H24" s="50" t="str"/>
      <x:c r="I24" s="50" t="str"/>
      <x:c r="J24" s="50" t="str">
        <x:v>미판정</x:v>
      </x:c>
      <x:c r="K24" s="50" t="str"/>
      <x:c r="L24" s="55" t="str"/>
    </x:row>
    <x:row r="25">
      <x:c r="A25" s="54" t="str">
        <x:v>R020</x:v>
      </x:c>
      <x:c r="B25" s="50" t="str"/>
      <x:c r="C25" s="188"/>
      <x:c r="D25" s="50" t="str"/>
      <x:c r="E25" s="50" t="str"/>
      <x:c r="F25" s="50" t="str"/>
      <x:c r="G25" s="50" t="str"/>
      <x:c r="H25" s="50" t="str"/>
      <x:c r="I25" s="50" t="str"/>
      <x:c r="J25" s="50" t="str">
        <x:v>미판정</x:v>
      </x:c>
      <x:c r="K25" s="50" t="str"/>
      <x:c r="L25" s="55" t="str"/>
    </x:row>
    <x:row r="26">
      <x:c r="A26" s="54" t="str">
        <x:v>R021</x:v>
      </x:c>
      <x:c r="B26" s="50" t="str"/>
      <x:c r="C26" s="188"/>
      <x:c r="D26" s="50" t="str"/>
      <x:c r="E26" s="50" t="str"/>
      <x:c r="F26" s="50" t="str"/>
      <x:c r="G26" s="50" t="str"/>
      <x:c r="H26" s="50" t="str"/>
      <x:c r="I26" s="50" t="str"/>
      <x:c r="J26" s="50" t="str">
        <x:v>미판정</x:v>
      </x:c>
      <x:c r="K26" s="50" t="str"/>
      <x:c r="L26" s="55" t="str"/>
    </x:row>
    <x:row r="27">
      <x:c r="A27" s="54" t="str">
        <x:v>R022</x:v>
      </x:c>
      <x:c r="B27" s="50" t="str"/>
      <x:c r="C27" s="188"/>
      <x:c r="D27" s="50" t="str"/>
      <x:c r="E27" s="50" t="str"/>
      <x:c r="F27" s="50" t="str"/>
      <x:c r="G27" s="50" t="str"/>
      <x:c r="H27" s="50" t="str"/>
      <x:c r="I27" s="50" t="str"/>
      <x:c r="J27" s="50" t="str">
        <x:v>미판정</x:v>
      </x:c>
      <x:c r="K27" s="50" t="str"/>
      <x:c r="L27" s="55" t="str"/>
    </x:row>
    <x:row r="28">
      <x:c r="A28" s="54" t="str">
        <x:v>R023</x:v>
      </x:c>
      <x:c r="B28" s="50" t="str"/>
      <x:c r="C28" s="188"/>
      <x:c r="D28" s="50" t="str"/>
      <x:c r="E28" s="50" t="str"/>
      <x:c r="F28" s="50" t="str"/>
      <x:c r="G28" s="50" t="str"/>
      <x:c r="H28" s="50" t="str"/>
      <x:c r="I28" s="50" t="str"/>
      <x:c r="J28" s="50" t="str">
        <x:v>미판정</x:v>
      </x:c>
      <x:c r="K28" s="50" t="str"/>
      <x:c r="L28" s="55" t="str"/>
    </x:row>
    <x:row r="29">
      <x:c r="A29" s="54" t="str">
        <x:v>R024</x:v>
      </x:c>
      <x:c r="B29" s="50" t="str"/>
      <x:c r="C29" s="188"/>
      <x:c r="D29" s="50" t="str"/>
      <x:c r="E29" s="50" t="str"/>
      <x:c r="F29" s="50" t="str"/>
      <x:c r="G29" s="50" t="str"/>
      <x:c r="H29" s="50" t="str"/>
      <x:c r="I29" s="50" t="str"/>
      <x:c r="J29" s="50" t="str">
        <x:v>미판정</x:v>
      </x:c>
      <x:c r="K29" s="50" t="str"/>
      <x:c r="L29" s="55" t="str"/>
    </x:row>
    <x:row r="30">
      <x:c r="A30" s="54" t="str">
        <x:v>R025</x:v>
      </x:c>
      <x:c r="B30" s="50" t="str"/>
      <x:c r="C30" s="188"/>
      <x:c r="D30" s="50" t="str"/>
      <x:c r="E30" s="50" t="str"/>
      <x:c r="F30" s="50" t="str"/>
      <x:c r="G30" s="50" t="str"/>
      <x:c r="H30" s="50" t="str"/>
      <x:c r="I30" s="50" t="str"/>
      <x:c r="J30" s="50" t="str">
        <x:v>미판정</x:v>
      </x:c>
      <x:c r="K30" s="50" t="str"/>
      <x:c r="L30" s="55" t="str"/>
    </x:row>
    <x:row r="31">
      <x:c r="A31" s="54" t="str">
        <x:v>R026</x:v>
      </x:c>
      <x:c r="B31" s="50" t="str"/>
      <x:c r="C31" s="188"/>
      <x:c r="D31" s="50" t="str"/>
      <x:c r="E31" s="50" t="str"/>
      <x:c r="F31" s="50" t="str"/>
      <x:c r="G31" s="50" t="str"/>
      <x:c r="H31" s="50" t="str"/>
      <x:c r="I31" s="50" t="str"/>
      <x:c r="J31" s="50" t="str">
        <x:v>미판정</x:v>
      </x:c>
      <x:c r="K31" s="50" t="str"/>
      <x:c r="L31" s="55" t="str"/>
    </x:row>
    <x:row r="32">
      <x:c r="A32" s="54" t="str">
        <x:v>R027</x:v>
      </x:c>
      <x:c r="B32" s="50" t="str"/>
      <x:c r="C32" s="188"/>
      <x:c r="D32" s="50" t="str"/>
      <x:c r="E32" s="50" t="str"/>
      <x:c r="F32" s="50" t="str"/>
      <x:c r="G32" s="50" t="str"/>
      <x:c r="H32" s="50" t="str"/>
      <x:c r="I32" s="50" t="str"/>
      <x:c r="J32" s="50" t="str">
        <x:v>미판정</x:v>
      </x:c>
      <x:c r="K32" s="50" t="str"/>
      <x:c r="L32" s="55" t="str"/>
    </x:row>
    <x:row r="33">
      <x:c r="A33" s="54" t="str">
        <x:v>R028</x:v>
      </x:c>
      <x:c r="B33" s="50" t="str"/>
      <x:c r="C33" s="188"/>
      <x:c r="D33" s="50" t="str"/>
      <x:c r="E33" s="50" t="str"/>
      <x:c r="F33" s="50" t="str"/>
      <x:c r="G33" s="50" t="str"/>
      <x:c r="H33" s="50" t="str"/>
      <x:c r="I33" s="50" t="str"/>
      <x:c r="J33" s="50" t="str">
        <x:v>미판정</x:v>
      </x:c>
      <x:c r="K33" s="50" t="str"/>
      <x:c r="L33" s="55" t="str"/>
    </x:row>
    <x:row r="34">
      <x:c r="A34" s="54" t="str">
        <x:v>R029</x:v>
      </x:c>
      <x:c r="B34" s="50" t="str"/>
      <x:c r="C34" s="188"/>
      <x:c r="D34" s="50" t="str"/>
      <x:c r="E34" s="50" t="str"/>
      <x:c r="F34" s="50" t="str"/>
      <x:c r="G34" s="50" t="str"/>
      <x:c r="H34" s="50" t="str"/>
      <x:c r="I34" s="50" t="str"/>
      <x:c r="J34" s="50" t="str">
        <x:v>미판정</x:v>
      </x:c>
      <x:c r="K34" s="50" t="str"/>
      <x:c r="L34" s="55" t="str"/>
    </x:row>
    <x:row r="35">
      <x:c r="A35" s="54" t="str">
        <x:v>R030</x:v>
      </x:c>
      <x:c r="B35" s="50" t="str"/>
      <x:c r="C35" s="188"/>
      <x:c r="D35" s="50" t="str"/>
      <x:c r="E35" s="50" t="str"/>
      <x:c r="F35" s="50" t="str"/>
      <x:c r="G35" s="50" t="str"/>
      <x:c r="H35" s="50" t="str"/>
      <x:c r="I35" s="50" t="str"/>
      <x:c r="J35" s="50" t="str">
        <x:v>미판정</x:v>
      </x:c>
      <x:c r="K35" s="50" t="str"/>
      <x:c r="L35" s="55" t="str"/>
    </x:row>
    <x:row r="36">
      <x:c r="A36" s="54" t="str">
        <x:v>R031</x:v>
      </x:c>
      <x:c r="B36" s="50" t="str"/>
      <x:c r="C36" s="188"/>
      <x:c r="D36" s="50" t="str"/>
      <x:c r="E36" s="50" t="str"/>
      <x:c r="F36" s="50" t="str"/>
      <x:c r="G36" s="50" t="str"/>
      <x:c r="H36" s="50" t="str"/>
      <x:c r="I36" s="50" t="str"/>
      <x:c r="J36" s="50" t="str">
        <x:v>미판정</x:v>
      </x:c>
      <x:c r="K36" s="50" t="str"/>
      <x:c r="L36" s="55" t="str"/>
    </x:row>
    <x:row r="37">
      <x:c r="A37" s="54" t="str">
        <x:v>R032</x:v>
      </x:c>
      <x:c r="B37" s="50" t="str"/>
      <x:c r="C37" s="188"/>
      <x:c r="D37" s="50" t="str"/>
      <x:c r="E37" s="50" t="str"/>
      <x:c r="F37" s="50" t="str"/>
      <x:c r="G37" s="50" t="str"/>
      <x:c r="H37" s="50" t="str"/>
      <x:c r="I37" s="50" t="str"/>
      <x:c r="J37" s="50" t="str">
        <x:v>미판정</x:v>
      </x:c>
      <x:c r="K37" s="50" t="str"/>
      <x:c r="L37" s="55" t="str"/>
    </x:row>
    <x:row r="38">
      <x:c r="A38" s="54" t="str">
        <x:v>R033</x:v>
      </x:c>
      <x:c r="B38" s="50" t="str"/>
      <x:c r="C38" s="188"/>
      <x:c r="D38" s="50" t="str"/>
      <x:c r="E38" s="50" t="str"/>
      <x:c r="F38" s="50" t="str"/>
      <x:c r="G38" s="50" t="str"/>
      <x:c r="H38" s="50" t="str"/>
      <x:c r="I38" s="50" t="str"/>
      <x:c r="J38" s="50" t="str">
        <x:v>미판정</x:v>
      </x:c>
      <x:c r="K38" s="50" t="str"/>
      <x:c r="L38" s="55" t="str"/>
    </x:row>
    <x:row r="39">
      <x:c r="A39" s="54" t="str">
        <x:v>R034</x:v>
      </x:c>
      <x:c r="B39" s="50" t="str"/>
      <x:c r="C39" s="188"/>
      <x:c r="D39" s="50" t="str"/>
      <x:c r="E39" s="50" t="str"/>
      <x:c r="F39" s="50" t="str"/>
      <x:c r="G39" s="50" t="str"/>
      <x:c r="H39" s="50" t="str"/>
      <x:c r="I39" s="50" t="str"/>
      <x:c r="J39" s="50" t="str">
        <x:v>미판정</x:v>
      </x:c>
      <x:c r="K39" s="50" t="str"/>
      <x:c r="L39" s="55" t="str"/>
    </x:row>
    <x:row r="40">
      <x:c r="A40" s="54" t="str">
        <x:v>R035</x:v>
      </x:c>
      <x:c r="B40" s="50" t="str"/>
      <x:c r="C40" s="188"/>
      <x:c r="D40" s="50" t="str"/>
      <x:c r="E40" s="50" t="str"/>
      <x:c r="F40" s="50" t="str"/>
      <x:c r="G40" s="50" t="str"/>
      <x:c r="H40" s="50" t="str"/>
      <x:c r="I40" s="50" t="str"/>
      <x:c r="J40" s="50" t="str">
        <x:v>미판정</x:v>
      </x:c>
      <x:c r="K40" s="50" t="str"/>
      <x:c r="L40" s="55" t="str"/>
    </x:row>
    <x:row r="41">
      <x:c r="A41" s="54" t="str">
        <x:v>R036</x:v>
      </x:c>
      <x:c r="B41" s="50" t="str"/>
      <x:c r="C41" s="188"/>
      <x:c r="D41" s="50" t="str"/>
      <x:c r="E41" s="50" t="str"/>
      <x:c r="F41" s="50" t="str"/>
      <x:c r="G41" s="50" t="str"/>
      <x:c r="H41" s="50" t="str"/>
      <x:c r="I41" s="50" t="str"/>
      <x:c r="J41" s="50" t="str">
        <x:v>미판정</x:v>
      </x:c>
      <x:c r="K41" s="50" t="str"/>
      <x:c r="L41" s="55" t="str"/>
    </x:row>
    <x:row r="42">
      <x:c r="A42" s="54" t="str">
        <x:v>R037</x:v>
      </x:c>
      <x:c r="B42" s="50" t="str"/>
      <x:c r="C42" s="188"/>
      <x:c r="D42" s="50" t="str"/>
      <x:c r="E42" s="50" t="str"/>
      <x:c r="F42" s="50" t="str"/>
      <x:c r="G42" s="50" t="str"/>
      <x:c r="H42" s="50" t="str"/>
      <x:c r="I42" s="50" t="str"/>
      <x:c r="J42" s="50" t="str">
        <x:v>미판정</x:v>
      </x:c>
      <x:c r="K42" s="50" t="str"/>
      <x:c r="L42" s="55" t="str"/>
    </x:row>
    <x:row r="43">
      <x:c r="A43" s="54" t="str">
        <x:v>R038</x:v>
      </x:c>
      <x:c r="B43" s="50" t="str"/>
      <x:c r="C43" s="188"/>
      <x:c r="D43" s="50" t="str"/>
      <x:c r="E43" s="50" t="str"/>
      <x:c r="F43" s="50" t="str"/>
      <x:c r="G43" s="50" t="str"/>
      <x:c r="H43" s="50" t="str"/>
      <x:c r="I43" s="50" t="str"/>
      <x:c r="J43" s="50" t="str">
        <x:v>미판정</x:v>
      </x:c>
      <x:c r="K43" s="50" t="str"/>
      <x:c r="L43" s="55" t="str"/>
    </x:row>
    <x:row r="44">
      <x:c r="A44" s="54" t="str">
        <x:v>R039</x:v>
      </x:c>
      <x:c r="B44" s="50" t="str"/>
      <x:c r="C44" s="188"/>
      <x:c r="D44" s="50" t="str"/>
      <x:c r="E44" s="50" t="str"/>
      <x:c r="F44" s="50" t="str"/>
      <x:c r="G44" s="50" t="str"/>
      <x:c r="H44" s="50" t="str"/>
      <x:c r="I44" s="50" t="str"/>
      <x:c r="J44" s="50" t="str">
        <x:v>미판정</x:v>
      </x:c>
      <x:c r="K44" s="50" t="str"/>
      <x:c r="L44" s="55" t="str"/>
    </x:row>
    <x:row r="45">
      <x:c r="A45" s="54" t="str">
        <x:v>R040</x:v>
      </x:c>
      <x:c r="B45" s="50" t="str"/>
      <x:c r="C45" s="188"/>
      <x:c r="D45" s="50" t="str"/>
      <x:c r="E45" s="50" t="str"/>
      <x:c r="F45" s="50" t="str"/>
      <x:c r="G45" s="50" t="str"/>
      <x:c r="H45" s="50" t="str"/>
      <x:c r="I45" s="50" t="str"/>
      <x:c r="J45" s="50" t="str">
        <x:v>미판정</x:v>
      </x:c>
      <x:c r="K45" s="50" t="str"/>
      <x:c r="L45" s="55" t="str"/>
    </x:row>
    <x:row r="46">
      <x:c r="A46" s="54" t="str">
        <x:v>R041</x:v>
      </x:c>
      <x:c r="B46" s="50" t="str"/>
      <x:c r="C46" s="188"/>
      <x:c r="D46" s="50" t="str"/>
      <x:c r="E46" s="50" t="str"/>
      <x:c r="F46" s="50" t="str"/>
      <x:c r="G46" s="50" t="str"/>
      <x:c r="H46" s="50" t="str"/>
      <x:c r="I46" s="50" t="str"/>
      <x:c r="J46" s="50" t="str">
        <x:v>미판정</x:v>
      </x:c>
      <x:c r="K46" s="50" t="str"/>
      <x:c r="L46" s="55" t="str"/>
    </x:row>
    <x:row r="47">
      <x:c r="A47" s="54" t="str">
        <x:v>R042</x:v>
      </x:c>
      <x:c r="B47" s="50" t="str"/>
      <x:c r="C47" s="188"/>
      <x:c r="D47" s="50" t="str"/>
      <x:c r="E47" s="50" t="str"/>
      <x:c r="F47" s="50" t="str"/>
      <x:c r="G47" s="50" t="str"/>
      <x:c r="H47" s="50" t="str"/>
      <x:c r="I47" s="50" t="str"/>
      <x:c r="J47" s="50" t="str">
        <x:v>미판정</x:v>
      </x:c>
      <x:c r="K47" s="50" t="str"/>
      <x:c r="L47" s="55" t="str"/>
    </x:row>
    <x:row r="48">
      <x:c r="A48" s="54" t="str">
        <x:v>R043</x:v>
      </x:c>
      <x:c r="B48" s="50" t="str"/>
      <x:c r="C48" s="188"/>
      <x:c r="D48" s="50" t="str"/>
      <x:c r="E48" s="50" t="str"/>
      <x:c r="F48" s="50" t="str"/>
      <x:c r="G48" s="50" t="str"/>
      <x:c r="H48" s="50" t="str"/>
      <x:c r="I48" s="50" t="str"/>
      <x:c r="J48" s="50" t="str">
        <x:v>미판정</x:v>
      </x:c>
      <x:c r="K48" s="50" t="str"/>
      <x:c r="L48" s="55" t="str"/>
    </x:row>
    <x:row r="49">
      <x:c r="A49" s="54" t="str">
        <x:v>R044</x:v>
      </x:c>
      <x:c r="B49" s="50" t="str"/>
      <x:c r="C49" s="188"/>
      <x:c r="D49" s="50" t="str"/>
      <x:c r="E49" s="50" t="str"/>
      <x:c r="F49" s="50" t="str"/>
      <x:c r="G49" s="50" t="str"/>
      <x:c r="H49" s="50" t="str"/>
      <x:c r="I49" s="50" t="str"/>
      <x:c r="J49" s="50" t="str">
        <x:v>미판정</x:v>
      </x:c>
      <x:c r="K49" s="50" t="str"/>
      <x:c r="L49" s="55" t="str"/>
    </x:row>
    <x:row r="50">
      <x:c r="A50" s="54" t="str">
        <x:v>R045</x:v>
      </x:c>
      <x:c r="B50" s="50" t="str"/>
      <x:c r="C50" s="188"/>
      <x:c r="D50" s="50" t="str"/>
      <x:c r="E50" s="50" t="str"/>
      <x:c r="F50" s="50" t="str"/>
      <x:c r="G50" s="50" t="str"/>
      <x:c r="H50" s="50" t="str"/>
      <x:c r="I50" s="50" t="str"/>
      <x:c r="J50" s="50" t="str">
        <x:v>미판정</x:v>
      </x:c>
      <x:c r="K50" s="50" t="str"/>
      <x:c r="L50" s="55" t="str"/>
    </x:row>
    <x:row r="51">
      <x:c r="A51" s="54" t="str">
        <x:v>R046</x:v>
      </x:c>
      <x:c r="B51" s="50" t="str"/>
      <x:c r="C51" s="188"/>
      <x:c r="D51" s="50" t="str"/>
      <x:c r="E51" s="50" t="str"/>
      <x:c r="F51" s="50" t="str"/>
      <x:c r="G51" s="50" t="str"/>
      <x:c r="H51" s="50" t="str"/>
      <x:c r="I51" s="50" t="str"/>
      <x:c r="J51" s="50" t="str">
        <x:v>미판정</x:v>
      </x:c>
      <x:c r="K51" s="50" t="str"/>
      <x:c r="L51" s="55" t="str"/>
    </x:row>
    <x:row r="52">
      <x:c r="A52" s="54" t="str">
        <x:v>R047</x:v>
      </x:c>
      <x:c r="B52" s="50" t="str"/>
      <x:c r="C52" s="188"/>
      <x:c r="D52" s="50" t="str"/>
      <x:c r="E52" s="50" t="str"/>
      <x:c r="F52" s="50" t="str"/>
      <x:c r="G52" s="50" t="str"/>
      <x:c r="H52" s="50" t="str"/>
      <x:c r="I52" s="50" t="str"/>
      <x:c r="J52" s="50" t="str">
        <x:v>미판정</x:v>
      </x:c>
      <x:c r="K52" s="50" t="str"/>
      <x:c r="L52" s="55" t="str"/>
    </x:row>
    <x:row r="53">
      <x:c r="A53" s="54" t="str">
        <x:v>R048</x:v>
      </x:c>
      <x:c r="B53" s="50" t="str"/>
      <x:c r="C53" s="188"/>
      <x:c r="D53" s="50" t="str"/>
      <x:c r="E53" s="50" t="str"/>
      <x:c r="F53" s="50" t="str"/>
      <x:c r="G53" s="50" t="str"/>
      <x:c r="H53" s="50" t="str"/>
      <x:c r="I53" s="50" t="str"/>
      <x:c r="J53" s="50" t="str">
        <x:v>미판정</x:v>
      </x:c>
      <x:c r="K53" s="50" t="str"/>
      <x:c r="L53" s="55" t="str"/>
    </x:row>
    <x:row r="54">
      <x:c r="A54" s="54" t="str">
        <x:v>R049</x:v>
      </x:c>
      <x:c r="B54" s="50" t="str"/>
      <x:c r="C54" s="188"/>
      <x:c r="D54" s="50" t="str"/>
      <x:c r="E54" s="50" t="str"/>
      <x:c r="F54" s="50" t="str"/>
      <x:c r="G54" s="50" t="str"/>
      <x:c r="H54" s="50" t="str"/>
      <x:c r="I54" s="50" t="str"/>
      <x:c r="J54" s="50" t="str">
        <x:v>미판정</x:v>
      </x:c>
      <x:c r="K54" s="50" t="str"/>
      <x:c r="L54" s="55" t="str"/>
    </x:row>
    <x:row r="55">
      <x:c r="A55" s="54" t="str">
        <x:v>R050</x:v>
      </x:c>
      <x:c r="B55" s="50" t="str"/>
      <x:c r="C55" s="188"/>
      <x:c r="D55" s="50" t="str"/>
      <x:c r="E55" s="50" t="str"/>
      <x:c r="F55" s="50" t="str"/>
      <x:c r="G55" s="50" t="str"/>
      <x:c r="H55" s="50" t="str"/>
      <x:c r="I55" s="50" t="str"/>
      <x:c r="J55" s="50" t="str">
        <x:v>미판정</x:v>
      </x:c>
      <x:c r="K55" s="50" t="str"/>
      <x:c r="L55" s="55" t="str"/>
    </x:row>
    <x:row r="56">
      <x:c r="A56" s="54" t="str">
        <x:v>R051</x:v>
      </x:c>
      <x:c r="B56" s="50" t="str"/>
      <x:c r="C56" s="188"/>
      <x:c r="D56" s="50" t="str"/>
      <x:c r="E56" s="50" t="str"/>
      <x:c r="F56" s="50" t="str"/>
      <x:c r="G56" s="50" t="str"/>
      <x:c r="H56" s="50" t="str"/>
      <x:c r="I56" s="50" t="str"/>
      <x:c r="J56" s="50" t="str">
        <x:v>미판정</x:v>
      </x:c>
      <x:c r="K56" s="50" t="str"/>
      <x:c r="L56" s="55" t="str"/>
    </x:row>
    <x:row r="57">
      <x:c r="A57" s="54" t="str">
        <x:v>R052</x:v>
      </x:c>
      <x:c r="B57" s="50" t="str"/>
      <x:c r="C57" s="188"/>
      <x:c r="D57" s="50" t="str"/>
      <x:c r="E57" s="50" t="str"/>
      <x:c r="F57" s="50" t="str"/>
      <x:c r="G57" s="50" t="str"/>
      <x:c r="H57" s="50" t="str"/>
      <x:c r="I57" s="50" t="str"/>
      <x:c r="J57" s="50" t="str">
        <x:v>미판정</x:v>
      </x:c>
      <x:c r="K57" s="50" t="str"/>
      <x:c r="L57" s="55" t="str"/>
    </x:row>
    <x:row r="58">
      <x:c r="A58" s="54" t="str">
        <x:v>R053</x:v>
      </x:c>
      <x:c r="B58" s="50" t="str"/>
      <x:c r="C58" s="188"/>
      <x:c r="D58" s="50" t="str"/>
      <x:c r="E58" s="50" t="str"/>
      <x:c r="F58" s="50" t="str"/>
      <x:c r="G58" s="50" t="str"/>
      <x:c r="H58" s="50" t="str"/>
      <x:c r="I58" s="50" t="str"/>
      <x:c r="J58" s="50" t="str">
        <x:v>미판정</x:v>
      </x:c>
      <x:c r="K58" s="50" t="str"/>
      <x:c r="L58" s="55" t="str"/>
    </x:row>
    <x:row r="59">
      <x:c r="A59" s="54" t="str">
        <x:v>R054</x:v>
      </x:c>
      <x:c r="B59" s="50" t="str"/>
      <x:c r="C59" s="188"/>
      <x:c r="D59" s="50" t="str"/>
      <x:c r="E59" s="50" t="str"/>
      <x:c r="F59" s="50" t="str"/>
      <x:c r="G59" s="50" t="str"/>
      <x:c r="H59" s="50" t="str"/>
      <x:c r="I59" s="50" t="str"/>
      <x:c r="J59" s="50" t="str">
        <x:v>미판정</x:v>
      </x:c>
      <x:c r="K59" s="50" t="str"/>
      <x:c r="L59" s="55" t="str"/>
    </x:row>
    <x:row r="60">
      <x:c r="A60" s="54" t="str">
        <x:v>R055</x:v>
      </x:c>
      <x:c r="B60" s="50" t="str"/>
      <x:c r="C60" s="188"/>
      <x:c r="D60" s="50" t="str"/>
      <x:c r="E60" s="50" t="str"/>
      <x:c r="F60" s="50" t="str"/>
      <x:c r="G60" s="50" t="str"/>
      <x:c r="H60" s="50" t="str"/>
      <x:c r="I60" s="50" t="str"/>
      <x:c r="J60" s="50" t="str">
        <x:v>미판정</x:v>
      </x:c>
      <x:c r="K60" s="50" t="str"/>
      <x:c r="L60" s="55" t="str"/>
    </x:row>
    <x:row r="61">
      <x:c r="A61" s="54" t="str">
        <x:v>R056</x:v>
      </x:c>
      <x:c r="B61" s="50" t="str"/>
      <x:c r="C61" s="188"/>
      <x:c r="D61" s="50" t="str"/>
      <x:c r="E61" s="50" t="str"/>
      <x:c r="F61" s="50" t="str"/>
      <x:c r="G61" s="50" t="str"/>
      <x:c r="H61" s="50" t="str"/>
      <x:c r="I61" s="50" t="str"/>
      <x:c r="J61" s="50" t="str">
        <x:v>미판정</x:v>
      </x:c>
      <x:c r="K61" s="50" t="str"/>
      <x:c r="L61" s="55" t="str"/>
    </x:row>
    <x:row r="62">
      <x:c r="A62" s="54" t="str">
        <x:v>R057</x:v>
      </x:c>
      <x:c r="B62" s="50" t="str"/>
      <x:c r="C62" s="188"/>
      <x:c r="D62" s="50" t="str"/>
      <x:c r="E62" s="50" t="str"/>
      <x:c r="F62" s="50" t="str"/>
      <x:c r="G62" s="50" t="str"/>
      <x:c r="H62" s="50" t="str"/>
      <x:c r="I62" s="50" t="str"/>
      <x:c r="J62" s="50" t="str">
        <x:v>미판정</x:v>
      </x:c>
      <x:c r="K62" s="50" t="str"/>
      <x:c r="L62" s="55" t="str"/>
    </x:row>
    <x:row r="63">
      <x:c r="A63" s="54" t="str">
        <x:v>R058</x:v>
      </x:c>
      <x:c r="B63" s="50" t="str"/>
      <x:c r="C63" s="188"/>
      <x:c r="D63" s="50" t="str"/>
      <x:c r="E63" s="50" t="str"/>
      <x:c r="F63" s="50" t="str"/>
      <x:c r="G63" s="50" t="str"/>
      <x:c r="H63" s="50" t="str"/>
      <x:c r="I63" s="50" t="str"/>
      <x:c r="J63" s="50" t="str">
        <x:v>미판정</x:v>
      </x:c>
      <x:c r="K63" s="50" t="str"/>
      <x:c r="L63" s="55" t="str"/>
    </x:row>
    <x:row r="64">
      <x:c r="A64" s="54" t="str">
        <x:v>R059</x:v>
      </x:c>
      <x:c r="B64" s="50" t="str"/>
      <x:c r="C64" s="188"/>
      <x:c r="D64" s="50" t="str"/>
      <x:c r="E64" s="50" t="str"/>
      <x:c r="F64" s="50" t="str"/>
      <x:c r="G64" s="50" t="str"/>
      <x:c r="H64" s="50" t="str"/>
      <x:c r="I64" s="50" t="str"/>
      <x:c r="J64" s="50" t="str">
        <x:v>미판정</x:v>
      </x:c>
      <x:c r="K64" s="50" t="str"/>
      <x:c r="L64" s="55" t="str"/>
    </x:row>
    <x:row r="65">
      <x:c r="A65" s="54" t="str">
        <x:v>R060</x:v>
      </x:c>
      <x:c r="B65" s="50" t="str"/>
      <x:c r="C65" s="188"/>
      <x:c r="D65" s="50" t="str"/>
      <x:c r="E65" s="50" t="str"/>
      <x:c r="F65" s="50" t="str"/>
      <x:c r="G65" s="50" t="str"/>
      <x:c r="H65" s="50" t="str"/>
      <x:c r="I65" s="50" t="str"/>
      <x:c r="J65" s="50" t="str">
        <x:v>미판정</x:v>
      </x:c>
      <x:c r="K65" s="50" t="str"/>
      <x:c r="L65" s="55" t="str"/>
    </x:row>
    <x:row r="66">
      <x:c r="A66" s="54" t="str">
        <x:v>R061</x:v>
      </x:c>
      <x:c r="B66" s="50" t="str"/>
      <x:c r="C66" s="188"/>
      <x:c r="D66" s="50" t="str"/>
      <x:c r="E66" s="50" t="str"/>
      <x:c r="F66" s="50" t="str"/>
      <x:c r="G66" s="50" t="str"/>
      <x:c r="H66" s="50" t="str"/>
      <x:c r="I66" s="50" t="str"/>
      <x:c r="J66" s="50" t="str">
        <x:v>미판정</x:v>
      </x:c>
      <x:c r="K66" s="50" t="str"/>
      <x:c r="L66" s="55" t="str"/>
    </x:row>
    <x:row r="67">
      <x:c r="A67" s="54" t="str">
        <x:v>R062</x:v>
      </x:c>
      <x:c r="B67" s="50" t="str"/>
      <x:c r="C67" s="188"/>
      <x:c r="D67" s="50" t="str"/>
      <x:c r="E67" s="50" t="str"/>
      <x:c r="F67" s="50" t="str"/>
      <x:c r="G67" s="50" t="str"/>
      <x:c r="H67" s="50" t="str"/>
      <x:c r="I67" s="50" t="str"/>
      <x:c r="J67" s="50" t="str">
        <x:v>미판정</x:v>
      </x:c>
      <x:c r="K67" s="50" t="str"/>
      <x:c r="L67" s="55" t="str"/>
    </x:row>
    <x:row r="68">
      <x:c r="A68" s="54" t="str">
        <x:v>R063</x:v>
      </x:c>
      <x:c r="B68" s="50" t="str"/>
      <x:c r="C68" s="188"/>
      <x:c r="D68" s="50" t="str"/>
      <x:c r="E68" s="50" t="str"/>
      <x:c r="F68" s="50" t="str"/>
      <x:c r="G68" s="50" t="str"/>
      <x:c r="H68" s="50" t="str"/>
      <x:c r="I68" s="50" t="str"/>
      <x:c r="J68" s="50" t="str">
        <x:v>미판정</x:v>
      </x:c>
      <x:c r="K68" s="50" t="str"/>
      <x:c r="L68" s="55" t="str"/>
    </x:row>
    <x:row r="69">
      <x:c r="A69" s="54" t="str">
        <x:v>R064</x:v>
      </x:c>
      <x:c r="B69" s="50" t="str"/>
      <x:c r="C69" s="188"/>
      <x:c r="D69" s="50" t="str"/>
      <x:c r="E69" s="50" t="str"/>
      <x:c r="F69" s="50" t="str"/>
      <x:c r="G69" s="50" t="str"/>
      <x:c r="H69" s="50" t="str"/>
      <x:c r="I69" s="50" t="str"/>
      <x:c r="J69" s="50" t="str">
        <x:v>미판정</x:v>
      </x:c>
      <x:c r="K69" s="50" t="str"/>
      <x:c r="L69" s="55" t="str"/>
    </x:row>
    <x:row r="70">
      <x:c r="A70" s="54" t="str">
        <x:v>R065</x:v>
      </x:c>
      <x:c r="B70" s="50" t="str"/>
      <x:c r="C70" s="188"/>
      <x:c r="D70" s="50" t="str"/>
      <x:c r="E70" s="50" t="str"/>
      <x:c r="F70" s="50" t="str"/>
      <x:c r="G70" s="50" t="str"/>
      <x:c r="H70" s="50" t="str"/>
      <x:c r="I70" s="50" t="str"/>
      <x:c r="J70" s="50" t="str">
        <x:v>미판정</x:v>
      </x:c>
      <x:c r="K70" s="50" t="str"/>
      <x:c r="L70" s="55" t="str"/>
    </x:row>
    <x:row r="71">
      <x:c r="A71" s="54" t="str">
        <x:v>R066</x:v>
      </x:c>
      <x:c r="B71" s="50" t="str"/>
      <x:c r="C71" s="188"/>
      <x:c r="D71" s="50" t="str"/>
      <x:c r="E71" s="50" t="str"/>
      <x:c r="F71" s="50" t="str"/>
      <x:c r="G71" s="50" t="str"/>
      <x:c r="H71" s="50" t="str"/>
      <x:c r="I71" s="50" t="str"/>
      <x:c r="J71" s="50" t="str">
        <x:v>미판정</x:v>
      </x:c>
      <x:c r="K71" s="50" t="str"/>
      <x:c r="L71" s="55" t="str"/>
    </x:row>
    <x:row r="72">
      <x:c r="A72" s="54" t="str">
        <x:v>R067</x:v>
      </x:c>
      <x:c r="B72" s="50" t="str"/>
      <x:c r="C72" s="188"/>
      <x:c r="D72" s="50" t="str"/>
      <x:c r="E72" s="50" t="str"/>
      <x:c r="F72" s="50" t="str"/>
      <x:c r="G72" s="50" t="str"/>
      <x:c r="H72" s="50" t="str"/>
      <x:c r="I72" s="50" t="str"/>
      <x:c r="J72" s="50" t="str">
        <x:v>미판정</x:v>
      </x:c>
      <x:c r="K72" s="50" t="str"/>
      <x:c r="L72" s="55" t="str"/>
    </x:row>
    <x:row r="73">
      <x:c r="A73" s="54" t="str">
        <x:v>R068</x:v>
      </x:c>
      <x:c r="B73" s="50" t="str"/>
      <x:c r="C73" s="188"/>
      <x:c r="D73" s="50" t="str"/>
      <x:c r="E73" s="50" t="str"/>
      <x:c r="F73" s="50" t="str"/>
      <x:c r="G73" s="50" t="str"/>
      <x:c r="H73" s="50" t="str"/>
      <x:c r="I73" s="50" t="str"/>
      <x:c r="J73" s="50" t="str">
        <x:v>미판정</x:v>
      </x:c>
      <x:c r="K73" s="50" t="str"/>
      <x:c r="L73" s="55" t="str"/>
    </x:row>
    <x:row r="74">
      <x:c r="A74" s="54" t="str">
        <x:v>R069</x:v>
      </x:c>
      <x:c r="B74" s="50" t="str"/>
      <x:c r="C74" s="188"/>
      <x:c r="D74" s="50" t="str"/>
      <x:c r="E74" s="50" t="str"/>
      <x:c r="F74" s="50" t="str"/>
      <x:c r="G74" s="50" t="str"/>
      <x:c r="H74" s="50" t="str"/>
      <x:c r="I74" s="50" t="str"/>
      <x:c r="J74" s="50" t="str">
        <x:v>미판정</x:v>
      </x:c>
      <x:c r="K74" s="50" t="str"/>
      <x:c r="L74" s="55" t="str"/>
    </x:row>
    <x:row r="75">
      <x:c r="A75" s="54" t="str">
        <x:v>R070</x:v>
      </x:c>
      <x:c r="B75" s="50" t="str"/>
      <x:c r="C75" s="188"/>
      <x:c r="D75" s="50" t="str"/>
      <x:c r="E75" s="50" t="str"/>
      <x:c r="F75" s="50" t="str"/>
      <x:c r="G75" s="50" t="str"/>
      <x:c r="H75" s="50" t="str"/>
      <x:c r="I75" s="50" t="str"/>
      <x:c r="J75" s="50" t="str">
        <x:v>미판정</x:v>
      </x:c>
      <x:c r="K75" s="50" t="str"/>
      <x:c r="L75" s="55" t="str"/>
    </x:row>
    <x:row r="76">
      <x:c r="A76" s="54" t="str">
        <x:v>R071</x:v>
      </x:c>
      <x:c r="B76" s="50" t="str"/>
      <x:c r="C76" s="188"/>
      <x:c r="D76" s="50" t="str"/>
      <x:c r="E76" s="50" t="str"/>
      <x:c r="F76" s="50" t="str"/>
      <x:c r="G76" s="50" t="str"/>
      <x:c r="H76" s="50" t="str"/>
      <x:c r="I76" s="50" t="str"/>
      <x:c r="J76" s="50" t="str">
        <x:v>미판정</x:v>
      </x:c>
      <x:c r="K76" s="50" t="str"/>
      <x:c r="L76" s="55" t="str"/>
    </x:row>
    <x:row r="77">
      <x:c r="A77" s="54" t="str">
        <x:v>R072</x:v>
      </x:c>
      <x:c r="B77" s="50" t="str"/>
      <x:c r="C77" s="188"/>
      <x:c r="D77" s="50" t="str"/>
      <x:c r="E77" s="50" t="str"/>
      <x:c r="F77" s="50" t="str"/>
      <x:c r="G77" s="50" t="str"/>
      <x:c r="H77" s="50" t="str"/>
      <x:c r="I77" s="50" t="str"/>
      <x:c r="J77" s="50" t="str">
        <x:v>미판정</x:v>
      </x:c>
      <x:c r="K77" s="50" t="str"/>
      <x:c r="L77" s="55" t="str"/>
    </x:row>
    <x:row r="78">
      <x:c r="A78" s="54" t="str">
        <x:v>R073</x:v>
      </x:c>
      <x:c r="B78" s="50" t="str"/>
      <x:c r="C78" s="188"/>
      <x:c r="D78" s="50" t="str"/>
      <x:c r="E78" s="50" t="str"/>
      <x:c r="F78" s="50" t="str"/>
      <x:c r="G78" s="50" t="str"/>
      <x:c r="H78" s="50" t="str"/>
      <x:c r="I78" s="50" t="str"/>
      <x:c r="J78" s="50" t="str">
        <x:v>미판정</x:v>
      </x:c>
      <x:c r="K78" s="50" t="str"/>
      <x:c r="L78" s="55" t="str"/>
    </x:row>
    <x:row r="79">
      <x:c r="A79" s="54" t="str">
        <x:v>R074</x:v>
      </x:c>
      <x:c r="B79" s="50" t="str"/>
      <x:c r="C79" s="188"/>
      <x:c r="D79" s="50" t="str"/>
      <x:c r="E79" s="50" t="str"/>
      <x:c r="F79" s="50" t="str"/>
      <x:c r="G79" s="50" t="str"/>
      <x:c r="H79" s="50" t="str"/>
      <x:c r="I79" s="50" t="str"/>
      <x:c r="J79" s="50" t="str">
        <x:v>미판정</x:v>
      </x:c>
      <x:c r="K79" s="50" t="str"/>
      <x:c r="L79" s="55" t="str"/>
    </x:row>
    <x:row r="80">
      <x:c r="A80" s="54" t="str">
        <x:v>R075</x:v>
      </x:c>
      <x:c r="B80" s="50" t="str"/>
      <x:c r="C80" s="188"/>
      <x:c r="D80" s="50" t="str"/>
      <x:c r="E80" s="50" t="str"/>
      <x:c r="F80" s="50" t="str"/>
      <x:c r="G80" s="50" t="str"/>
      <x:c r="H80" s="50" t="str"/>
      <x:c r="I80" s="50" t="str"/>
      <x:c r="J80" s="50" t="str">
        <x:v>미판정</x:v>
      </x:c>
      <x:c r="K80" s="50" t="str"/>
      <x:c r="L80" s="55" t="str"/>
    </x:row>
    <x:row r="81">
      <x:c r="A81" s="54" t="str">
        <x:v>R076</x:v>
      </x:c>
      <x:c r="B81" s="50" t="str"/>
      <x:c r="C81" s="188"/>
      <x:c r="D81" s="50" t="str"/>
      <x:c r="E81" s="50" t="str"/>
      <x:c r="F81" s="50" t="str"/>
      <x:c r="G81" s="50" t="str"/>
      <x:c r="H81" s="50" t="str"/>
      <x:c r="I81" s="50" t="str"/>
      <x:c r="J81" s="50" t="str">
        <x:v>미판정</x:v>
      </x:c>
      <x:c r="K81" s="50" t="str"/>
      <x:c r="L81" s="55" t="str"/>
    </x:row>
    <x:row r="82">
      <x:c r="A82" s="54" t="str">
        <x:v>R077</x:v>
      </x:c>
      <x:c r="B82" s="50" t="str"/>
      <x:c r="C82" s="188"/>
      <x:c r="D82" s="50" t="str"/>
      <x:c r="E82" s="50" t="str"/>
      <x:c r="F82" s="50" t="str"/>
      <x:c r="G82" s="50" t="str"/>
      <x:c r="H82" s="50" t="str"/>
      <x:c r="I82" s="50" t="str"/>
      <x:c r="J82" s="50" t="str">
        <x:v>미판정</x:v>
      </x:c>
      <x:c r="K82" s="50" t="str"/>
      <x:c r="L82" s="55" t="str"/>
    </x:row>
    <x:row r="83">
      <x:c r="A83" s="54" t="str">
        <x:v>R078</x:v>
      </x:c>
      <x:c r="B83" s="50" t="str"/>
      <x:c r="C83" s="188"/>
      <x:c r="D83" s="50" t="str"/>
      <x:c r="E83" s="50" t="str"/>
      <x:c r="F83" s="50" t="str"/>
      <x:c r="G83" s="50" t="str"/>
      <x:c r="H83" s="50" t="str"/>
      <x:c r="I83" s="50" t="str"/>
      <x:c r="J83" s="50" t="str">
        <x:v>미판정</x:v>
      </x:c>
      <x:c r="K83" s="50" t="str"/>
      <x:c r="L83" s="55" t="str"/>
    </x:row>
    <x:row r="84">
      <x:c r="A84" s="54" t="str">
        <x:v>R079</x:v>
      </x:c>
      <x:c r="B84" s="50" t="str"/>
      <x:c r="C84" s="188"/>
      <x:c r="D84" s="50" t="str"/>
      <x:c r="E84" s="50" t="str"/>
      <x:c r="F84" s="50" t="str"/>
      <x:c r="G84" s="50" t="str"/>
      <x:c r="H84" s="50" t="str"/>
      <x:c r="I84" s="50" t="str"/>
      <x:c r="J84" s="50" t="str">
        <x:v>미판정</x:v>
      </x:c>
      <x:c r="K84" s="50" t="str"/>
      <x:c r="L84" s="55" t="str"/>
    </x:row>
    <x:row r="85">
      <x:c r="A85" s="54" t="str">
        <x:v>R080</x:v>
      </x:c>
      <x:c r="B85" s="50" t="str"/>
      <x:c r="C85" s="188"/>
      <x:c r="D85" s="50" t="str"/>
      <x:c r="E85" s="50" t="str"/>
      <x:c r="F85" s="50" t="str"/>
      <x:c r="G85" s="50" t="str"/>
      <x:c r="H85" s="50" t="str"/>
      <x:c r="I85" s="50" t="str"/>
      <x:c r="J85" s="50" t="str">
        <x:v>미판정</x:v>
      </x:c>
      <x:c r="K85" s="50" t="str"/>
      <x:c r="L85" s="55" t="str"/>
    </x:row>
    <x:row r="86">
      <x:c r="A86" s="54" t="str">
        <x:v>R081</x:v>
      </x:c>
      <x:c r="B86" s="50" t="str"/>
      <x:c r="C86" s="188"/>
      <x:c r="D86" s="50" t="str"/>
      <x:c r="E86" s="50" t="str"/>
      <x:c r="F86" s="50" t="str"/>
      <x:c r="G86" s="50" t="str"/>
      <x:c r="H86" s="50" t="str"/>
      <x:c r="I86" s="50" t="str"/>
      <x:c r="J86" s="50" t="str">
        <x:v>미판정</x:v>
      </x:c>
      <x:c r="K86" s="50" t="str"/>
      <x:c r="L86" s="55" t="str"/>
    </x:row>
    <x:row r="87">
      <x:c r="A87" s="54" t="str">
        <x:v>R082</x:v>
      </x:c>
      <x:c r="B87" s="50" t="str"/>
      <x:c r="C87" s="188"/>
      <x:c r="D87" s="50" t="str"/>
      <x:c r="E87" s="50" t="str"/>
      <x:c r="F87" s="50" t="str"/>
      <x:c r="G87" s="50" t="str"/>
      <x:c r="H87" s="50" t="str"/>
      <x:c r="I87" s="50" t="str"/>
      <x:c r="J87" s="50" t="str">
        <x:v>미판정</x:v>
      </x:c>
      <x:c r="K87" s="50" t="str"/>
      <x:c r="L87" s="55" t="str"/>
    </x:row>
    <x:row r="88">
      <x:c r="A88" s="54" t="str">
        <x:v>R083</x:v>
      </x:c>
      <x:c r="B88" s="50" t="str"/>
      <x:c r="C88" s="188"/>
      <x:c r="D88" s="50" t="str"/>
      <x:c r="E88" s="50" t="str"/>
      <x:c r="F88" s="50" t="str"/>
      <x:c r="G88" s="50" t="str"/>
      <x:c r="H88" s="50" t="str"/>
      <x:c r="I88" s="50" t="str"/>
      <x:c r="J88" s="50" t="str">
        <x:v>미판정</x:v>
      </x:c>
      <x:c r="K88" s="50" t="str"/>
      <x:c r="L88" s="55" t="str"/>
    </x:row>
    <x:row r="89">
      <x:c r="A89" s="54" t="str">
        <x:v>R084</x:v>
      </x:c>
      <x:c r="B89" s="50" t="str"/>
      <x:c r="C89" s="188"/>
      <x:c r="D89" s="50" t="str"/>
      <x:c r="E89" s="50" t="str"/>
      <x:c r="F89" s="50" t="str"/>
      <x:c r="G89" s="50" t="str"/>
      <x:c r="H89" s="50" t="str"/>
      <x:c r="I89" s="50" t="str"/>
      <x:c r="J89" s="50" t="str">
        <x:v>미판정</x:v>
      </x:c>
      <x:c r="K89" s="50" t="str"/>
      <x:c r="L89" s="55" t="str"/>
    </x:row>
    <x:row r="90">
      <x:c r="A90" s="54" t="str">
        <x:v>R085</x:v>
      </x:c>
      <x:c r="B90" s="50" t="str"/>
      <x:c r="C90" s="188"/>
      <x:c r="D90" s="50" t="str"/>
      <x:c r="E90" s="50" t="str"/>
      <x:c r="F90" s="50" t="str"/>
      <x:c r="G90" s="50" t="str"/>
      <x:c r="H90" s="50" t="str"/>
      <x:c r="I90" s="50" t="str"/>
      <x:c r="J90" s="50" t="str">
        <x:v>미판정</x:v>
      </x:c>
      <x:c r="K90" s="50" t="str"/>
      <x:c r="L90" s="55" t="str"/>
    </x:row>
    <x:row r="91">
      <x:c r="A91" s="54" t="str">
        <x:v>R086</x:v>
      </x:c>
      <x:c r="B91" s="50" t="str"/>
      <x:c r="C91" s="188"/>
      <x:c r="D91" s="50" t="str"/>
      <x:c r="E91" s="50" t="str"/>
      <x:c r="F91" s="50" t="str"/>
      <x:c r="G91" s="50" t="str"/>
      <x:c r="H91" s="50" t="str"/>
      <x:c r="I91" s="50" t="str"/>
      <x:c r="J91" s="50" t="str">
        <x:v>미판정</x:v>
      </x:c>
      <x:c r="K91" s="50" t="str"/>
      <x:c r="L91" s="55" t="str"/>
    </x:row>
    <x:row r="92">
      <x:c r="A92" s="54" t="str">
        <x:v>R087</x:v>
      </x:c>
      <x:c r="B92" s="50" t="str"/>
      <x:c r="C92" s="188"/>
      <x:c r="D92" s="50" t="str"/>
      <x:c r="E92" s="50" t="str"/>
      <x:c r="F92" s="50" t="str"/>
      <x:c r="G92" s="50" t="str"/>
      <x:c r="H92" s="50" t="str"/>
      <x:c r="I92" s="50" t="str"/>
      <x:c r="J92" s="50" t="str">
        <x:v>미판정</x:v>
      </x:c>
      <x:c r="K92" s="50" t="str"/>
      <x:c r="L92" s="55" t="str"/>
    </x:row>
    <x:row r="93">
      <x:c r="A93" s="54" t="str">
        <x:v>R088</x:v>
      </x:c>
      <x:c r="B93" s="50" t="str"/>
      <x:c r="C93" s="188"/>
      <x:c r="D93" s="50" t="str"/>
      <x:c r="E93" s="50" t="str"/>
      <x:c r="F93" s="50" t="str"/>
      <x:c r="G93" s="50" t="str"/>
      <x:c r="H93" s="50" t="str"/>
      <x:c r="I93" s="50" t="str"/>
      <x:c r="J93" s="50" t="str">
        <x:v>미판정</x:v>
      </x:c>
      <x:c r="K93" s="50" t="str"/>
      <x:c r="L93" s="55" t="str"/>
    </x:row>
    <x:row r="94">
      <x:c r="A94" s="54" t="str">
        <x:v>R089</x:v>
      </x:c>
      <x:c r="B94" s="50" t="str"/>
      <x:c r="C94" s="188"/>
      <x:c r="D94" s="50" t="str"/>
      <x:c r="E94" s="50" t="str"/>
      <x:c r="F94" s="50" t="str"/>
      <x:c r="G94" s="50" t="str"/>
      <x:c r="H94" s="50" t="str"/>
      <x:c r="I94" s="50" t="str"/>
      <x:c r="J94" s="50" t="str">
        <x:v>미판정</x:v>
      </x:c>
      <x:c r="K94" s="50" t="str"/>
      <x:c r="L94" s="55" t="str"/>
    </x:row>
    <x:row r="95">
      <x:c r="A95" s="54" t="str">
        <x:v>R090</x:v>
      </x:c>
      <x:c r="B95" s="50" t="str"/>
      <x:c r="C95" s="188"/>
      <x:c r="D95" s="50" t="str"/>
      <x:c r="E95" s="50" t="str"/>
      <x:c r="F95" s="50" t="str"/>
      <x:c r="G95" s="50" t="str"/>
      <x:c r="H95" s="50" t="str"/>
      <x:c r="I95" s="50" t="str"/>
      <x:c r="J95" s="50" t="str">
        <x:v>미판정</x:v>
      </x:c>
      <x:c r="K95" s="50" t="str"/>
      <x:c r="L95" s="55" t="str"/>
    </x:row>
    <x:row r="96">
      <x:c r="A96" s="54" t="str">
        <x:v>R091</x:v>
      </x:c>
      <x:c r="B96" s="50" t="str"/>
      <x:c r="C96" s="188"/>
      <x:c r="D96" s="50" t="str"/>
      <x:c r="E96" s="50" t="str"/>
      <x:c r="F96" s="50" t="str"/>
      <x:c r="G96" s="50" t="str"/>
      <x:c r="H96" s="50" t="str"/>
      <x:c r="I96" s="50" t="str"/>
      <x:c r="J96" s="50" t="str">
        <x:v>미판정</x:v>
      </x:c>
      <x:c r="K96" s="50" t="str"/>
      <x:c r="L96" s="55" t="str"/>
    </x:row>
    <x:row r="97">
      <x:c r="A97" s="54" t="str">
        <x:v>R092</x:v>
      </x:c>
      <x:c r="B97" s="50" t="str"/>
      <x:c r="C97" s="188"/>
      <x:c r="D97" s="50" t="str"/>
      <x:c r="E97" s="50" t="str"/>
      <x:c r="F97" s="50" t="str"/>
      <x:c r="G97" s="50" t="str"/>
      <x:c r="H97" s="50" t="str"/>
      <x:c r="I97" s="50" t="str"/>
      <x:c r="J97" s="50" t="str">
        <x:v>미판정</x:v>
      </x:c>
      <x:c r="K97" s="50" t="str"/>
      <x:c r="L97" s="55" t="str"/>
    </x:row>
    <x:row r="98">
      <x:c r="A98" s="54" t="str">
        <x:v>R093</x:v>
      </x:c>
      <x:c r="B98" s="50" t="str"/>
      <x:c r="C98" s="188"/>
      <x:c r="D98" s="50" t="str"/>
      <x:c r="E98" s="50" t="str"/>
      <x:c r="F98" s="50" t="str"/>
      <x:c r="G98" s="50" t="str"/>
      <x:c r="H98" s="50" t="str"/>
      <x:c r="I98" s="50" t="str"/>
      <x:c r="J98" s="50" t="str">
        <x:v>미판정</x:v>
      </x:c>
      <x:c r="K98" s="50" t="str"/>
      <x:c r="L98" s="55" t="str"/>
    </x:row>
    <x:row r="99">
      <x:c r="A99" s="54" t="str">
        <x:v>R094</x:v>
      </x:c>
      <x:c r="B99" s="50" t="str"/>
      <x:c r="C99" s="188"/>
      <x:c r="D99" s="50" t="str"/>
      <x:c r="E99" s="50" t="str"/>
      <x:c r="F99" s="50" t="str"/>
      <x:c r="G99" s="50" t="str"/>
      <x:c r="H99" s="50" t="str"/>
      <x:c r="I99" s="50" t="str"/>
      <x:c r="J99" s="50" t="str">
        <x:v>미판정</x:v>
      </x:c>
      <x:c r="K99" s="50" t="str"/>
      <x:c r="L99" s="55" t="str"/>
    </x:row>
    <x:row r="100">
      <x:c r="A100" s="54" t="str">
        <x:v>R095</x:v>
      </x:c>
      <x:c r="B100" s="50" t="str"/>
      <x:c r="C100" s="188"/>
      <x:c r="D100" s="50" t="str"/>
      <x:c r="E100" s="50" t="str"/>
      <x:c r="F100" s="50" t="str"/>
      <x:c r="G100" s="50" t="str"/>
      <x:c r="H100" s="50" t="str"/>
      <x:c r="I100" s="50" t="str"/>
      <x:c r="J100" s="50" t="str">
        <x:v>미판정</x:v>
      </x:c>
      <x:c r="K100" s="50" t="str"/>
      <x:c r="L100" s="55" t="str"/>
    </x:row>
    <x:row r="101">
      <x:c r="A101" s="54" t="str">
        <x:v>R096</x:v>
      </x:c>
      <x:c r="B101" s="50" t="str"/>
      <x:c r="C101" s="188"/>
      <x:c r="D101" s="50" t="str"/>
      <x:c r="E101" s="50" t="str"/>
      <x:c r="F101" s="50" t="str"/>
      <x:c r="G101" s="50" t="str"/>
      <x:c r="H101" s="50" t="str"/>
      <x:c r="I101" s="50" t="str"/>
      <x:c r="J101" s="50" t="str">
        <x:v>미판정</x:v>
      </x:c>
      <x:c r="K101" s="50" t="str"/>
      <x:c r="L101" s="55" t="str"/>
    </x:row>
    <x:row r="102">
      <x:c r="A102" s="54" t="str">
        <x:v>R097</x:v>
      </x:c>
      <x:c r="B102" s="50" t="str"/>
      <x:c r="C102" s="188"/>
      <x:c r="D102" s="50" t="str"/>
      <x:c r="E102" s="50" t="str"/>
      <x:c r="F102" s="50" t="str"/>
      <x:c r="G102" s="50" t="str"/>
      <x:c r="H102" s="50" t="str"/>
      <x:c r="I102" s="50" t="str"/>
      <x:c r="J102" s="50" t="str">
        <x:v>미판정</x:v>
      </x:c>
      <x:c r="K102" s="50" t="str"/>
      <x:c r="L102" s="55" t="str"/>
    </x:row>
    <x:row r="103">
      <x:c r="A103" s="54" t="str">
        <x:v>R098</x:v>
      </x:c>
      <x:c r="B103" s="50" t="str"/>
      <x:c r="C103" s="188"/>
      <x:c r="D103" s="50" t="str"/>
      <x:c r="E103" s="50" t="str"/>
      <x:c r="F103" s="50" t="str"/>
      <x:c r="G103" s="50" t="str"/>
      <x:c r="H103" s="50" t="str"/>
      <x:c r="I103" s="50" t="str"/>
      <x:c r="J103" s="50" t="str">
        <x:v>미판정</x:v>
      </x:c>
      <x:c r="K103" s="50" t="str"/>
      <x:c r="L103" s="55" t="str"/>
    </x:row>
    <x:row r="104">
      <x:c r="A104" s="54" t="str">
        <x:v>R099</x:v>
      </x:c>
      <x:c r="B104" s="50" t="str"/>
      <x:c r="C104" s="188"/>
      <x:c r="D104" s="50" t="str"/>
      <x:c r="E104" s="50" t="str"/>
      <x:c r="F104" s="50" t="str"/>
      <x:c r="G104" s="50" t="str"/>
      <x:c r="H104" s="50" t="str"/>
      <x:c r="I104" s="50" t="str"/>
      <x:c r="J104" s="50" t="str">
        <x:v>미판정</x:v>
      </x:c>
      <x:c r="K104" s="50" t="str"/>
      <x:c r="L104" s="55" t="str"/>
    </x:row>
    <x:row r="105">
      <x:c r="A105" s="56" t="str">
        <x:v>R100</x:v>
      </x:c>
      <x:c r="B105" s="57" t="str"/>
      <x:c r="C105" s="189"/>
      <x:c r="D105" s="57" t="str"/>
      <x:c r="E105" s="57" t="str"/>
      <x:c r="F105" s="57" t="str"/>
      <x:c r="G105" s="57" t="str"/>
      <x:c r="H105" s="57" t="str"/>
      <x:c r="I105" s="57" t="str"/>
      <x:c r="J105" s="57" t="str">
        <x:v>미판정</x:v>
      </x:c>
      <x:c r="K105" s="57" t="str"/>
      <x:c r="L105" s="58" t="str"/>
    </x:row>
  </x:sheetData>
  <x:mergeCells>
    <x:mergeCell ref="A1:L1"/>
    <x:mergeCell ref="A2:L2"/>
    <x:mergeCell ref="A3:L3"/>
  </x:mergeCells>
  <x:dataValidations count="2">
    <x:dataValidation type="list" sqref="J6:J105">
      <x:formula1>"미판정,실제 이상 후보,정상 패턴,판단 불가,업무 규칙 확인 필요"</x:formula1>
    </x:dataValidation>
    <x:dataValidation type="list" sqref="L6:L105">
      <x:formula1>",규칙 개선,설명 개선,사용자 확인,공개 보류,정상 예외 추가"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ef6885c40d4de1"/>
  </x:tableParts>
</x:worksheet>
</file>